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Prospection" sheetId="2" state="visible" r:id="rId4"/>
    <sheet name="Tableau de bord" sheetId="3" state="visible" r:id="rId5"/>
    <sheet name="Parcours administratif" sheetId="4" state="visible" r:id="rId6"/>
    <sheet name="IFAS &amp; formations" sheetId="5" state="visible" r:id="rId7"/>
    <sheet name="Contacts utiles" sheetId="6" state="visible" r:id="rId8"/>
    <sheet name="Modèles" sheetId="7" state="visible" r:id="rId9"/>
  </sheets>
  <definedNames>
    <definedName function="false" hidden="true" localSheetId="1" name="_xlnm._FilterDatabase" vbProcedure="false">Prospection!$A$1:$Y$74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Distance estimée à vol d'oiseau depuis le métro Arènes, arrondie au 0,5 km. Vide = structure 100 % en ligne.</t>
        </r>
      </text>
    </comment>
    <comment ref="O1" authorId="0">
      <text>
        <r>
          <rPr>
            <sz val="10"/>
            <rFont val="Arial"/>
            <family val="2"/>
          </rPr>
          <t xml:space="preserve">Poste réaliste SANS diplôme français. « après DEAS » = structure qui n'emploie que des aides-soignantes diplômées : à recontacter une fois le DEAS obtenu.</t>
        </r>
      </text>
    </comment>
    <comment ref="P1" authorId="0">
      <text>
        <r>
          <rPr>
            <sz val="10"/>
            <rFont val="Arial"/>
            <family val="2"/>
          </rPr>
          <t xml:space="preserve">1 = à contacter en premier ; 2 = ensuite ; 3 = plus tard (DEAS requis, éloigné ou à vérifier). Modifiable.</t>
        </r>
      </text>
    </comment>
  </commentList>
</comments>
</file>

<file path=xl/sharedStrings.xml><?xml version="1.0" encoding="utf-8"?>
<sst xmlns="http://schemas.openxmlformats.org/spreadsheetml/2006/main" count="1549" uniqueCount="905">
  <si>
    <t xml:space="preserve">Fichier de prospection – aide-soignante diplômée au Cameroun – secteur des Arènes (Toulouse)</t>
  </si>
  <si>
    <t xml:space="preserve">Version du 30/09/2026. Informations issues de recherches web à cette date : vérifier téléphone et interlocuteur avant chaque contact.</t>
  </si>
  <si>
    <t xml:space="preserve">1. À quoi sert ce fichier</t>
  </si>
  <si>
    <t xml:space="preserve">Objectif</t>
  </si>
  <si>
    <t xml:space="preserve">Trouver rapidement un premier emploi dans une structure de soins autour des Arènes, en tenant compte de deux contraintes : le diplôme camerounais d'aide-soignante n'est pas reconnu en France, et une autorisation de travail est nécessaire. Le fichier liste 73 employeurs potentiels dans un rayon de 6 km, avec le poste réaliste à viser pour chacun, et permet de suivre les contacts.</t>
  </si>
  <si>
    <t xml:space="preserve">Onglets</t>
  </si>
  <si>
    <t xml:space="preserve">Prospection : la liste des structures et le suivi des contacts (à remplir).
Tableau de bord : compteurs automatiques (statuts, relances en retard, priorités).
Parcours administratif : les 10 étapes (diplôme, autorisation de travail, métiers en tension, VAE, IFAS) avec organismes, pièces et sources.
IFAS &amp; formations : les écoles d'aides-soignants de Toulouse et leurs dates 2026-2027.
Contacts utiles : administrations, France Travail, associations d'aide juridique.
Modèles : emails de candidature, script téléphonique, argumentaire « autorisation de travail » pour l'employeur, réponses aux objections, check-list des pièces.</t>
  </si>
  <si>
    <t xml:space="preserve">2. Légende et mode d'emploi</t>
  </si>
  <si>
    <t xml:space="preserve">Cellules jaunes</t>
  </si>
  <si>
    <t xml:space="preserve">Cellules à remplir par vous (suivi des contacts, cases « Fait », notes). Tout le reste est pré-rempli.</t>
  </si>
  <si>
    <t xml:space="preserve">Cellules blanches</t>
  </si>
  <si>
    <t xml:space="preserve">Données de recherche (adresse, téléphone, remarque, source). « à vérifier » = information non confirmée ; la source est en colonne R.</t>
  </si>
  <si>
    <t xml:space="preserve">Priorité (colonne P)</t>
  </si>
  <si>
    <t xml:space="preserve">1 = à contacter en premier (proche, gros volume de recrutement, ouvert aux profils sans DEAS).
2 = à contacter ensuite.
3 = utile plus tard (nécessite le DEAS, ou éloigné, ou information à vérifier).</t>
  </si>
  <si>
    <t xml:space="preserve">Statut suivi (colonne S)</t>
  </si>
  <si>
    <t xml:space="preserve">Liste déroulante : À contacter → Contacté – en attente → Relance à faire → Entretien → Embauche / positif, Réponse négative ou Clos. Le Tableau de bord se met à jour automatiquement.</t>
  </si>
  <si>
    <t xml:space="preserve">Prochaine relance (colonne X)</t>
  </si>
  <si>
    <t xml:space="preserve">Saisir une date (jj/mm/aaaa). Les lignes dont la date de relance est dépassée passent en rouge clair ; le Tableau de bord les compte.</t>
  </si>
  <si>
    <t xml:space="preserve">Exemple de ligne remplie (colonnes S à Y)</t>
  </si>
  <si>
    <t xml:space="preserve">Statut : Contacté – en attente | Date 1er contact : 02/10/2026 | Canal : Téléphone | Interlocuteur : Mme Dupont, cadre de santé | Réponse : intéressée par un poste d'agent de soins de nuit, demande CV + attestation | Prochaine relance : 09/10/2026 | Notes : envoyer le CV le jour même, rappeler jeudi matin.</t>
  </si>
  <si>
    <t xml:space="preserve">Filtrer / trier</t>
  </si>
  <si>
    <t xml:space="preserve">La ligne d'en-tête de l'onglet Prospection possède des filtres : trier par Priorité, par Catégorie ou par Distance ; filtrer sur « Poste à viser » = « Aide à domicile / auxiliaire de vie » pour une session d'appels dédiée.</t>
  </si>
  <si>
    <t xml:space="preserve">3. La stratégie en 7 points (détail dans « Parcours administratif »)</t>
  </si>
  <si>
    <t xml:space="preserve">1. Ne pas postuler comme « aide-soignante »</t>
  </si>
  <si>
    <t xml:space="preserve">Sans DEAS français, ce titre ne peut pas être utilisé (aucune équivalence pour les diplômes hors UE, Croix-Rouge Cameroun incluse). Postuler comme ASH / agent de service hospitalier, agent de soins en EHPAD, ou aide à domicile / auxiliaire de vie : postes accessibles sans diplôme, très demandés autour des Arènes.</t>
  </si>
  <si>
    <t xml:space="preserve">2. Mettre en avant l'expérience</t>
  </si>
  <si>
    <t xml:space="preserve">L'attestation de réussite camerounaise et surtout les attestations d'employeurs (soins d'hygiène et de confort, aide aux repas, mobilisation) sont les arguments : un employeur d'EHPAD préfère un agent de soins déjà formé aux gestes.</t>
  </si>
  <si>
    <t xml:space="preserve">3. Les métiers visés sont « en tension » en Occitanie</t>
  </si>
  <si>
    <t xml:space="preserve">Aides à domicile, agents d'entretien de locaux (poste ASH) et aides-soignants figurent sur la liste de l'arrêté du 21 mai 2025 : l'employeur n'a pas à publier l'offre 3 semaines avant de demander l'autorisation de travail. Argument décisif, à expliquer avec l'onglet Modèles.</t>
  </si>
  <si>
    <t xml:space="preserve">4. L'autorisation de travail est une formalité en ligne pour l'employeur</t>
  </si>
  <si>
    <t xml:space="preserve">Dépôt gratuit sur le portail ANEF, réponse sous 2 mois. Lui fournir la liste des pièces prête (onglet Modèles). Si son titre ou récépissé porte déjà la mention « autorise à travailler », aucune démarche n'est nécessaire : le vérifier en premier.</t>
  </si>
  <si>
    <t xml:space="preserve">5. Demander la formation de 70 heures dès l'embauche</t>
  </si>
  <si>
    <t xml:space="preserve">Elle permet à un ASH de participer aux soins d'hygiène et de confort, et ouvre l'entrée directe en IFAS (sans sélection) après 6 mois de poste.</t>
  </si>
  <si>
    <t xml:space="preserve">6. Lancer la VAE du DEAS en parallèle</t>
  </si>
  <si>
    <t xml:space="preserve">Sur vae.gouv.fr : l'expérience camerounaise compte sur justificatifs. Parcours de 6 à 12 mois, finançable CPF / France Travail. Rassembler dès maintenant les attestations d'employeurs du Cameroun.</t>
  </si>
  <si>
    <t xml:space="preserve">7. S'inscrire à France Travail (agence Arènes)</t>
  </si>
  <si>
    <t xml:space="preserve">Indispensable pour la gratuité de la formation IFAS financée par la Région Occitanie, et pour le financement VAE. Session Croix-Rouge Toulouse encore ouverte jusqu'au 10 octobre 2026 pour une rentrée le 5 janvier 2027.</t>
  </si>
  <si>
    <t xml:space="preserve">4. Informations à préciser pour affiner le fichier</t>
  </si>
  <si>
    <t xml:space="preserve">Situation administrative</t>
  </si>
  <si>
    <t xml:space="preserve">Quel titre de séjour ou récépissé possède-t-elle aujourd'hui (vie privée et familiale, étudiant, demandeur d'asile, récépissé, aucun) ? Cela change la démarche : dispense d'autorisation de travail, plafond de 964 h pour une étudiante, ou admission exceptionnelle au séjour « métiers en tension » (à déposer avant le 31/12/2026).</t>
  </si>
  <si>
    <t xml:space="preserve">Expérience</t>
  </si>
  <si>
    <t xml:space="preserve">Combien d'années d'exercice au Cameroun, dans quelles structures, et peut-elle obtenir des attestations d'employeur ? (Décisif pour la VAE.)</t>
  </si>
  <si>
    <t xml:space="preserve">Mobilité et horaires</t>
  </si>
  <si>
    <t xml:space="preserve">Permis / voiture ou transports en commun uniquement ? Acceptation des nuits, week-ends, coupures ? (Permet d'élargir ou de resserrer le rayon et de cibler les EHPAD de nuit.)</t>
  </si>
  <si>
    <t xml:space="preserve">Niveau de français écrit</t>
  </si>
  <si>
    <t xml:space="preserve">Suffisant pour le dossier VAE et l'entretien IFAS ? (Sinon, prévoir un accompagnement.)</t>
  </si>
  <si>
    <t xml:space="preserve">5. Sources principales</t>
  </si>
  <si>
    <t xml:space="preserve">Arrêté du 21 mai 2025 fixant la liste des métiers en tension : https://www.legifrance.gouv.fr/jorf/id/JORFTEXT000051643488</t>
  </si>
  <si>
    <t xml:space="preserve">Autorisation de travail (service-public) : https://www.service-public.gouv.fr/particuliers/vosdroits/F2728</t>
  </si>
  <si>
    <t xml:space="preserve">Admission exceptionnelle au séjour métiers en tension : https://www.service-public.gouv.fr/particuliers/vosdroits/F16053</t>
  </si>
  <si>
    <t xml:space="preserve">Reconnaissance des diplômes paramédicaux (DREETS) : https://bourgogne-franche-comte.dreets.gouv.fr/Dispositif-de-reconnaissance-des-diplomes-paramedicaux</t>
  </si>
  <si>
    <t xml:space="preserve">France VAE – DEAS : https://vae.gouv.fr</t>
  </si>
  <si>
    <t xml:space="preserve">Annuaire officiel des EHPAD et services à domicile : https://www.pour-les-personnes-agees.gouv.fr</t>
  </si>
  <si>
    <t xml:space="preserve">Recrutement CHU de Toulouse : https://recrutement.chu-toulouse.fr ; CCAS de Toulouse : https://metropole.toulouse.fr/le-ccas-recrute</t>
  </si>
  <si>
    <t xml:space="preserve">N°</t>
  </si>
  <si>
    <t xml:space="preserve">Nom</t>
  </si>
  <si>
    <t xml:space="preserve">Catégorie</t>
  </si>
  <si>
    <t xml:space="preserve">Type précis</t>
  </si>
  <si>
    <t xml:space="preserve">Groupe / gestionnaire</t>
  </si>
  <si>
    <t xml:space="preserve">Statut juridique</t>
  </si>
  <si>
    <t xml:space="preserve">Adresse</t>
  </si>
  <si>
    <t xml:space="preserve">CP</t>
  </si>
  <si>
    <t xml:space="preserve">Quartier / commune</t>
  </si>
  <si>
    <t xml:space="preserve">Distance (km)</t>
  </si>
  <si>
    <t xml:space="preserve">Téléphone</t>
  </si>
  <si>
    <t xml:space="preserve">Site / page recrutement</t>
  </si>
  <si>
    <t xml:space="preserve">Email / contact RH</t>
  </si>
  <si>
    <t xml:space="preserve">Capacité</t>
  </si>
  <si>
    <t xml:space="preserve">Poste à viser</t>
  </si>
  <si>
    <t xml:space="preserve">Priorité</t>
  </si>
  <si>
    <t xml:space="preserve">Remarque</t>
  </si>
  <si>
    <t xml:space="preserve">Source</t>
  </si>
  <si>
    <t xml:space="preserve">Statut suivi</t>
  </si>
  <si>
    <t xml:space="preserve">Date 1er contact</t>
  </si>
  <si>
    <t xml:space="preserve">Canal</t>
  </si>
  <si>
    <t xml:space="preserve">Interlocuteur</t>
  </si>
  <si>
    <t xml:space="preserve">Réponse / résumé</t>
  </si>
  <si>
    <t xml:space="preserve">Prochaine relance</t>
  </si>
  <si>
    <t xml:space="preserve">Notes</t>
  </si>
  <si>
    <t xml:space="preserve">Clinique Pasteur</t>
  </si>
  <si>
    <t xml:space="preserve">Clinique / SMR</t>
  </si>
  <si>
    <t xml:space="preserve">Clinique MCO + HAD</t>
  </si>
  <si>
    <t xml:space="preserve">SA Clinique Pasteur (indépendante)</t>
  </si>
  <si>
    <t xml:space="preserve">Privé lucratif</t>
  </si>
  <si>
    <t xml:space="preserve">45 avenue de Lombez, BP 27617</t>
  </si>
  <si>
    <t xml:space="preserve">31300</t>
  </si>
  <si>
    <t xml:space="preserve">Arènes / Lombez</t>
  </si>
  <si>
    <t xml:space="preserve">05 62 21 31 31 ; RH 05 62 21 36 54</t>
  </si>
  <si>
    <t xml:space="preserve">https://talents.clinique-pasteur.com/</t>
  </si>
  <si>
    <t xml:space="preserve">à vérifier</t>
  </si>
  <si>
    <t xml:space="preserve">469 à 516 lits et places</t>
  </si>
  <si>
    <t xml:space="preserve">ASH / agent de service</t>
  </si>
  <si>
    <t xml:space="preserve">La plus proche des Arènes. Candidature spontanée possible sur le portail talents. Postes ASH / agent hôtelier ; AS (après DEAS) y compris en HAD.</t>
  </si>
  <si>
    <t xml:space="preserve">https://www.clinique-pasteur.com/recrutement</t>
  </si>
  <si>
    <t xml:space="preserve">À contacter</t>
  </si>
  <si>
    <t xml:space="preserve">Petits-fils Toulouse Ouest</t>
  </si>
  <si>
    <t xml:space="preserve">Domicile (SAAD / SSIAD / HAD)</t>
  </si>
  <si>
    <t xml:space="preserve">Aide à domicile (mandataire, auxiliaires de vie)</t>
  </si>
  <si>
    <t xml:space="preserve">Franchise Petits-fils</t>
  </si>
  <si>
    <t xml:space="preserve">197 rue des Fontaines</t>
  </si>
  <si>
    <t xml:space="preserve">Fontaine-Lestang</t>
  </si>
  <si>
    <t xml:space="preserve">05 32 11 17 50</t>
  </si>
  <si>
    <t xml:space="preserve">https://www.petits-fils.com</t>
  </si>
  <si>
    <t xml:space="preserve">toulouse-ouest@petits-fils.com</t>
  </si>
  <si>
    <t xml:space="preserve">—</t>
  </si>
  <si>
    <t xml:space="preserve">Aide à domicile / auxiliaire de vie</t>
  </si>
  <si>
    <t xml:space="preserve">À 1 km. Recrute des auxiliaires de vie avec expérience (profil AS accepté). Autre agence à Tournefeuille.</t>
  </si>
  <si>
    <t xml:space="preserve">https://www.conseildependance.fr/services/services-a-domicile/toulouse/haute-garonne-31/petits-fils-toulouse-ouest</t>
  </si>
  <si>
    <t xml:space="preserve">Colisée – Résidence Arc-en-Ciel</t>
  </si>
  <si>
    <t xml:space="preserve">EHPAD / résidence</t>
  </si>
  <si>
    <t xml:space="preserve">EHPAD (unité Alzheimer)</t>
  </si>
  <si>
    <t xml:space="preserve">Colisée</t>
  </si>
  <si>
    <t xml:space="preserve">12 rue Marie-Louise Dissard</t>
  </si>
  <si>
    <t xml:space="preserve">Cartoucherie</t>
  </si>
  <si>
    <t xml:space="preserve">05 61 16 40 00</t>
  </si>
  <si>
    <t xml:space="preserve">https://colisee.fr (rubrique carrières)</t>
  </si>
  <si>
    <t xml:space="preserve">86 places</t>
  </si>
  <si>
    <t xml:space="preserve">Agent de soins / ASH (EHPAD)</t>
  </si>
  <si>
    <t xml:space="preserve">Grand groupe, recrutements agents de soins / ASH fréquents. Très proche.</t>
  </si>
  <si>
    <t xml:space="preserve">https://colisee.fr/residences/maison-medicalisee-toulouse-residence-arc-en-ciel/</t>
  </si>
  <si>
    <t xml:space="preserve">Résidence Edenis La Cartoucherie</t>
  </si>
  <si>
    <t xml:space="preserve">EHPAD (14 places UVP Alzheimer)</t>
  </si>
  <si>
    <t xml:space="preserve">Edenis (association)</t>
  </si>
  <si>
    <t xml:space="preserve">Associatif / ESPIC</t>
  </si>
  <si>
    <t xml:space="preserve">4 allée Bertha von Suttner</t>
  </si>
  <si>
    <t xml:space="preserve">05 82 08 15 27</t>
  </si>
  <si>
    <t xml:space="preserve">https://la-cartoucherie.edenis.fr ; https://edenis.fr (recrutement)</t>
  </si>
  <si>
    <t xml:space="preserve">88 lits</t>
  </si>
  <si>
    <t xml:space="preserve">Groupe associatif toulousain (12+ EHPAD) : une candidature peut être diffusée à toutes les résidences.</t>
  </si>
  <si>
    <t xml:space="preserve">https://la-cartoucherie.edenis.fr/la-residence/</t>
  </si>
  <si>
    <t xml:space="preserve">EHPAD Gaubert (CCAS de Toulouse)</t>
  </si>
  <si>
    <t xml:space="preserve">EHPAD (14 places Alzheimer)</t>
  </si>
  <si>
    <t xml:space="preserve">CCAS de Toulouse</t>
  </si>
  <si>
    <t xml:space="preserve">Public</t>
  </si>
  <si>
    <t xml:space="preserve">28 rue Sainte-Lucie</t>
  </si>
  <si>
    <t xml:space="preserve">Saint-Cyprien</t>
  </si>
  <si>
    <t xml:space="preserve">05 34 56 54 00</t>
  </si>
  <si>
    <t xml:space="preserve">https://metropole.toulouse.fr/le-ccas-recrute</t>
  </si>
  <si>
    <t xml:space="preserve">recrutement@ccas-toulouse.fr</t>
  </si>
  <si>
    <t xml:space="preserve">60 lits</t>
  </si>
  <si>
    <t xml:space="preserve">CCAS = 1 400 agents, 8 EHPAD, 6 résidences autonomie, SSIAD/SAAD. UNE seule adresse de candidature spontanée pour toutes ses structures.</t>
  </si>
  <si>
    <t xml:space="preserve">https://metropole.toulouse.fr/annuaire/ehpad-gaubert</t>
  </si>
  <si>
    <t xml:space="preserve">Adecco Medical Toulouse</t>
  </si>
  <si>
    <t xml:space="preserve">Intérim / plateforme</t>
  </si>
  <si>
    <t xml:space="preserve">Intérim médical (agences Santé, Social &amp; Handicap)</t>
  </si>
  <si>
    <t xml:space="preserve">Adecco Group</t>
  </si>
  <si>
    <t xml:space="preserve">43 avenue de Grande-Bretagne</t>
  </si>
  <si>
    <t xml:space="preserve">Purpan / Patte d'Oie</t>
  </si>
  <si>
    <t xml:space="preserve">05 62 73 74 00</t>
  </si>
  <si>
    <t xml:space="preserve">https://www.adecco.com/fr-fr/medical</t>
  </si>
  <si>
    <t xml:space="preserve">toulouse@adeccomedical.fr</t>
  </si>
  <si>
    <t xml:space="preserve">Missions ASH / agent de soins (intérim)</t>
  </si>
  <si>
    <t xml:space="preserve">Missions ASH / agent de soins en EHPAD et clinique. L'agence Social &amp; Handicap couvre MAS/FAM. Attention : l'intérim exige aussi une autorisation de travail valide.</t>
  </si>
  <si>
    <t xml:space="preserve">https://www.adecco.com/fr-fr/medical/agences/occitanie/toulouse/adecco-medical-toulouse</t>
  </si>
  <si>
    <t xml:space="preserve">Hôpital Joseph Ducuing</t>
  </si>
  <si>
    <t xml:space="preserve">Hôpital</t>
  </si>
  <si>
    <t xml:space="preserve">Hôpital MCO de proximité (urgences, SMR, USP)</t>
  </si>
  <si>
    <t xml:space="preserve">Association Hôpital Joseph Ducuing</t>
  </si>
  <si>
    <t xml:space="preserve">15 rue de Varsovie</t>
  </si>
  <si>
    <t xml:space="preserve">05 61 77 34 00</t>
  </si>
  <si>
    <t xml:space="preserve">https://www.hopitaljosephducuing.fr/espace-recrutement</t>
  </si>
  <si>
    <t xml:space="preserve">171 lits et places</t>
  </si>
  <si>
    <t xml:space="preserve">Très proche. Espace recrutement en ligne ; offres AS régulières. Voisin de l'EHPAD Les Tilleuls (même association).</t>
  </si>
  <si>
    <t xml:space="preserve">EHPAD Résidence Les Tilleuls</t>
  </si>
  <si>
    <t xml:space="preserve">EHPAD</t>
  </si>
  <si>
    <t xml:space="preserve">Association des Amis de la Médecine Sociale (liée à l'Hôpital Ducuing)</t>
  </si>
  <si>
    <t xml:space="preserve">19 rue de Varsovie</t>
  </si>
  <si>
    <t xml:space="preserve">Voisin immédiat de l'Hôpital Ducuing : se présenter sur place.</t>
  </si>
  <si>
    <t xml:space="preserve">https://www.pour-les-personnes-agees.gouv.fr/annuaire-ehpad-et-maisons-de-retraite/ehpad/haute-garonne-31/toulouse-31000/ehpad-residence-les-tilleuls/310792015</t>
  </si>
  <si>
    <t xml:space="preserve">DomusVi – Résidence La Cépière</t>
  </si>
  <si>
    <t xml:space="preserve">EHPAD (12 places Alzheimer)</t>
  </si>
  <si>
    <t xml:space="preserve">DomusVi</t>
  </si>
  <si>
    <t xml:space="preserve">12 impasse de l'Hippodrome</t>
  </si>
  <si>
    <t xml:space="preserve">31100</t>
  </si>
  <si>
    <t xml:space="preserve">Cépière / Bagatelle</t>
  </si>
  <si>
    <t xml:space="preserve">https://www.domusvi.com (espace recrutement)</t>
  </si>
  <si>
    <t xml:space="preserve">80 lits</t>
  </si>
  <si>
    <t xml:space="preserve">Grand groupe, offres agents de soins / ASH fréquentes. Très proche.</t>
  </si>
  <si>
    <t xml:space="preserve">https://www.leguidedupatrimoine.com/ehpad/domusvi-la-cepiere</t>
  </si>
  <si>
    <t xml:space="preserve">Clinique Rive Gauche (ex Sarrus-Teinturiers)</t>
  </si>
  <si>
    <t xml:space="preserve">Clinique MCO + maternité</t>
  </si>
  <si>
    <t xml:space="preserve">SAS Clinique Rive Gauche (indépendante)</t>
  </si>
  <si>
    <t xml:space="preserve">49-51 allées Charles de Fitte</t>
  </si>
  <si>
    <t xml:space="preserve">05 61 77 33 33</t>
  </si>
  <si>
    <t xml:space="preserve">https://www.clinique-rivegauche.fr/espace-recrutement</t>
  </si>
  <si>
    <t xml:space="preserve">165-190 lits et places</t>
  </si>
  <si>
    <t xml:space="preserve">Très proche. Espace recrutement en ligne ; offres AS et ASH régulières.</t>
  </si>
  <si>
    <t xml:space="preserve">EHPAD Les Fontaines (CCAS, ex Pierre Ducis)</t>
  </si>
  <si>
    <t xml:space="preserve">92 avenue de Casselardit</t>
  </si>
  <si>
    <t xml:space="preserve">Casselardit</t>
  </si>
  <si>
    <t xml:space="preserve">05 34 50 80 00</t>
  </si>
  <si>
    <t xml:space="preserve">85 places</t>
  </si>
  <si>
    <t xml:space="preserve">Proche. Candidature via l'adresse CCAS + appel direct à la résidence.</t>
  </si>
  <si>
    <t xml:space="preserve">https://metropole.toulouse.fr/annuaire/ehpad-les-fontaines</t>
  </si>
  <si>
    <t xml:space="preserve">CHU Toulouse – Hôpital Purpan</t>
  </si>
  <si>
    <t xml:space="preserve">Hôpital (urgences, réanimation, médecine, chirurgie)</t>
  </si>
  <si>
    <t xml:space="preserve">CHU de Toulouse</t>
  </si>
  <si>
    <t xml:space="preserve">1 place du Docteur Joseph Baylac</t>
  </si>
  <si>
    <t xml:space="preserve">Purpan</t>
  </si>
  <si>
    <t xml:space="preserve">05 61 77 22 33</t>
  </si>
  <si>
    <t xml:space="preserve">https://recrutement.chu-toulouse.fr/candidature-spontanee/</t>
  </si>
  <si>
    <t xml:space="preserve">Site de 7 établissements</t>
  </si>
  <si>
    <t xml:space="preserve">Le CHU recrute des ASH en continu (contractuels, pas de condition de nationalité). Candidature spontanée en 4 étapes sur le portail. Voie IFAS « article 11 » après 6 mois + 70 h.</t>
  </si>
  <si>
    <t xml:space="preserve">Vitalliance Toulouse</t>
  </si>
  <si>
    <t xml:space="preserve">Aide à domicile handicap / dépendance (prestataire)</t>
  </si>
  <si>
    <t xml:space="preserve">Vitalliance</t>
  </si>
  <si>
    <t xml:space="preserve">99 route d'Espagne, Les Portes d'Espagne bât. B</t>
  </si>
  <si>
    <t xml:space="preserve">Croix-de-Pierre</t>
  </si>
  <si>
    <t xml:space="preserve">05 67 73 17 07</t>
  </si>
  <si>
    <t xml:space="preserve">https://www.vitalliance.fr</t>
  </si>
  <si>
    <t xml:space="preserve">Recrute des auxiliaires de vie ; propose la formation ADVF en interne (Unifadom). Agence aussi à Blagnac.</t>
  </si>
  <si>
    <t xml:space="preserve">https://www.au-magasin.fr/31000-toulouse/vitalliance-254952.html</t>
  </si>
  <si>
    <t xml:space="preserve">Domaliance Sud-Ouest</t>
  </si>
  <si>
    <t xml:space="preserve">SAAD prestataire</t>
  </si>
  <si>
    <t xml:space="preserve">Groupe A2micile / Domaliance</t>
  </si>
  <si>
    <t xml:space="preserve">283 avenue de Grande-Bretagne</t>
  </si>
  <si>
    <t xml:space="preserve">05 61 07 13 20</t>
  </si>
  <si>
    <t xml:space="preserve">https://www.domaliance.fr</t>
  </si>
  <si>
    <t xml:space="preserve">Proche ; recrute sans diplôme sur expérience.</t>
  </si>
  <si>
    <t xml:space="preserve">https://www.pour-les-personnes-agees.gouv.fr/annuaire-service-aide-accompagnement-domicile/haute-garonne-31/toulouse-31000/domaliance-sud-ouest/310027016</t>
  </si>
  <si>
    <t xml:space="preserve">Onela Toulouse</t>
  </si>
  <si>
    <t xml:space="preserve">SAAD</t>
  </si>
  <si>
    <t xml:space="preserve">Onela (groupe Colisée)</t>
  </si>
  <si>
    <t xml:space="preserve">159 Grande rue Saint-Michel</t>
  </si>
  <si>
    <t xml:space="preserve">31400</t>
  </si>
  <si>
    <t xml:space="preserve">Saint-Michel</t>
  </si>
  <si>
    <t xml:space="preserve">https://www.onela.com/agence/toulouse/</t>
  </si>
  <si>
    <t xml:space="preserve">Même groupe que l'EHPAD Arc-en-Ciel (Colisée).</t>
  </si>
  <si>
    <t xml:space="preserve">CHU Toulouse – Hôpital Garonne (gériatrie, USLD)</t>
  </si>
  <si>
    <t xml:space="preserve">Hôpital gériatrique : SMR + USLD (équivalent EHPAD hospitalier)</t>
  </si>
  <si>
    <t xml:space="preserve">224 avenue de Casselardit, TSA 40031</t>
  </si>
  <si>
    <t xml:space="preserve">31059</t>
  </si>
  <si>
    <t xml:space="preserve">Casselardit / Ancely</t>
  </si>
  <si>
    <t xml:space="preserve">https://recrutement.chu-toulouse.fr</t>
  </si>
  <si>
    <t xml:space="preserve">36 lits SMR + 140 lits USLD</t>
  </si>
  <si>
    <t xml:space="preserve">Site le plus demandeur d'agents de soins / ASH de la rive gauche (gériatrie). Cible n° 1 côté CHU.</t>
  </si>
  <si>
    <t xml:space="preserve">https://www.chu-toulouse.fr/-soins-de-longue-duree-en-geriatrie-usld-439-</t>
  </si>
  <si>
    <t xml:space="preserve">MAS Jean de la Fontaine – site de Toulouse (ex MAS Georges Delpech)</t>
  </si>
  <si>
    <t xml:space="preserve">Handicap (MAS / FAM / IME)</t>
  </si>
  <si>
    <t xml:space="preserve">Maison d'accueil spécialisée</t>
  </si>
  <si>
    <t xml:space="preserve">ASEI</t>
  </si>
  <si>
    <t xml:space="preserve">2 bis impasse Édouard Estaunié</t>
  </si>
  <si>
    <t xml:space="preserve">31200</t>
  </si>
  <si>
    <t xml:space="preserve">Sept-Deniers / Ginestous</t>
  </si>
  <si>
    <t xml:space="preserve">05 34 25 55 60</t>
  </si>
  <si>
    <t xml:space="preserve">https://www.asei.asso.fr (rubrique recrutement)</t>
  </si>
  <si>
    <t xml:space="preserve">Agent de soins / faisant fonction AES</t>
  </si>
  <si>
    <t xml:space="preserve">Seule MAS du rayon ; l'ASEI recrute des AS et AES, et des agents de soins sans diplôme.</t>
  </si>
  <si>
    <t xml:space="preserve">https://www.asei.asso.fr/centres/mas-georges-delpech</t>
  </si>
  <si>
    <t xml:space="preserve">Clinique des Minimes</t>
  </si>
  <si>
    <t xml:space="preserve">SMR polyvalent + gériatrique + USLD</t>
  </si>
  <si>
    <t xml:space="preserve">Indépendante (Clinavenir / Serenis)</t>
  </si>
  <si>
    <t xml:space="preserve">100 boulevard Pierre et Marie Curie</t>
  </si>
  <si>
    <t xml:space="preserve">Minimes</t>
  </si>
  <si>
    <t xml:space="preserve">05 82 08 41 00</t>
  </si>
  <si>
    <t xml:space="preserve">https://www.clinique-minimes.fr</t>
  </si>
  <si>
    <t xml:space="preserve">&gt; 170 lits et places</t>
  </si>
  <si>
    <t xml:space="preserve">Très orientée personnes âgées (gériatrie, USLD) : fort besoin d'agents de soins / ASH.</t>
  </si>
  <si>
    <t xml:space="preserve">https://www.clinique-minimes.fr/presentation-de-la-clinique</t>
  </si>
  <si>
    <t xml:space="preserve">Alliance Sages-Adages (siège + SSIAD Blagnac, Colomiers-Tournefeuille, Empalot-Rangueil)</t>
  </si>
  <si>
    <t xml:space="preserve">SSIAD (soins infirmiers à domicile)</t>
  </si>
  <si>
    <t xml:space="preserve">Association Alliance Sages-Adages</t>
  </si>
  <si>
    <t xml:space="preserve">36 boulevard Gabriel Koenigs, CS 73208 (siège)</t>
  </si>
  <si>
    <t xml:space="preserve">05 61 80 84 84</t>
  </si>
  <si>
    <t xml:space="preserve">Aide-soignante (après DEAS) ; ASH en attendant</t>
  </si>
  <si>
    <t xml:space="preserve">Principal opérateur SSIAD de l'ouest toulousain. Les SSIAD emploient surtout des AS diplômées : cible après le DEAS, mais à contacter dès maintenant (aide à domicile éventuelle).</t>
  </si>
  <si>
    <t xml:space="preserve">https://www.sanitaire-social.com/fiche/ssiad-colomiers-tournefeuille-association-alliance-sages-adages-tournefeuille-31170/31-51456</t>
  </si>
  <si>
    <t xml:space="preserve">Clinique Médipôle Garonne</t>
  </si>
  <si>
    <t xml:space="preserve">Clinique chirurgicale (orthopédie, sport)</t>
  </si>
  <si>
    <t xml:space="preserve">SAS Médipôle Garonne (indépendante)</t>
  </si>
  <si>
    <t xml:space="preserve">45 rue de Gironis, CS 13624</t>
  </si>
  <si>
    <t xml:space="preserve">05 62 13 28 28</t>
  </si>
  <si>
    <t xml:space="preserve">https://www.medipole.com</t>
  </si>
  <si>
    <t xml:space="preserve">~200 places</t>
  </si>
  <si>
    <t xml:space="preserve">Candidatures spontanées possibles ; offres sur Indeed.</t>
  </si>
  <si>
    <t xml:space="preserve">https://fr.indeed.com/cmp/Clinique-Medipole-Garonne-3</t>
  </si>
  <si>
    <t xml:space="preserve">Centre d'hébergement temporaire L'Olivier (CCAS)</t>
  </si>
  <si>
    <t xml:space="preserve">EHPAD – hébergement temporaire (≤ 3 mois)</t>
  </si>
  <si>
    <t xml:space="preserve">1 rue de Varsovie</t>
  </si>
  <si>
    <t xml:space="preserve">24 places</t>
  </si>
  <si>
    <t xml:space="preserve">Petite structure CCAS (candidature via l'adresse CCAS).</t>
  </si>
  <si>
    <t xml:space="preserve">https://metropole.toulouse.fr/annuaire/centre-hebergement-temporaire-olivier</t>
  </si>
  <si>
    <t xml:space="preserve">AGAPEI – site de la Cépière</t>
  </si>
  <si>
    <t xml:space="preserve">Foyer d'hébergement / foyer de vie (type à vérifier)</t>
  </si>
  <si>
    <t xml:space="preserve">AGAPEI</t>
  </si>
  <si>
    <t xml:space="preserve">2 chemin du Pigeonnier de la Cépière</t>
  </si>
  <si>
    <t xml:space="preserve">https://www.agapei.asso.fr/contact</t>
  </si>
  <si>
    <t xml:space="preserve">Siège AGAPEI : 8 place Alphonse Jourdain, 31015 Toulouse.</t>
  </si>
  <si>
    <t xml:space="preserve">Domino RH / Domino Care Toulouse</t>
  </si>
  <si>
    <t xml:space="preserve">Intérim médico-social</t>
  </si>
  <si>
    <t xml:space="preserve">Domino RH</t>
  </si>
  <si>
    <t xml:space="preserve">93 avenue de Muret (Domino RH) ; Domino Care : 4 rue Antoine Lavoisier, 31140 Launaguet</t>
  </si>
  <si>
    <t xml:space="preserve">Saint-Cyprien / Croix-de-Pierre</t>
  </si>
  <si>
    <t xml:space="preserve">05 62 19 27 15 (Domino Care)</t>
  </si>
  <si>
    <t xml:space="preserve">https://domino-rh.com/agences/domino-care-toulouse/</t>
  </si>
  <si>
    <t xml:space="preserve">caretoulouse@domino-rh.com</t>
  </si>
  <si>
    <t xml:space="preserve">Domino Care recrute AS / AES / agents de soins pour EHPAD, SSIAD, handicap.</t>
  </si>
  <si>
    <t xml:space="preserve">Temporis Toulouse Santé</t>
  </si>
  <si>
    <t xml:space="preserve">Intérim / CDD / vacations santé</t>
  </si>
  <si>
    <t xml:space="preserve">Franchise Temporis</t>
  </si>
  <si>
    <t xml:space="preserve">153 avenue de Grande-Bretagne</t>
  </si>
  <si>
    <t xml:space="preserve">05 62 16 58 02</t>
  </si>
  <si>
    <t xml:space="preserve">https://www.temporis-franchise.fr/agences/temporis-interim-toulouse-sante</t>
  </si>
  <si>
    <t xml:space="preserve">Missions en SSIAD et EHPAD.</t>
  </si>
  <si>
    <t xml:space="preserve">https://www.pagesjaunes.fr/pros/54295284</t>
  </si>
  <si>
    <t xml:space="preserve">CHU Toulouse – Hôpital La Grave (Cité de la santé)</t>
  </si>
  <si>
    <t xml:space="preserve">Hôpital (gériatrie-mémoire, psychiatrie)</t>
  </si>
  <si>
    <t xml:space="preserve">Place Lange, TSA 60033</t>
  </si>
  <si>
    <t xml:space="preserve">~34 lits</t>
  </si>
  <si>
    <t xml:space="preserve">Petit site. Un seul portail RH pour tout le CHU (candidature spontanée possible).</t>
  </si>
  <si>
    <t xml:space="preserve">https://www.chu-toulouse.fr/hopital-la-grave-cite-de-la-sante</t>
  </si>
  <si>
    <t xml:space="preserve">CHU Toulouse – Hôpital Pierre-Paul Riquet</t>
  </si>
  <si>
    <t xml:space="preserve">Hôpital (neurologie, locomoteur, tête et cou)</t>
  </si>
  <si>
    <t xml:space="preserve">Avenue du Professeur Jean Dausset</t>
  </si>
  <si>
    <t xml:space="preserve">Même portail RH que Purpan.</t>
  </si>
  <si>
    <t xml:space="preserve">https://www.chu-toulouse.fr/hopital-pierre-paul-riquet</t>
  </si>
  <si>
    <t xml:space="preserve">CHU Toulouse – Hôpital des Enfants</t>
  </si>
  <si>
    <t xml:space="preserve">Hôpital pédiatrique</t>
  </si>
  <si>
    <t xml:space="preserve">330 avenue de Grande-Bretagne</t>
  </si>
  <si>
    <t xml:space="preserve">Même portail RH.</t>
  </si>
  <si>
    <t xml:space="preserve">https://www.hopital.fr/annuaire-siege/centre-hospitalier-universitaire-de-toulouse,716</t>
  </si>
  <si>
    <t xml:space="preserve">CHU Toulouse – Hôpital Paule de Viguier</t>
  </si>
  <si>
    <t xml:space="preserve">Maternité / gynécologie</t>
  </si>
  <si>
    <t xml:space="preserve">EHPAD Résidence Saint-Simon</t>
  </si>
  <si>
    <t xml:space="preserve">SARL Résidence Saint-Simon (indépendant)</t>
  </si>
  <si>
    <t xml:space="preserve">73 route de Saint-Simon, BP 93597</t>
  </si>
  <si>
    <t xml:space="preserve">Saint-Simon / Papus</t>
  </si>
  <si>
    <t xml:space="preserve">94 lits</t>
  </si>
  <si>
    <t xml:space="preserve">Indépendant : contact direct avec la direction conseillé.</t>
  </si>
  <si>
    <t xml:space="preserve">https://www.pour-les-personnes-agees.gouv.fr/annuaire-ehpad-et-maisons-de-retraite/ehpad/haute-garonne-31/toulouse-31000/ehpad-residence-saint-simon/310003116</t>
  </si>
  <si>
    <t xml:space="preserve">AMFPAD</t>
  </si>
  <si>
    <t xml:space="preserve">SAAD (familles, seniors, handicap)</t>
  </si>
  <si>
    <t xml:space="preserve">Association AMFPAD</t>
  </si>
  <si>
    <t xml:space="preserve">3 rue de Rennes</t>
  </si>
  <si>
    <t xml:space="preserve">31000</t>
  </si>
  <si>
    <t xml:space="preserve">Saint-Michel / Busca</t>
  </si>
  <si>
    <t xml:space="preserve">05 34 45 06 20</t>
  </si>
  <si>
    <t xml:space="preserve">https://amfpad.fr</t>
  </si>
  <si>
    <t xml:space="preserve">Association historique (&gt; 80 ans).</t>
  </si>
  <si>
    <t xml:space="preserve">https://amfpad.fr/</t>
  </si>
  <si>
    <t xml:space="preserve">CHU Toulouse – Hôpital de Psychiatrie (Purpan)</t>
  </si>
  <si>
    <t xml:space="preserve">Hôpital psychiatrique</t>
  </si>
  <si>
    <t xml:space="preserve">https://www.chu-toulouse.fr/hopital-de-psychiatrie</t>
  </si>
  <si>
    <t xml:space="preserve">Clinique Saint-Exupéry</t>
  </si>
  <si>
    <t xml:space="preserve">Clinique néphrologie / dialyse / médecine</t>
  </si>
  <si>
    <t xml:space="preserve">Indépendante (groupement Clinavenir)</t>
  </si>
  <si>
    <t xml:space="preserve">29 rue Émile Lecrivain</t>
  </si>
  <si>
    <t xml:space="preserve">05 61 17 32 63</t>
  </si>
  <si>
    <t xml:space="preserve">https://www.clinique-saint-exupery.com/fr/recrutement/</t>
  </si>
  <si>
    <t xml:space="preserve">candidature@clinique-saint-exupery.com</t>
  </si>
  <si>
    <t xml:space="preserve">86 lits + 64 postes de dialyse</t>
  </si>
  <si>
    <t xml:space="preserve">Email de candidature direct. Forme en interne ses AS dialyse (après DEAS).</t>
  </si>
  <si>
    <t xml:space="preserve">Résidence Le Bois Vert</t>
  </si>
  <si>
    <t xml:space="preserve">EHPAD (16 places Alzheimer)</t>
  </si>
  <si>
    <t xml:space="preserve">SARL Le Bois Vert (indépendant familial)</t>
  </si>
  <si>
    <t xml:space="preserve">15 rue Poutier, BP 50001</t>
  </si>
  <si>
    <t xml:space="preserve">Lardenne</t>
  </si>
  <si>
    <t xml:space="preserve">https://www.leboisvert.fr/fr/contact</t>
  </si>
  <si>
    <t xml:space="preserve">Indépendant familial : la candidature spontanée en main propre fonctionne bien.</t>
  </si>
  <si>
    <t xml:space="preserve">https://www.pour-les-personnes-agees.gouv.fr/annuaire-ehpad-et-maisons-de-retraite/ehpad/haute-garonne-31/toulouse-31100/ehpad-le-bois-vert/310006523</t>
  </si>
  <si>
    <t xml:space="preserve">SSIAD + SAAD du CCAS de Toulouse</t>
  </si>
  <si>
    <t xml:space="preserve">SSIAD + service d'aide à domicile</t>
  </si>
  <si>
    <t xml:space="preserve">23 rue de la Colombette</t>
  </si>
  <si>
    <t xml:space="preserve">Saint-Aubin</t>
  </si>
  <si>
    <t xml:space="preserve">Auxiliaires de vie : 1 an d'expérience demandé (son expérience camerounaise compte).</t>
  </si>
  <si>
    <t xml:space="preserve">Centre Hospitalier Gérard Marchant</t>
  </si>
  <si>
    <t xml:space="preserve">CH Gérard Marchant</t>
  </si>
  <si>
    <t xml:space="preserve">134 route d'Espagne, BP 65714</t>
  </si>
  <si>
    <t xml:space="preserve">31057</t>
  </si>
  <si>
    <t xml:space="preserve">Croix-de-Pierre / Route d'Espagne</t>
  </si>
  <si>
    <t xml:space="preserve">05 61 43 77 77</t>
  </si>
  <si>
    <t xml:space="preserve">https://www.ch-marchant.fr ; offres sur https://emploi.fhf.fr</t>
  </si>
  <si>
    <t xml:space="preserve">&gt; 1 300 salariés</t>
  </si>
  <si>
    <t xml:space="preserve">Recrute régulièrement (ASH et AS). Service recrutement à la même adresse.</t>
  </si>
  <si>
    <t xml:space="preserve">https://www.ch-marchant.fr/web/Gerard_Marchant/11-contact.php</t>
  </si>
  <si>
    <t xml:space="preserve">Clinique Ambroise Paré</t>
  </si>
  <si>
    <t xml:space="preserve">Clinique MCO</t>
  </si>
  <si>
    <t xml:space="preserve">ELSAN</t>
  </si>
  <si>
    <t xml:space="preserve">387 route de Saint-Simon</t>
  </si>
  <si>
    <t xml:space="preserve">31082</t>
  </si>
  <si>
    <t xml:space="preserve">Saint-Simon / Lardenne</t>
  </si>
  <si>
    <t xml:space="preserve">05 61 40 24 20</t>
  </si>
  <si>
    <t xml:space="preserve">https://www.elsan.care/fr/clinique-ambroise-pare-toulouse</t>
  </si>
  <si>
    <t xml:space="preserve">~222 lits</t>
  </si>
  <si>
    <t xml:space="preserve">Grand groupe ; offres AS jour/nuit et ASH sur Indeed / France Travail.</t>
  </si>
  <si>
    <t xml:space="preserve">Polyclinique du Parc</t>
  </si>
  <si>
    <t xml:space="preserve">Clinique MCO + SMR + maternité</t>
  </si>
  <si>
    <t xml:space="preserve">Ramsay Santé</t>
  </si>
  <si>
    <t xml:space="preserve">105 rue Achille Viadieu</t>
  </si>
  <si>
    <t xml:space="preserve">Saint-Michel / Saint-Agne</t>
  </si>
  <si>
    <t xml:space="preserve">05 61 36 66 66</t>
  </si>
  <si>
    <t xml:space="preserve">https://clinique-du-parc.ramsaysante.fr/recrutement-nous-rejoindre/nos-offres-demploi</t>
  </si>
  <si>
    <t xml:space="preserve">281 lits et places</t>
  </si>
  <si>
    <t xml:space="preserve">Comprend un centre de rééducation (SMR).</t>
  </si>
  <si>
    <t xml:space="preserve">EHPAD Françoise de Veyrinas (CCAS)</t>
  </si>
  <si>
    <t xml:space="preserve">21 chemin Catala</t>
  </si>
  <si>
    <t xml:space="preserve">Bellefontaine / Mirail</t>
  </si>
  <si>
    <t xml:space="preserve">83 lits</t>
  </si>
  <si>
    <t xml:space="preserve">Candidature via l'adresse CCAS.</t>
  </si>
  <si>
    <t xml:space="preserve">https://www.pour-les-personnes-agees.gouv.fr/annuaire-ehpad-et-maisons-de-retraite/ehpad/haute-garonne-31/toulouse-31000/ehpad-francoise-de-veyrinas/310784798</t>
  </si>
  <si>
    <t xml:space="preserve">EHPAD Louis Douste-Blazy (CCAS)</t>
  </si>
  <si>
    <t xml:space="preserve">EHPAD à orientation psychiatrique</t>
  </si>
  <si>
    <t xml:space="preserve">3 rue de Jérusalem</t>
  </si>
  <si>
    <t xml:space="preserve">Bellefontaine</t>
  </si>
  <si>
    <t xml:space="preserve">70 résidents</t>
  </si>
  <si>
    <t xml:space="preserve">Ouvert en 2019.</t>
  </si>
  <si>
    <t xml:space="preserve">https://www.mazette.fr/ehpad/haute-garonne/louis-douste-blazy-toulouse</t>
  </si>
  <si>
    <t xml:space="preserve">Senior Compagnie Toulouse Est-Ouest</t>
  </si>
  <si>
    <t xml:space="preserve">Franchise Senior Compagnie</t>
  </si>
  <si>
    <t xml:space="preserve">9 allée Frédéric Mistral</t>
  </si>
  <si>
    <t xml:space="preserve">Saint-Agne / Busca</t>
  </si>
  <si>
    <t xml:space="preserve">05 61 00 53 86</t>
  </si>
  <si>
    <t xml:space="preserve">https://senior-compagnie.fr</t>
  </si>
  <si>
    <t xml:space="preserve">https://senior-compagnie.fr/agence/haute-garonne/aide-a-domicile-a-toulouse-est-ouest/</t>
  </si>
  <si>
    <t xml:space="preserve">Azaé Toulouse</t>
  </si>
  <si>
    <t xml:space="preserve">Azaé (groupe A2micile)</t>
  </si>
  <si>
    <t xml:space="preserve">19 rue du Pont Guilhemery</t>
  </si>
  <si>
    <t xml:space="preserve">05 61 26 03 46</t>
  </si>
  <si>
    <t xml:space="preserve">https://www.azae.com</t>
  </si>
  <si>
    <t xml:space="preserve">Agence « Toulouse Ouest » à Plaisance-du-Touch (~9 km).</t>
  </si>
  <si>
    <t xml:space="preserve">https://www.pagesjaunes.fr/pros/50137970</t>
  </si>
  <si>
    <t xml:space="preserve">Domidom Services Toulouse</t>
  </si>
  <si>
    <t xml:space="preserve">Domidom</t>
  </si>
  <si>
    <t xml:space="preserve">41 rue Bayard</t>
  </si>
  <si>
    <t xml:space="preserve">Matabiau</t>
  </si>
  <si>
    <t xml:space="preserve">https://www.domidom.fr</t>
  </si>
  <si>
    <t xml:space="preserve">https://aideadomiciletoulouse.com/liste-des-structures-aide-a-domicile-de-la-region-toulousaine-haute-garonne/</t>
  </si>
  <si>
    <t xml:space="preserve">O2 Toulouse</t>
  </si>
  <si>
    <t xml:space="preserve">O2 (Oui Care)</t>
  </si>
  <si>
    <t xml:space="preserve">40 port Saint-Étienne</t>
  </si>
  <si>
    <t xml:space="preserve">Saint-Étienne</t>
  </si>
  <si>
    <t xml:space="preserve">https://www.o2.fr</t>
  </si>
  <si>
    <t xml:space="preserve">Agence « O2 Toulouse Ouest » à Tournefeuille (93 rue Gaston Doumergue, ~6 km).</t>
  </si>
  <si>
    <t xml:space="preserve">https://toulouse-ouest.agence.o2.fr/</t>
  </si>
  <si>
    <t xml:space="preserve">Appel Médical Toulouse (agence Santé)</t>
  </si>
  <si>
    <t xml:space="preserve">Intérim médical</t>
  </si>
  <si>
    <t xml:space="preserve">Randstad</t>
  </si>
  <si>
    <t xml:space="preserve">9-11 rue Matabiau, Espace Jeanne d'Arc</t>
  </si>
  <si>
    <t xml:space="preserve">Jeanne d'Arc / Matabiau</t>
  </si>
  <si>
    <t xml:space="preserve">05 34 41 45 15</t>
  </si>
  <si>
    <t xml:space="preserve">https://www.appelmedical.com/agence/1013/</t>
  </si>
  <si>
    <t xml:space="preserve">Leader national ; missions ASH en EHPAD / clinique / CHU.</t>
  </si>
  <si>
    <t xml:space="preserve">DomusVi – Résidence Henri IV</t>
  </si>
  <si>
    <t xml:space="preserve">EHPAD (15 places Alzheimer)</t>
  </si>
  <si>
    <t xml:space="preserve">1 rue Marie-Louise Dubreil-Jacotin</t>
  </si>
  <si>
    <t xml:space="preserve">Saint-Agne / Empalot</t>
  </si>
  <si>
    <t xml:space="preserve">05 61 36 01 01</t>
  </si>
  <si>
    <t xml:space="preserve">https://www.domusvi.com</t>
  </si>
  <si>
    <t xml:space="preserve">https://www.domusvi.com/maisons-de-retraite/haute-garonne-31/residence-henri-iv</t>
  </si>
  <si>
    <t xml:space="preserve">EHPAD Sénior Toulouse Tibaous</t>
  </si>
  <si>
    <t xml:space="preserve">SARL Résidence Senior Toulouse Tibaous</t>
  </si>
  <si>
    <t xml:space="preserve">1 rue Albert Carovis</t>
  </si>
  <si>
    <t xml:space="preserve">Tibaous / Saint-Simon</t>
  </si>
  <si>
    <t xml:space="preserve">05 62 13 41 34</t>
  </si>
  <si>
    <t xml:space="preserve">80 places</t>
  </si>
  <si>
    <t xml:space="preserve">https://www.pour-les-personnes-agees.gouv.fr/annuaire-ehpad-et-maisons-de-retraite/ehpad/haute-garonne-31/toulouse-31000/ehpad-senior-toulouse-tibaous/310020284</t>
  </si>
  <si>
    <t xml:space="preserve">IUCT-Oncopole – Institut Claudius Regaud</t>
  </si>
  <si>
    <t xml:space="preserve">Centre de lutte contre le cancer</t>
  </si>
  <si>
    <t xml:space="preserve">Institut Claudius Regaud (Unicancer)</t>
  </si>
  <si>
    <t xml:space="preserve">1 avenue Irène Joliot-Curie</t>
  </si>
  <si>
    <t xml:space="preserve">Oncopole / Langlade</t>
  </si>
  <si>
    <t xml:space="preserve">05 31 15 50 50</t>
  </si>
  <si>
    <t xml:space="preserve">https://recrutement-icr.iuct-oncopole.fr/</t>
  </si>
  <si>
    <t xml:space="preserve">Portail RH propre ; offres AS et ASH (CDI/CDD).</t>
  </si>
  <si>
    <t xml:space="preserve">Inicea – Clinique Estela</t>
  </si>
  <si>
    <t xml:space="preserve">SMR polyvalent et oncologie</t>
  </si>
  <si>
    <t xml:space="preserve">Inicea (groupe Clariane)</t>
  </si>
  <si>
    <t xml:space="preserve">10 avenue Hubert Curien</t>
  </si>
  <si>
    <t xml:space="preserve">Oncopole</t>
  </si>
  <si>
    <t xml:space="preserve">https://recrutement.inicea.fr</t>
  </si>
  <si>
    <t xml:space="preserve">Clinique récente ; offres AS en ligne. Inicea propose des parcours VAE à ses salariés.</t>
  </si>
  <si>
    <t xml:space="preserve">https://www.inicea.fr/smr/clinique-estela-haute-garonne-31100</t>
  </si>
  <si>
    <t xml:space="preserve">Adhap Services Toulouse</t>
  </si>
  <si>
    <t xml:space="preserve">Adhap</t>
  </si>
  <si>
    <t xml:space="preserve">120 avenue des Minimes</t>
  </si>
  <si>
    <t xml:space="preserve">05 61 22 40 50</t>
  </si>
  <si>
    <t xml:space="preserve">https://www.adhap.fr</t>
  </si>
  <si>
    <t xml:space="preserve">https://www.pour-les-personnes-agees.gouv.fr/annuaire-service-aide-accompagnement-domicile/haute-garonne-31/toulouse-31200/adhap-services/310015649</t>
  </si>
  <si>
    <t xml:space="preserve">ADMR Toulouse (antenne Toulouse Ville)</t>
  </si>
  <si>
    <t xml:space="preserve">Fédération ADMR Haute-Garonne</t>
  </si>
  <si>
    <t xml:space="preserve">142 rue Edmond Rostand</t>
  </si>
  <si>
    <t xml:space="preserve">05 61 48 11 06</t>
  </si>
  <si>
    <t xml:space="preserve">https://www.fede31.admr.org/toulouse</t>
  </si>
  <si>
    <t xml:space="preserve">Réseau associatif national, recrute sans diplôme.</t>
  </si>
  <si>
    <t xml:space="preserve">Résidence Edenis Émeraude</t>
  </si>
  <si>
    <t xml:space="preserve">14 rue des Amandiers</t>
  </si>
  <si>
    <t xml:space="preserve">31700</t>
  </si>
  <si>
    <t xml:space="preserve">Blagnac</t>
  </si>
  <si>
    <t xml:space="preserve">05 61 71 44 50</t>
  </si>
  <si>
    <t xml:space="preserve">https://edenis.fr</t>
  </si>
  <si>
    <t xml:space="preserve">90 places</t>
  </si>
  <si>
    <t xml:space="preserve">Résidence autonomie Émeraude (110 logements) en construction à côté : embauches à venir.</t>
  </si>
  <si>
    <t xml:space="preserve">https://www.capgeris.com/ehpad/occitanie/haute-garonne/blagnac/ehpad-residence-emeraude-m17948.htm</t>
  </si>
  <si>
    <t xml:space="preserve">Résidence Edenis Les Jardins de Maniban</t>
  </si>
  <si>
    <t xml:space="preserve">EHPAD (13 places Alzheimer)</t>
  </si>
  <si>
    <t xml:space="preserve">7 chemin des Sœurs</t>
  </si>
  <si>
    <t xml:space="preserve">05 82 08 15 23</t>
  </si>
  <si>
    <t xml:space="preserve">https://les-jardins-de-maniban.edenis.fr</t>
  </si>
  <si>
    <t xml:space="preserve">82 lits</t>
  </si>
  <si>
    <t xml:space="preserve">https://les-jardins-de-maniban.edenis.fr/la-residence/</t>
  </si>
  <si>
    <t xml:space="preserve">L'Arche en Pays Toulousain</t>
  </si>
  <si>
    <t xml:space="preserve">FAM + foyer de vie + foyer d'hébergement</t>
  </si>
  <si>
    <t xml:space="preserve">Association L'Arche en Pays Toulousain</t>
  </si>
  <si>
    <t xml:space="preserve">2 rue du Docteur Guimbaud</t>
  </si>
  <si>
    <t xml:space="preserve">05 62 87 11 20</t>
  </si>
  <si>
    <t xml:space="preserve">contact@archepaystoulousain.org</t>
  </si>
  <si>
    <t xml:space="preserve">38 places (FAM)</t>
  </si>
  <si>
    <t xml:space="preserve">Recrute AS / AES ; email direct.</t>
  </si>
  <si>
    <t xml:space="preserve">https://www.etablissementsdesante.fr/etablissement/23397-foyer-de-vie-arche-en-pays-toulousain</t>
  </si>
  <si>
    <t xml:space="preserve">Inicea – Clinique de Blagnac</t>
  </si>
  <si>
    <t xml:space="preserve">SMR gériatrique et neuro-vasculaire</t>
  </si>
  <si>
    <t xml:space="preserve">11 boulevard Henri Ziegler</t>
  </si>
  <si>
    <t xml:space="preserve">Blagnac sud</t>
  </si>
  <si>
    <t xml:space="preserve">Ouverture récente : recrutements en cours probables.</t>
  </si>
  <si>
    <t xml:space="preserve">https://www.inicea.fr/actualites/inauguration-nouvelle-clinique-de-blagnac-inicea</t>
  </si>
  <si>
    <t xml:space="preserve">Hublo (Pool Hublo)</t>
  </si>
  <si>
    <t xml:space="preserve">Plateforme de remplacements (application)</t>
  </si>
  <si>
    <t xml:space="preserve">Hublo</t>
  </si>
  <si>
    <t xml:space="preserve">100 % en ligne</t>
  </si>
  <si>
    <t xml:space="preserve">https://www.hublo.com/fr/pool-hublo-soignants</t>
  </si>
  <si>
    <t xml:space="preserve">Inscription gratuite ; de nombreux EHPAD et cliniques toulousains y publient leurs remplacements (dont ASH).</t>
  </si>
  <si>
    <t xml:space="preserve">HAD Clinique Pasteur</t>
  </si>
  <si>
    <t xml:space="preserve">Hospitalisation à domicile</t>
  </si>
  <si>
    <t xml:space="preserve">45 avenue de Lombez</t>
  </si>
  <si>
    <t xml:space="preserve">Arènes</t>
  </si>
  <si>
    <t xml:space="preserve">05 62 21 31 31</t>
  </si>
  <si>
    <t xml:space="preserve">https://talents.clinique-pasteur.com</t>
  </si>
  <si>
    <t xml:space="preserve">5 antennes</t>
  </si>
  <si>
    <t xml:space="preserve">Recrute des AS diplômées : cible après le DEAS.</t>
  </si>
  <si>
    <t xml:space="preserve">Résidence autonomie Tounis (CCAS)</t>
  </si>
  <si>
    <t xml:space="preserve">Résidence autonomie (personnes autonomes)</t>
  </si>
  <si>
    <t xml:space="preserve">88 quai de Tounis</t>
  </si>
  <si>
    <t xml:space="preserve">Carmes / Tounis</t>
  </si>
  <si>
    <t xml:space="preserve">05 61 25 60 08</t>
  </si>
  <si>
    <t xml:space="preserve">28 places</t>
  </si>
  <si>
    <t xml:space="preserve">Public autonome : peu de soins, plutôt entretien / restauration.</t>
  </si>
  <si>
    <t xml:space="preserve">https://www.pour-les-personnes-agees.gouv.fr/annuaire-ehpad-et-maisons-de-retraite/residence-autonomie/haute-garonne-31/toulouse-31000/residence-autonomie-tounis/310786686</t>
  </si>
  <si>
    <t xml:space="preserve">Job-Médical Conseil</t>
  </si>
  <si>
    <t xml:space="preserve">Agence de placement paramédical</t>
  </si>
  <si>
    <t xml:space="preserve">Indépendant</t>
  </si>
  <si>
    <t xml:space="preserve">31 rue Auguste Guénot</t>
  </si>
  <si>
    <t xml:space="preserve">Papus / Bagatelle</t>
  </si>
  <si>
    <t xml:space="preserve">06 61 66 46 57</t>
  </si>
  <si>
    <t xml:space="preserve">CDD longs en SSIAD (AS diplômées surtout).</t>
  </si>
  <si>
    <t xml:space="preserve">https://www.pagesjaunes.fr/pros/51251836</t>
  </si>
  <si>
    <t xml:space="preserve">EHPAD Plénitude Saint-Michel</t>
  </si>
  <si>
    <t xml:space="preserve">28 allées Jules Guesde</t>
  </si>
  <si>
    <t xml:space="preserve">77 chambres</t>
  </si>
  <si>
    <t xml:space="preserve">Source indirecte : vérifier l'existence et le gestionnaire avant contact.</t>
  </si>
  <si>
    <t xml:space="preserve">https://www.pagesjaunes.fr/annuaire/toulouse-31/maisons-de-retraite-privees-ehpad</t>
  </si>
  <si>
    <t xml:space="preserve">ATSAD – Association Toulousaine de Soins à Domicile</t>
  </si>
  <si>
    <t xml:space="preserve">SSIAD</t>
  </si>
  <si>
    <t xml:space="preserve">ATSAD</t>
  </si>
  <si>
    <t xml:space="preserve">18 place Dupuy</t>
  </si>
  <si>
    <t xml:space="preserve">Centre (rive droite)</t>
  </si>
  <si>
    <t xml:space="preserve">05 61 55 36 17</t>
  </si>
  <si>
    <t xml:space="preserve">https://www.atsad-ssiad.fr</t>
  </si>
  <si>
    <t xml:space="preserve">60 patients</t>
  </si>
  <si>
    <t xml:space="preserve">Petit SSIAD : cible après le DEAS.</t>
  </si>
  <si>
    <t xml:space="preserve">https://www.atsad-ssiad.fr/</t>
  </si>
  <si>
    <t xml:space="preserve">SSIAD Mutualité Française Haute-Garonne</t>
  </si>
  <si>
    <t xml:space="preserve">Mutualité Française HG</t>
  </si>
  <si>
    <t xml:space="preserve">3 rue du Doyen Lefebvre</t>
  </si>
  <si>
    <t xml:space="preserve">31081</t>
  </si>
  <si>
    <t xml:space="preserve">Coordonnées à vérifier.</t>
  </si>
  <si>
    <t xml:space="preserve">https://www.sanitaire-social.com/annuaire-soins-et-aide-a-domicile/services-de-soins-infirmiers-a-domicile-ssiad/liste-toulouse-31000</t>
  </si>
  <si>
    <t xml:space="preserve">UNA Haute-Garonne (fédération)</t>
  </si>
  <si>
    <t xml:space="preserve">Tête de réseau d'associations d'aide à domicile</t>
  </si>
  <si>
    <t xml:space="preserve">UNA 31</t>
  </si>
  <si>
    <t xml:space="preserve">39 avenue Honoré Serre</t>
  </si>
  <si>
    <t xml:space="preserve">Compans-Caffarelli</t>
  </si>
  <si>
    <t xml:space="preserve">https://www.una.fr</t>
  </si>
  <si>
    <t xml:space="preserve">Pas un employeur direct : oriente vers ses associations adhérentes.</t>
  </si>
  <si>
    <t xml:space="preserve">https://www.pappers.fr/entreprise/una-haute-garonne-499599983</t>
  </si>
  <si>
    <t xml:space="preserve">Institut des Jeunes Aveugles (CESDV-IJA)</t>
  </si>
  <si>
    <t xml:space="preserve">Institut pour déficients visuels (internat)</t>
  </si>
  <si>
    <t xml:space="preserve">Fondation IJA</t>
  </si>
  <si>
    <t xml:space="preserve">37 rue Monplaisir</t>
  </si>
  <si>
    <t xml:space="preserve">Personnel d'internat ; besoin en AS à vérifier.</t>
  </si>
  <si>
    <t xml:space="preserve">https://www.fisaf.asso.fr/adherer-a-la-fisaf/associations-etablissements-services-adherents/item/494-institut-des-jeunes-aveugles-ija-de-toulouse</t>
  </si>
  <si>
    <t xml:space="preserve">Résidence autonomie Les Sept Deniers (CCAS)</t>
  </si>
  <si>
    <t xml:space="preserve">Résidence autonomie</t>
  </si>
  <si>
    <t xml:space="preserve">4 chemin Garric</t>
  </si>
  <si>
    <t xml:space="preserve">Sept-Deniers</t>
  </si>
  <si>
    <t xml:space="preserve">05 34 40 00 20</t>
  </si>
  <si>
    <t xml:space="preserve">86 studios</t>
  </si>
  <si>
    <t xml:space="preserve">Plutôt ASH / auxiliaire de vie.</t>
  </si>
  <si>
    <t xml:space="preserve">https://metropole.toulouse.fr/annuaire/residence-autonomie-sept-deniers</t>
  </si>
  <si>
    <t xml:space="preserve">IME Enfances Plurielles (ARSEAA)</t>
  </si>
  <si>
    <t xml:space="preserve">Institut médico-éducatif</t>
  </si>
  <si>
    <t xml:space="preserve">ARSEAA</t>
  </si>
  <si>
    <t xml:space="preserve">14 rue Paulin Talabot</t>
  </si>
  <si>
    <t xml:space="preserve">Basso Cambo / Saint-Simon</t>
  </si>
  <si>
    <t xml:space="preserve">05 61 43 06 04</t>
  </si>
  <si>
    <t xml:space="preserve">https://www.arseaa.org/pole-enfances-plurielles</t>
  </si>
  <si>
    <t xml:space="preserve">Siège ARSEAA : 7 chemin de Colasson, 31081 Toulouse.</t>
  </si>
  <si>
    <t xml:space="preserve">HAD Santé Relais Domicile</t>
  </si>
  <si>
    <t xml:space="preserve">Association Santé Relais Domicile</t>
  </si>
  <si>
    <t xml:space="preserve">25 rue Paule Raymondis</t>
  </si>
  <si>
    <t xml:space="preserve">Minimes / Sept-Deniers</t>
  </si>
  <si>
    <t xml:space="preserve">05 34 40 40 40</t>
  </si>
  <si>
    <t xml:space="preserve">https://www.sante-relais-domicile.fr/recrutement</t>
  </si>
  <si>
    <t xml:space="preserve">had.accueil@had-srd.org</t>
  </si>
  <si>
    <t xml:space="preserve">DomusVi – Résidence Tiers Temps</t>
  </si>
  <si>
    <t xml:space="preserve">23 rue du Moulin</t>
  </si>
  <si>
    <t xml:space="preserve">https://www.pour-les-personnes-agees.gouv.fr/annuaire-ehpad-et-comparateur-de-prix-et-restes-a-charge?ci=31069&amp;cp=31700</t>
  </si>
  <si>
    <t xml:space="preserve">DomusVi – Résidence de Vinci</t>
  </si>
  <si>
    <t xml:space="preserve">EHPAD (25 places Alzheimer)</t>
  </si>
  <si>
    <t xml:space="preserve">20 rue Pablo Picasso</t>
  </si>
  <si>
    <t xml:space="preserve">05 33 06 07 36</t>
  </si>
  <si>
    <t xml:space="preserve">https://www.domusvi.com/maisons-de-retraite/haute-garonne-31/residence-de-vinci</t>
  </si>
  <si>
    <t xml:space="preserve">Résidence Edenis Le Grand Marquisat</t>
  </si>
  <si>
    <t xml:space="preserve">28 rue Berthelot</t>
  </si>
  <si>
    <t xml:space="preserve">31170</t>
  </si>
  <si>
    <t xml:space="preserve">Tournefeuille</t>
  </si>
  <si>
    <t xml:space="preserve">05 82 08 15 13</t>
  </si>
  <si>
    <t xml:space="preserve">https://grand-marquisat.edenis.fr</t>
  </si>
  <si>
    <t xml:space="preserve">https://grand-marquisat.edenis.fr/la-residence/</t>
  </si>
  <si>
    <t xml:space="preserve">Résidence autonomie d'Oc (CCAS Tournefeuille)</t>
  </si>
  <si>
    <t xml:space="preserve">CCAS de Tournefeuille</t>
  </si>
  <si>
    <t xml:space="preserve">3 allée des Sports</t>
  </si>
  <si>
    <t xml:space="preserve">05 61 06 61 63</t>
  </si>
  <si>
    <t xml:space="preserve">https://www.mairie-tournefeuille.fr</t>
  </si>
  <si>
    <t xml:space="preserve">&gt; 100 places</t>
  </si>
  <si>
    <t xml:space="preserve">https://www.mairie-tournefeuille.fr/service/residence-doc/</t>
  </si>
  <si>
    <t xml:space="preserve">DomusVi – Le Domaine du Valier</t>
  </si>
  <si>
    <t xml:space="preserve">EHPAD (UVP + PASA)</t>
  </si>
  <si>
    <t xml:space="preserve">21 chemin de l'Armurié, ZAC des Ramassiers</t>
  </si>
  <si>
    <t xml:space="preserve">31770</t>
  </si>
  <si>
    <t xml:space="preserve">Colomiers est</t>
  </si>
  <si>
    <t xml:space="preserve">https://www.ledomaineduvalier.com ; https://www.domusvi.com</t>
  </si>
  <si>
    <t xml:space="preserve">106 places</t>
  </si>
  <si>
    <t xml:space="preserve">Limite du rayon.</t>
  </si>
  <si>
    <t xml:space="preserve">https://www.pour-les-personnes-agees.gouv.fr/annuaire-ehpad-et-maisons-de-retraite/ehpad/haute-garonne-31/colomiers-31770/domaine-du-valier/310782461</t>
  </si>
  <si>
    <t xml:space="preserve">Vitalis Médical Toulouse</t>
  </si>
  <si>
    <t xml:space="preserve">Intérim / vacations / CDD-CDI médico-social</t>
  </si>
  <si>
    <t xml:space="preserve">Mistertemp' Group</t>
  </si>
  <si>
    <t xml:space="preserve">10 place Firmin Pons</t>
  </si>
  <si>
    <t xml:space="preserve">Colomiers</t>
  </si>
  <si>
    <t xml:space="preserve">09 86 47 05 25 / 07 62 62 30 62</t>
  </si>
  <si>
    <t xml:space="preserve">https://www.vitalis-medical.com</t>
  </si>
  <si>
    <t xml:space="preserve">toulouse@vitalis-medical.com</t>
  </si>
  <si>
    <t xml:space="preserve">Hors rayon mais couvre tout Toulouse ouest ; offres auxiliaires de vie.</t>
  </si>
  <si>
    <t xml:space="preserve">https://www.vitalis-medical.com/agence-interim-recrutement/agence-interim-recrutement-emploi-medical-toulouse.html</t>
  </si>
  <si>
    <t xml:space="preserve">Mediflash</t>
  </si>
  <si>
    <t xml:space="preserve">Plateforme de renfort soignant</t>
  </si>
  <si>
    <t xml:space="preserve">https://mediflash.fr/inscription-soignants/</t>
  </si>
  <si>
    <t xml:space="preserve">Inscriptions AS temporairement suspendues (2026) : à revérifier.</t>
  </si>
  <si>
    <t xml:space="preserve">Tableau de bord de la prospection</t>
  </si>
  <si>
    <t xml:space="preserve">Se met à jour automatiquement à partir de l'onglet Prospection (colonnes S, P, C, X).</t>
  </si>
  <si>
    <t xml:space="preserve">Indicateurs clés</t>
  </si>
  <si>
    <t xml:space="preserve">Valeur</t>
  </si>
  <si>
    <t xml:space="preserve">Par catégorie</t>
  </si>
  <si>
    <t xml:space="preserve">Nombre</t>
  </si>
  <si>
    <t xml:space="preserve">Structures recensées</t>
  </si>
  <si>
    <t xml:space="preserve">Structures en priorité 1</t>
  </si>
  <si>
    <t xml:space="preserve">Structures déjà contactées (statut différent de « À contacter »)</t>
  </si>
  <si>
    <t xml:space="preserve">Taux de couverture</t>
  </si>
  <si>
    <t xml:space="preserve">Relances en retard (date dépassée, dossier encore ouvert)</t>
  </si>
  <si>
    <t xml:space="preserve">Relances prévues dans les 7 prochains jours</t>
  </si>
  <si>
    <t xml:space="preserve">Entretiens obtenus</t>
  </si>
  <si>
    <t xml:space="preserve">Total</t>
  </si>
  <si>
    <t xml:space="preserve">Réponses positives / embauche</t>
  </si>
  <si>
    <t xml:space="preserve">Par statut de suivi</t>
  </si>
  <si>
    <t xml:space="preserve">Part</t>
  </si>
  <si>
    <t xml:space="preserve">Par priorité</t>
  </si>
  <si>
    <t xml:space="preserve">Priorité 1</t>
  </si>
  <si>
    <t xml:space="preserve">Contacté – en attente</t>
  </si>
  <si>
    <t xml:space="preserve">Priorité 2</t>
  </si>
  <si>
    <t xml:space="preserve">Relance à faire</t>
  </si>
  <si>
    <t xml:space="preserve">Priorité 3</t>
  </si>
  <si>
    <t xml:space="preserve">Entretien</t>
  </si>
  <si>
    <t xml:space="preserve">Embauche / positif</t>
  </si>
  <si>
    <t xml:space="preserve">Par poste à viser</t>
  </si>
  <si>
    <t xml:space="preserve">Réponse négative</t>
  </si>
  <si>
    <t xml:space="preserve">Clos</t>
  </si>
  <si>
    <t xml:space="preserve">Date du jour (référence des relances)</t>
  </si>
  <si>
    <t xml:space="preserve">Étape</t>
  </si>
  <si>
    <t xml:space="preserve">Thème</t>
  </si>
  <si>
    <t xml:space="preserve">Ce qu'il faut savoir</t>
  </si>
  <si>
    <t xml:space="preserve">Action concrète</t>
  </si>
  <si>
    <t xml:space="preserve">Organisme / où</t>
  </si>
  <si>
    <t xml:space="preserve">Pièces</t>
  </si>
  <si>
    <t xml:space="preserve">Délai / coût</t>
  </si>
  <si>
    <t xml:space="preserve">Fait ? (Oui / En cours / Non)</t>
  </si>
  <si>
    <t xml:space="preserve">Notes / dates</t>
  </si>
  <si>
    <t xml:space="preserve">1</t>
  </si>
  <si>
    <t xml:space="preserve">Diplôme camerounais</t>
  </si>
  <si>
    <t xml:space="preserve">Aucune équivalence ni reconnaissance n'existe en France pour un diplôme d'aide-soignant obtenu hors UE/EEE/Suisse (Croix-Rouge Cameroun inclus). La DREETS ne peut rien délivrer. Le titre d'aide-soignant ne peut pas être utilisé sans le DEAS français (usurpation de titre, art. L4394-1 CSP).</t>
  </si>
  <si>
    <t xml:space="preserve">Ne pas viser un poste intitulé « aide-soignante » tant que le DEAS n'est pas obtenu. Viser ASH / agent de soins / aide à domicile, et lancer en parallèle la VAE ou l'IFAS.</t>
  </si>
  <si>
    <t xml:space="preserve">DREETS Occitanie (confirme l'absence de procédure) : dreets-oc.diplomes-paramedicaux@dreets.gouv.fr – 09 88 88 80 83</t>
  </si>
  <si>
    <t xml:space="preserve">Copie de l'attestation de réussite (suffit pour toutes les démarches ci-dessous, l'original n'est jamais exigé).</t>
  </si>
  <si>
    <t xml:space="preserve">https://bourgogne-franche-comte.dreets.gouv.fr/Dispositif-de-reconnaissance-des-diplomes-paramedicaux</t>
  </si>
  <si>
    <t xml:space="preserve">Non</t>
  </si>
  <si>
    <t xml:space="preserve">2</t>
  </si>
  <si>
    <t xml:space="preserve">Attestation de réussite vs original</t>
  </si>
  <si>
    <t xml:space="preserve">Au Cameroun le diplôme MINSANTE n'est pas réédité en cas de perte, mais une attestation de réussite a la même valeur juridique. Depuis 2019-2020 les diplômes sont authentifiables par QR code sur scolarite.minsante.cm. Documents en français : aucune traduction assermentée nécessaire.</t>
  </si>
  <si>
    <t xml:space="preserve">Créer/consulter l'espace personnel sur scolarite.minsante.cm pour télécharger le PDF authentifiable ; sinon demander une copie certifiée à l'école Croix-Rouge ou à la Délégation régionale de la Santé publique (procuration à un proche au Cameroun).</t>
  </si>
  <si>
    <t xml:space="preserve">MINSANTE Cameroun – https://scolarite.minsante.cm (vérification : /diplome/verify) ; Consulat du Cameroun à Paris, 73 rue d'Auteuil 75016 (légalisation seulement, pas de duplicata).</t>
  </si>
  <si>
    <t xml:space="preserve">Pièce d'identité, attestation actuelle, relevés de notes.</t>
  </si>
  <si>
    <t xml:space="preserve">Variable (Cameroun) ; légalisation consulat 15 €/document (non exigée pour IFAS/VAE/AT).</t>
  </si>
  <si>
    <t xml:space="preserve">https://echosante.info/authentification-des-diplomes-le-minsante-opte-pour-un-code-barre/</t>
  </si>
  <si>
    <t xml:space="preserve">3</t>
  </si>
  <si>
    <t xml:space="preserve">ENIC-NARIC (optionnel)</t>
  </si>
  <si>
    <t xml:space="preserve">Attestation de comparabilité : avis qui situe le diplôme dans le système français. Ce n'est ni une équivalence ni un droit d'exercer. ENIC-NARIC accepte « le diplôme ou, à défaut, l'attestation de réussite ». Plusieurs guides indiquent qu'il ne délivre pas d'attestation pour les professions paramédicales réglementées : demande possiblement refusée.</t>
  </si>
  <si>
    <t xml:space="preserve">Utilité faible pour ce projet. À faire seulement si un employeur ou un accompagnateur VAE le demande.</t>
  </si>
  <si>
    <t xml:space="preserve">France Éducation international – ENIC-NARIC (en ligne)</t>
  </si>
  <si>
    <t xml:space="preserve">Pièce d'identité, diplôme ou attestation de réussite, relevés de notes / durée des études.</t>
  </si>
  <si>
    <t xml:space="preserve">120 € (gratuit réfugiés/demandeurs d'asile) ; ~4 mois (jusqu'à 6).</t>
  </si>
  <si>
    <t xml:space="preserve">https://www.service-public.gouv.fr/particuliers/vosdroits/R38515</t>
  </si>
  <si>
    <t xml:space="preserve">4</t>
  </si>
  <si>
    <t xml:space="preserve">Postes accessibles sans DEAS</t>
  </si>
  <si>
    <t xml:space="preserve">ASH / ASHQ : aucun diplôme exigé (hygiène des locaux, hôtellerie, aide aux repas, pas d'actes de soins). Après la formation de 70 h « participation aux soins d'hygiène, de confort et de bien-être », l'ASH peut participer à ces soins sous responsabilité d'un cadre. Aide à domicile degré 1 (CCN BAD) : sans diplôme. Ces emplois construisent l'expérience française pour la VAE et ouvrent la voie IFAS « article 11 ».</t>
  </si>
  <si>
    <t xml:space="preserve">Cibler dans le fichier Prospection : ASH (hôpitaux, cliniques, EHPAD), agent de soins / agent hôtelier (EHPAD), aide à domicile / auxiliaire de vie (SAAD, SSIAD). Demander la formation 70 h dès l'embauche.</t>
  </si>
  <si>
    <t xml:space="preserve">Formation 70 h à Toulouse : GRETA Toulouse-Pyrénées (Lycée Hélène Boucher) ; Croix-Rouge Compétence Occitanie 05 61 31 56 70.</t>
  </si>
  <si>
    <t xml:space="preserve">CV mettant en avant l'expérience camerounaise (soins d'hygiène et de confort), attestation de réussite en pièce jointe.</t>
  </si>
  <si>
    <t xml:space="preserve">Formation 70 h : souvent financée par l'employeur (OPCO / ANFH).</t>
  </si>
  <si>
    <t xml:space="preserve">https://www.croix-rouge.fr/formation-professionnelle/agent-des-services-hospitaliers-ash-renfort-aux-aides-soignants</t>
  </si>
  <si>
    <t xml:space="preserve">5</t>
  </si>
  <si>
    <t xml:space="preserve">Autorisation de travail (AT)</t>
  </si>
  <si>
    <t xml:space="preserve">Déposée uniquement par l'EMPLOYEUR, en ligne sur l'ANEF. La DREETS n'instruit plus : ce sont les plateformes interrégionales de main-d'œuvre étrangère (préfectures). Critères (R5221-20 C. trav.) : métier en tension OU offre publiée 3 semaines à France Travail ; salaire ≥ SMIC/minimum conventionnel ; employeur à jour URSSAF ; adéquation qualification/emploi. Silence de 2 mois = rejet implicite.</t>
  </si>
  <si>
    <t xml:space="preserve">Rassurer l'employeur : procédure en ligne, gratuite, sans publication d'offre si le métier est en tension (voir étape 6). Lui fournir la liste des pièces prête à l'emploi (voir onglet Modèles).</t>
  </si>
  <si>
    <t xml:space="preserve">ANEF : https://administration-etrangers-en-france.interieur.gouv.fr – assistance DGEF 0 806 001 620 (gratuit).</t>
  </si>
  <si>
    <t xml:space="preserve">Formulaire ANEF, Kbis/SIRET, contrat ou promesse d'embauche, pièce d'identité + titre/récépissé de la salariée, CV + copies diplômes (France et étranger) + attestations d'activité, attestation de vigilance URSSAF &lt; 6 mois (arrêté du 3 janvier 2025).</t>
  </si>
  <si>
    <t xml:space="preserve">Gratuit ; réponse sous 2 mois maximum.</t>
  </si>
  <si>
    <t xml:space="preserve">https://www.service-public.gouv.fr/particuliers/vosdroits/F2728</t>
  </si>
  <si>
    <t xml:space="preserve">6</t>
  </si>
  <si>
    <t xml:space="preserve">Métiers en tension – Occitanie</t>
  </si>
  <si>
    <t xml:space="preserve">Arrêté du 21 mai 2025 (toujours en vigueur au 30/09/2026). En Occitanie figurent : V0Z60 Aides-soignants, T2A60 Aides à domicile et aides ménagères, T4Z60 Agents d'entretien de locaux (FAP la plus proche d'un poste ASH). Conséquence : pas d'opposabilité de la situation de l'emploi → l'employeur n'a pas à publier l'offre 3 semaines.</t>
  </si>
  <si>
    <t xml:space="preserve">Sur la promesse d'embauche, faire libeller le poste avec un intitulé qui correspond à une FAP en tension (aide à domicile, agent d'entretien / ASH) et le rappeler dans le dossier ANEF. Faire confirmer la FAP par la plateforme si doute.</t>
  </si>
  <si>
    <t xml:space="preserve">Texte : https://www.legifrance.gouv.fr/jorf/id/JORFTEXT000051643488</t>
  </si>
  <si>
    <t xml:space="preserve">https://www.entreprises-occitanie.com/actualites/occitanie-35-metiers-en-tension-dans-la-nouvelle-liste-nationale</t>
  </si>
  <si>
    <t xml:space="preserve">7</t>
  </si>
  <si>
    <t xml:space="preserve">Titres de séjour dispensant d'AT</t>
  </si>
  <si>
    <t xml:space="preserve">Dispensent d'AT (R5221-2) : carte de résident, carte « vie privée et familiale », réfugié/protection subsidiaire, « talent », récépissé/APS portant la mention « autorise son titulaire à travailler ». Étudiant : 964 h/an sans AT (au-delà, AT). Récépissé de renouvellement : autorise à travailler si le titre précédent le permettait. Demandeur d'asile : AT possible si l'OFPRA n'a pas statué après 6 mois.</t>
  </si>
  <si>
    <t xml:space="preserve">Vérifier la mention exacte du titre / récépissé actuel : si elle autorise à travailler, l'employeur n'a AUCUNE démarche ANEF à faire (argument décisif à mettre en avant dans la candidature).</t>
  </si>
  <si>
    <t xml:space="preserve">Préfecture de la Haute-Garonne – Direction des migrations et de l'intégration : 1 place Saint-Étienne, 31038 Toulouse – 05 34 45 34 45 – pref-sejour@haute-garonne.gouv.fr</t>
  </si>
  <si>
    <t xml:space="preserve">Titre de séjour ou récépissé en cours de validité.</t>
  </si>
  <si>
    <t xml:space="preserve">https://code.travail.gouv.fr/code-du-travail/r5221-2</t>
  </si>
  <si>
    <t xml:space="preserve">8</t>
  </si>
  <si>
    <t xml:space="preserve">Si sans titre : AES « métiers en tension »</t>
  </si>
  <si>
    <t xml:space="preserve">Art. L435-4 CESEDA (loi du 26 janvier 2024) : carte « salarié » ou « travailleur temporaire » d'1 an valant AT, délivrée sans accord de l'employeur, si : ≥ 3 ans de résidence habituelle en France, ≥ 12 mois d'activité salariée sur les 24 derniers mois dans un métier en tension, emploi actuel en tension. DISPOSITIF EXPÉRIMENTAL JUSQU'AU 31/12/2026, aucune prorogation connue.</t>
  </si>
  <si>
    <t xml:space="preserve">Si elle remplit les conditions : déposer la pré-demande Haute-Garonne AVANT fin 2026, avec l'aide de La Cimade ou du CIDFF. Sinon : voie AES « salarié » de droit commun (circulaire Valls) à étudier avec un juriste.</t>
  </si>
  <si>
    <t xml:space="preserve">Pré-demande : https://demarche.numerique.gouv.fr/commencer/metiers-en-tension-haute-garonne – Préfecture, service AES, 1 rue Sainte-Anne, 31000 Toulouse</t>
  </si>
  <si>
    <t xml:space="preserve">Preuves de résidence (3 ans), bulletins de paie / attestations (12 mois sur 24), contrat actuel, contrat d'engagement républicain.</t>
  </si>
  <si>
    <t xml:space="preserve">Timbre fiscal à la délivrance ; délais préfectoraux longs → anticiper.</t>
  </si>
  <si>
    <t xml:space="preserve">https://www.service-public.gouv.fr/particuliers/vosdroits/F16053</t>
  </si>
  <si>
    <t xml:space="preserve">9</t>
  </si>
  <si>
    <t xml:space="preserve">VAE du DEAS</t>
  </si>
  <si>
    <t xml:space="preserve">Plus de durée minimale légale d'expérience depuis le décret du 27/12/2023, mais le repère pratique d'1 an / 1 607 h reste utilisé. L'expérience acquise au Cameroun est recevable sur justificatifs (attestations d'employeur, contrats). Dossier sur France VAE avec un Architecte Accompagnateur de Parcours, puis dossier de validation et jury (oral 30-45 min). AFGSU 2 exigée au jury. Le DEAS est enregistré RNCP 40692 (2025-2029).</t>
  </si>
  <si>
    <t xml:space="preserve">Ouvrir un compte sur vae.gouv.fr, choisir « Diplôme d'État d'aide-soignant », se faire rappeler par un accompagnateur en Occitanie. Rassembler dès maintenant les attestations d'employeurs camerounais (dates, fonctions, activités réalisées).</t>
  </si>
  <si>
    <t xml:space="preserve">France VAE : https://vae.gouv.fr/certifications/91d7991a-eb28-43ca-a07d-0a4d9c142565/ – Résultats jurys : DREETS Occitanie</t>
  </si>
  <si>
    <t xml:space="preserve">Attestations d'expérience détaillées, contrats, bulletins ; attestation de réussite ; pièce d'identité.</t>
  </si>
  <si>
    <t xml:space="preserve">Recevabilité notifiée sous 2 mois ; parcours 6 à 12 mois. Financement : CPF (reste à charge ~103 €), France Travail (demandeurs d'emploi), Transitions Pro (2 000 €, salariés privé, décret du 27/07/2026).</t>
  </si>
  <si>
    <t xml:space="preserve">https://vae.gouv.fr</t>
  </si>
  <si>
    <t xml:space="preserve">10</t>
  </si>
  <si>
    <t xml:space="preserve">Formation DEAS en IFAS</t>
  </si>
  <si>
    <t xml:space="preserve">Sélection sur dossier + entretien, sans condition de diplôme ; titre de séjour valide exigé à l'entrée. Le diplôme camerounais n'ouvre aucune dispense (cursus complet 1 540 h, ~11 mois). Voie « article 11 » : les ASH avec 1 an d'ancienneté (ou 6 mois + formation 70 h) sont admis SANS sélection, ≥ 20 % des places réservées.</t>
  </si>
  <si>
    <t xml:space="preserve">Stratégie : travailler comme ASH 6 mois + formation 70 h → entrée directe en IFAS. S'inscrire à France Travail AVANT l'entrée pour la gratuité Région Occitanie. Voir onglet « IFAS &amp; formations » pour les dates.</t>
  </si>
  <si>
    <t xml:space="preserve">Région Occitanie – formations sanitaires et sociales : https://www.laregion.fr/formations-sanitaires-sociales ; bourses : https://www.laregion.fr/bourses-etudes-sanitaires-sociales</t>
  </si>
  <si>
    <t xml:space="preserve">Dossier IFAS (CV, lettre, attestation de réussite, attestations d'expérience, titre de séjour).</t>
  </si>
  <si>
    <t xml:space="preserve">Gratuit si demandeuse d'emploi inscrite à France Travail (sinon ~8 470 €/an à la Croix-Rouge).</t>
  </si>
  <si>
    <t xml:space="preserve">https://www.anfh.fr/actualites/deas-et-deap-nouvelles-modifications-des-conditions-d-acces-aux-formations</t>
  </si>
  <si>
    <t xml:space="preserve">Établissement</t>
  </si>
  <si>
    <t xml:space="preserve">Statut</t>
  </si>
  <si>
    <t xml:space="preserve">Email</t>
  </si>
  <si>
    <t xml:space="preserve">Site</t>
  </si>
  <si>
    <t xml:space="preserve">Sélection 2026</t>
  </si>
  <si>
    <t xml:space="preserve">Rentrée</t>
  </si>
  <si>
    <t xml:space="preserve">Dossier déposé ? / notes</t>
  </si>
  <si>
    <t xml:space="preserve">IFAS PREFMS – CHU de Toulouse</t>
  </si>
  <si>
    <t xml:space="preserve">Public (150 places)</t>
  </si>
  <si>
    <t xml:space="preserve">74 voie du TOEC, TSA 40031, 31059 Toulouse Cedex 9 (site Purpan, ~3 km des Arènes)</t>
  </si>
  <si>
    <t xml:space="preserve">05 61 32 40 60 / 05 61 77 22 33</t>
  </si>
  <si>
    <t xml:space="preserve">ifas.sec@chu-toulouse.fr ; ifas.selection@chu-toulouse.fr</t>
  </si>
  <si>
    <t xml:space="preserve">https://ecoles-instituts.chu-toulouse.fr/concours-et-selections/ifas/</t>
  </si>
  <si>
    <t xml:space="preserve">Inscriptions 2 mars → 10 juin 2026 ; oraux 8-22 juin 2026 (session 2027 : à vérifier)</t>
  </si>
  <si>
    <t xml:space="preserve">24 août 2026 (rentrée janvier 2027 : à vérifier)</t>
  </si>
  <si>
    <t xml:space="preserve">Le plus proche des Arènes. Voie « article 11 » pour les ASH du CHU.</t>
  </si>
  <si>
    <t xml:space="preserve">Croix-Rouge Compétence Occitanie – IFAS Toulouse</t>
  </si>
  <si>
    <t xml:space="preserve">Associatif</t>
  </si>
  <si>
    <t xml:space="preserve">71 chemin des Capelles, 31300 Toulouse (Purpan / Casselardit, ~2,5 km)</t>
  </si>
  <si>
    <t xml:space="preserve">05 61 31 56 12 / 05 61 31 56 69</t>
  </si>
  <si>
    <t xml:space="preserve">ifas.toulouse@croix-rouge.fr</t>
  </si>
  <si>
    <t xml:space="preserve">https://www.croix-rouge.fr/formation-professionnelle/aide-soignant-toulouse</t>
  </si>
  <si>
    <t xml:space="preserve">Session 2 : 1er avril → 10 octobre 2026, résultats 13 novembre 2026</t>
  </si>
  <si>
    <t xml:space="preserve">5 janvier 2027</t>
  </si>
  <si>
    <t xml:space="preserve">ENCORE OUVERT au 30/09/2026. Même réseau que son école au Cameroun : à valoriser à l'entretien. Aussi formation 70 h ASH (05 61 31 56 70).</t>
  </si>
  <si>
    <t xml:space="preserve">IFRASS – Pôle Santé</t>
  </si>
  <si>
    <t xml:space="preserve">2 bis rue Émile Pelletier, BP 44777, 31047 Toulouse Cedex 1 (Rangueil)</t>
  </si>
  <si>
    <t xml:space="preserve">05 34 63 89 02</t>
  </si>
  <si>
    <t xml:space="preserve">secretariat-AS@ifrass.fr</t>
  </si>
  <si>
    <t xml:space="preserve">https://www.ifrass.fr/pole-sante/diplome-detat-daide-soignant-e/</t>
  </si>
  <si>
    <t xml:space="preserve">Dossier + entretien ; dates 2026-2027 à vérifier</t>
  </si>
  <si>
    <t xml:space="preserve">Règlement d'admission exige un titre de séjour valide à l'entrée.</t>
  </si>
  <si>
    <t xml:space="preserve">IFAS Lycée Hélène Boucher – GRETA Toulouse-Pyrénées</t>
  </si>
  <si>
    <t xml:space="preserve">Public (Éducation nationale)</t>
  </si>
  <si>
    <t xml:space="preserve">1 rue Lucien Lafforgue, 31000 Toulouse</t>
  </si>
  <si>
    <t xml:space="preserve">05 34 45 24 09</t>
  </si>
  <si>
    <t xml:space="preserve">ifas.ifap.heleneboucher@gmail.com</t>
  </si>
  <si>
    <t xml:space="preserve">2025 : 24 mars → 10 juin ; 2026-2027 à vérifier</t>
  </si>
  <si>
    <t xml:space="preserve">septembre</t>
  </si>
  <si>
    <t xml:space="preserve">Le GRETA propose aussi la formation 70 h ASH.</t>
  </si>
  <si>
    <t xml:space="preserve">IFAS AEHP / FHP Occitanie Formation</t>
  </si>
  <si>
    <t xml:space="preserve">Privé (hospitalisation privée)</t>
  </si>
  <si>
    <t xml:space="preserve">Boulevard de Ratalens, 31240 Saint-Jean (~12 km)</t>
  </si>
  <si>
    <t xml:space="preserve">04 67 13 89 41</t>
  </si>
  <si>
    <t xml:space="preserve">aehp_31@fhpoccitanieformation.fr</t>
  </si>
  <si>
    <t xml:space="preserve">7 avril → 30 juin 2026</t>
  </si>
  <si>
    <t xml:space="preserve">31 août 2026</t>
  </si>
  <si>
    <t xml:space="preserve">Lié aux cliniques privées (Pasteur, Médipôle…) : débouchés directs.</t>
  </si>
  <si>
    <t xml:space="preserve">À savoir</t>
  </si>
  <si>
    <t xml:space="preserve">• Repères : sélection sur dossier + entretien (pas d'écrit), aucune condition de diplôme, titre de séjour valide exigé à l'entrée. Cursus complet ~11 mois (1 540 h), le diplôme camerounais n'ouvre aucune dispense.</t>
  </si>
  <si>
    <t xml:space="preserve">• Voie « article 11 » (arrêté du 7 avril 2020 modifié) : les ASH avec 1 an d'ancienneté, ou 6 mois + formation 70 h, entrent SANS sélection ; au moins 20 % des places leur sont réservées.</t>
  </si>
  <si>
    <t xml:space="preserve">• Gratuité : la Région Occitanie prend en charge les frais pédagogiques des demandeurs d'emploi inscrits à France Travail avant l'entrée en formation ; bourses possibles (https://www.laregion.fr/bourses-etudes-sanitaires-sociales).</t>
  </si>
  <si>
    <t xml:space="preserve">• Formation 70 h ASH « participation aux soins d'hygiène, de confort et de bien-être » : GRETA Toulouse-Pyrénées (Lycée Hélène Boucher) et Croix-Rouge Compétence Occitanie (05 61 31 56 70) ; souvent financée par l'employeur.</t>
  </si>
  <si>
    <t xml:space="preserve">• VAE du DEAS : https://vae.gouv.fr (choisir « Diplôme d'État d'aide-soignant ») ; parcours 6 à 12 mois ; CPF, France Travail ou Transitions Pro.</t>
  </si>
  <si>
    <t xml:space="preserve">Organisme</t>
  </si>
  <si>
    <t xml:space="preserve">Rôle pour elle</t>
  </si>
  <si>
    <t xml:space="preserve">Email / site</t>
  </si>
  <si>
    <t xml:space="preserve">Contacté ? / notes</t>
  </si>
  <si>
    <t xml:space="preserve">DREETS Occitanie</t>
  </si>
  <si>
    <t xml:space="preserve">Confirme l'absence d'équivalence ; jurys VAE DEAS ; renseignements</t>
  </si>
  <si>
    <t xml:space="preserve">1 place Émile Blouin, CS 90007, 31952 Toulouse Cedex 9</t>
  </si>
  <si>
    <t xml:space="preserve">09 88 88 80 80 (standard) ; 09 88 88 80 83 (diplômes paramédicaux)</t>
  </si>
  <si>
    <t xml:space="preserve">dreets-oc.diplomes-paramedicaux@dreets.gouv.fr – https://occitanie.dreets.gouv.fr/paramedical</t>
  </si>
  <si>
    <t xml:space="preserve">Ne traite PLUS les autorisations de travail (→ ANEF).</t>
  </si>
  <si>
    <t xml:space="preserve">ANEF – autorisations de travail (employeur)</t>
  </si>
  <si>
    <t xml:space="preserve">Dépôt de la demande d'AT par l'employeur</t>
  </si>
  <si>
    <t xml:space="preserve">En ligne</t>
  </si>
  <si>
    <t xml:space="preserve">0 806 001 620 (assistance DGEF, gratuit)</t>
  </si>
  <si>
    <t xml:space="preserve">https://administration-etrangers-en-france.interieur.gouv.fr</t>
  </si>
  <si>
    <t xml:space="preserve">Réponse sous 2 mois ; silence = rejet implicite.</t>
  </si>
  <si>
    <t xml:space="preserve">Préfecture de la Haute-Garonne – Direction des migrations et de l'intégration</t>
  </si>
  <si>
    <t xml:space="preserve">Titre de séjour, récépissé, admission exceptionnelle au séjour</t>
  </si>
  <si>
    <t xml:space="preserve">1 place Saint-Étienne, 31038 Toulouse Cedex 9 ; service AES : 1 rue Sainte-Anne, 31000</t>
  </si>
  <si>
    <t xml:space="preserve">05 34 45 34 45</t>
  </si>
  <si>
    <t xml:space="preserve">pref-sejour@haute-garonne.gouv.fr – https://www.haute-garonne.gouv.fr/Demarches-administratives/Immigration-et-integration</t>
  </si>
  <si>
    <t xml:space="preserve">Point d'accueil numérique sur rendez-vous. Pré-demande AES métiers en tension : https://demarche.numerique.gouv.fr/commencer/metiers-en-tension-haute-garonne</t>
  </si>
  <si>
    <t xml:space="preserve">France Travail – agence Toulouse Arènes</t>
  </si>
  <si>
    <t xml:space="preserve">Inscription (indispensable pour la gratuité IFAS), offres ASH / aide à domicile, financement VAE</t>
  </si>
  <si>
    <t xml:space="preserve">36 boulevard Gabriel Koenigs, 31300 Toulouse (Saint-Cyprien)</t>
  </si>
  <si>
    <t xml:space="preserve">39 49</t>
  </si>
  <si>
    <t xml:space="preserve">https://prendresoin.francetravail.fr</t>
  </si>
  <si>
    <t xml:space="preserve">Agence de secteur pour les Arènes. Autres : Bellefontaine (63 allée de Bellefontaine, 31100), Saint-Simon (280 route de Saint-Simon, 31100).</t>
  </si>
  <si>
    <t xml:space="preserve">Nova Emploi (ex Toulouse Métropole Emploi)</t>
  </si>
  <si>
    <t xml:space="preserve">Accompagnement emploi, ateliers, mise en relation employeurs</t>
  </si>
  <si>
    <t xml:space="preserve">32 rue de la Caravelle, 31500 Toulouse</t>
  </si>
  <si>
    <t xml:space="preserve">05 31 47 17 33 / 06 18 86 55 59</t>
  </si>
  <si>
    <t xml:space="preserve">https://nova-emploi.fr</t>
  </si>
  <si>
    <t xml:space="preserve">Renommé en 2025.</t>
  </si>
  <si>
    <t xml:space="preserve">La Cimade Toulouse</t>
  </si>
  <si>
    <t xml:space="preserve">Aide juridique séjour / AES / autorisation de travail</t>
  </si>
  <si>
    <t xml:space="preserve">16 rue de Tivoli, 31000 Toulouse</t>
  </si>
  <si>
    <t xml:space="preserve">05 61 41 13 20</t>
  </si>
  <si>
    <t xml:space="preserve">toulouse@lacimade.org – https://www.lacimade.org/regions/sud-ouest/</t>
  </si>
  <si>
    <t xml:space="preserve">Permanence téléphonique lundi et jeudi dès 14 h ; accueil sur RDV.</t>
  </si>
  <si>
    <t xml:space="preserve">CIDFF Haute-Garonne</t>
  </si>
  <si>
    <t xml:space="preserve">Accompagnement juridique et emploi des femmes</t>
  </si>
  <si>
    <t xml:space="preserve">95 Grande rue Saint-Michel, 31400 Toulouse</t>
  </si>
  <si>
    <t xml:space="preserve">05 34 31 23 31</t>
  </si>
  <si>
    <t xml:space="preserve">cidff31@cidff31.fr – https://hautegaronne.cidff.info/</t>
  </si>
  <si>
    <t xml:space="preserve">Lun-ven 9h-12h / 13h30-17h.</t>
  </si>
  <si>
    <t xml:space="preserve">Forum réfugiés Toulouse</t>
  </si>
  <si>
    <t xml:space="preserve">Accompagnement des demandeurs d'asile / réfugiés</t>
  </si>
  <si>
    <t xml:space="preserve">393 route de Saint-Simon, 31100 Toulouse</t>
  </si>
  <si>
    <t xml:space="preserve">05 32 78 01 60</t>
  </si>
  <si>
    <t xml:space="preserve">https://www.forumrefugies.org</t>
  </si>
  <si>
    <t xml:space="preserve">Si elle relève de l'asile.</t>
  </si>
  <si>
    <t xml:space="preserve">La Case de Santé – pôle Santé-Droits</t>
  </si>
  <si>
    <t xml:space="preserve">Accès aux droits, santé</t>
  </si>
  <si>
    <t xml:space="preserve">17 place Arnaud-Bernard, 31000 Toulouse</t>
  </si>
  <si>
    <t xml:space="preserve">05 61 23 62 35</t>
  </si>
  <si>
    <t xml:space="preserve">France VAE</t>
  </si>
  <si>
    <t xml:space="preserve">Dossier VAE DEAS, mise en relation avec un accompagnateur</t>
  </si>
  <si>
    <t xml:space="preserve">Choisir la certification « Diplôme d'État d'aide-soignant ».</t>
  </si>
  <si>
    <t xml:space="preserve">Région Occitanie – formations sanitaires et sociales</t>
  </si>
  <si>
    <t xml:space="preserve">Gratuité de la formation IFAS pour demandeurs d'emploi, bourses</t>
  </si>
  <si>
    <t xml:space="preserve">https://www.laregion.fr/formations-sanitaires-sociales – https://www.meformerenregion.fr/dispositifs/sanitaire-et-social</t>
  </si>
  <si>
    <t xml:space="preserve">Être inscrite à France Travail AVANT l'entrée en formation.</t>
  </si>
  <si>
    <t xml:space="preserve">ENIC-NARIC France (France Éducation international)</t>
  </si>
  <si>
    <t xml:space="preserve">Attestation de comparabilité (optionnelle)</t>
  </si>
  <si>
    <t xml:space="preserve">120 € ; ~4 mois ; peut refuser les professions paramédicales réglementées.</t>
  </si>
  <si>
    <t xml:space="preserve">Consulat général du Cameroun à Paris</t>
  </si>
  <si>
    <t xml:space="preserve">Légalisation de documents (pas de duplicata de diplôme)</t>
  </si>
  <si>
    <t xml:space="preserve">73 rue d'Auteuil, 75016 Paris</t>
  </si>
  <si>
    <t xml:space="preserve">Lun-ven 9h-17h ; 15 €/document.</t>
  </si>
  <si>
    <t xml:space="preserve">MINSANTE Cameroun – scolarité</t>
  </si>
  <si>
    <t xml:space="preserve">Téléchargement / authentification du diplôme (QR code)</t>
  </si>
  <si>
    <t xml:space="preserve">https://scolarite.minsante.cm (vérification : https://scolarite.minsante.cm/diplome/verify)</t>
  </si>
  <si>
    <t xml:space="preserve">Alternative à l'original : attestation de réussite de même valeur.</t>
  </si>
  <si>
    <t xml:space="preserve">Modèles de candidature et argumentaires (à adapter : remplacer les crochets [ ])</t>
  </si>
  <si>
    <t xml:space="preserve">Conseil : joindre systématiquement un CV d'une page, la copie de l'attestation de réussite et, si possible, une attestation d'employeur du Cameroun. Ne jamais écrire « aide-soignante » comme poste recherché tant que le DEAS n'est pas obtenu ; écrire « agent de soins », « ASH » ou « auxiliaire de vie », et mentionner la formation d'aide-soignante comme atout.</t>
  </si>
  <si>
    <t xml:space="preserve">MODÈLE 1 – Email de candidature spontanée : agent de soins / ASH en EHPAD, clinique ou hôpital</t>
  </si>
  <si>
    <t xml:space="preserve">Objet : Candidature spontanée – agent de soins / ASH – disponible immédiatement
Madame, Monsieur,
Formée au métier d'aide-soignante au Cameroun (école de la Croix-Rouge, diplôme obtenu en [année]) et forte de [X] années d'expérience en [service : gériatrie, médecine, chirurgie…], je souhaite rejoindre votre équipe comme agent de soins ou agent de service hospitalier, en attendant d'obtenir le diplôme d'État français d'aide-soignant par la VAE que j'engage cette année.
Au quotidien, j'ai assuré les soins d'hygiène et de confort, l'aide aux repas et à la mobilisation, la surveillance de l'état des résidents et la transmission des observations à l'équipe infirmière. Je connais les règles d'hygiène et l'organisation d'un service, et j'aime le travail en équipe auprès des personnes âgées.
J'habite le quartier des Arènes, à [X] minutes de votre établissement, et je suis disponible en jour comme en nuit, week-ends compris.
Concernant l'autorisation de travail : [Option A : mon titre de séjour m'autorise à travailler, aucune démarche n'est nécessaire de votre part.] [Option B : les postes d'aide à domicile, d'agent d'entretien / ASH et d'aide-soignant figurent sur la liste des métiers en tension en Occitanie (arrêté du 21 mai 2025). La demande se fait en ligne sur le portail ANEF, sans publication préalable de l'offre ; je vous transmets un dossier complet avec toutes les pièces pour vous faciliter la démarche.]
Je serais heureuse de vous rencontrer et de vous présenter mes attestations. Je vous remercie de l'attention portée à ma candidature.
[Prénom NOM] – [téléphone] – [email]
Pièces jointes : CV, attestation de réussite (Croix-Rouge Cameroun), attestation(s) d'employeur.</t>
  </si>
  <si>
    <t xml:space="preserve">MODÈLE 2 – Email de candidature : aide à domicile / auxiliaire de vie (SAAD, SSIAD, mandataire)</t>
  </si>
  <si>
    <t xml:space="preserve">Objet : Candidature – auxiliaire de vie / aide à domicile – secteur Toulouse ouest
Madame, Monsieur,
Formée aide-soignante au Cameroun et expérimentée dans l'accompagnement des personnes âgées et dépendantes ([X] années), je recherche un poste d'auxiliaire de vie ou d'aide à domicile sur le secteur des Arènes, Saint-Cyprien, Purpan, Lardenne et Saint-Simon.
Je maîtrise l'aide à la toilette, à l'habillage, aux transferts et aux repas, l'entretien du cadre de vie et l'accompagnement dans les gestes quotidiens, dans le respect de la personne et de son rythme. Je suis ponctuelle, discrète et à l'aise avec les familles.
Disponible [temps plein / temps partiel], [en semaine et week-end], je me déplace [en transports en commun / en voiture].
Le métier d'aide à domicile est inscrit sur la liste des métiers en tension pour l'Occitanie : la demande d'autorisation de travail, si elle est nécessaire, se fait en ligne sur le portail ANEF sans publication préalable de l'offre, et je vous fournis un dossier complet.
Je reste à votre disposition pour un entretien.
[Prénom NOM] – [téléphone] – [email]</t>
  </si>
  <si>
    <t xml:space="preserve">MODÈLE 3 – Script téléphonique (30 secondes) pour un premier appel à un EHPAD ou une clinique</t>
  </si>
  <si>
    <t xml:space="preserve">« Bonjour, [Prénom NOM]. Je vous appelle pour une candidature d'agent de soins. J'ai été formée aide-soignante au Cameroun et j'ai [X] ans d'expérience en soins d'hygiène et de confort auprès des personnes âgées. J'habite aux Arènes, je suis disponible tout de suite, de jour comme de nuit. Pourriez-vous me dire qui s'occupe des recrutements et si je peux lui envoyer mon CV, ou passer le déposer ? »
Si l'interlocuteur demande le diplôme : « Mon diplôme camerounais n'est pas reconnu en France, c'est pourquoi je postule comme agent de soins / ASH et je prépare le DEAS par la VAE. Mon expérience des gestes de soins est un vrai plus pour l'équipe. »
Si l'interlocuteur évoque l'autorisation de travail : « C'est une démarche en ligne, gratuite, que fait l'employeur sur le portail ANEF ; le métier est en tension en Occitanie donc pas besoin de publier l'offre. Je peux vous envoyer la liste des pièces et un mode d'emploi en une page. »
Toujours terminer par : nom de l'interlocuteur, adresse email de dépôt, date de rappel. Reporter dans l'onglet Prospection (colonnes S à Y).</t>
  </si>
  <si>
    <t xml:space="preserve">MODÈLE 4 – Note d'une page pour l'employeur : « Recruter une salariée étrangère : l'autorisation de travail en pratique »</t>
  </si>
  <si>
    <t xml:space="preserve">1. Qui fait la demande ? L'employeur, en ligne, sur le portail ANEF : https://administration-etrangers-en-france.interieur.gouv.fr (rubrique « Demande d'autorisation de travail »). Gratuit. Assistance : 0 806 001 620.
2. Faut-il publier l'offre 3 semaines à France Travail ? NON pour les emplois d'aide à domicile, d'agent d'entretien de locaux (poste ASH) et d'aide-soignant en Occitanie, qui figurent sur la liste des métiers en tension (arrêté du 21 mai 2025, tableau Occitanie). La « situation de l'emploi » n'est pas opposable.
3. Quelles conditions ? Salaire au moins égal au SMIC ou au minimum de la convention collective ; employeur à jour de ses cotisations (attestation de vigilance URSSAF de moins de 6 mois) ; adéquation entre le poste et le profil (CV, expérience).
4. Quelles pièces ? Formulaire en ligne ; extrait Kbis / SIRET ; contrat de travail ou promesse d'embauche signée (intitulé du poste, durée, salaire) ; attestation de vigilance URSSAF ; copie du passeport et du titre ou récépissé de séjour de la salariée ; CV, copies des diplômes et attestations d'expérience (fournis par la salariée).
5. Quel délai ? Instruction par la plateforme de main-d'œuvre étrangère de la préfecture ; réponse sous 2 mois maximum. La salariée peut commencer dès réception de l'autorisation (ou immédiatement si son titre de séjour l'autorise déjà à travailler).
6. Et si le titre de séjour de la salariée l'autorise déjà à travailler (carte « vie privée et familiale », récépissé portant la mention « autorise son titulaire à travailler », carte de résident) ? Aucune démarche : embauche comme pour toute salariée (DPAE, vérification du titre auprès de la préfecture sous 2 jours ouvrables avant l'embauche, art. R5221-41 code du travail).
Sources : service-public.gouv.fr/particuliers/vosdroits/F2728 ; legifrance.gouv.fr/jorf/id/JORFTEXT000051643488 (métiers en tension) ; code du travail art. R5221-20 et R5221-2.</t>
  </si>
  <si>
    <t xml:space="preserve">MODÈLE 5 – Réponses aux objections</t>
  </si>
  <si>
    <t xml:space="preserve">« Vous n'avez pas le DEAS. » → « C'est exact, et c'est pourquoi je postule comme agent de soins / ASH, pas comme aide-soignante. Ma formation et mon expérience des gestes de soins me permettent d'être opérationnelle vite, et je prépare le DEAS par la VAE. Après 6 mois chez vous et la formation de 70 heures, je peux aussi entrer directement en IFAS. »
« L'autorisation de travail, c'est trop compliqué. » → « C'est une démarche en ligne d'une trentaine de minutes, gratuite, sans publication d'offre puisque le métier est en tension en Occitanie. Je vous apporte le dossier complet et la notice d'une page. Beaucoup d'EHPAD du secteur le font régulièrement. »
« Vous n'avez qu'une attestation, pas le diplôme. » → « Au Cameroun, le ministère de la Santé ne réédite pas les diplômes : l'attestation de réussite a la même valeur, et le diplôme est authentifiable en ligne par QR code sur le site du ministère (scolarite.minsante.cm). De toute façon, pour un poste d'agent de soins, aucun diplôme n'est exigé : ce sont mes attestations d'expérience qui comptent. »
« Nous ne prenons que des intérimaires. » → « Je peux m'inscrire chez [Adecco Medical / Appel Médical / Domino Care] et via Hublo pour effectuer des missions chez vous ; cela vous permet de me voir travailler avant un CDD. »
« Repassez quand vous aurez le diplôme. » → « Puis-je laisser mon CV pour les remplacements d'agent de soins, les week-ends et les congés d'été ? Et puis-je vous rappeler dans un mois ? » (noter la date de relance).</t>
  </si>
  <si>
    <t xml:space="preserve">MODÈLE 6 – Check-list des pièces à préparer (dossier « prêt à envoyer »)</t>
  </si>
  <si>
    <t xml:space="preserve">À préparer une fois, en PDF, dans un dossier nommé « Candidature – [NOM] » :
☐ CV d'une page (titre : « Agent de soins / auxiliaire de vie – formée aide-soignante, [X] ans d'expérience »), avec la mention « VAE DEAS en cours » dès l'inscription sur vae.gouv.fr.
☐ Lettre de motivation (Modèle 1 ou 2), personnalisée : nom de la structure, distance, disponibilité.
☐ Copie de l'attestation de réussite (Croix-Rouge Cameroun) + relevé de notes si disponible ; PDF authentifiable téléchargé sur scolarite.minsante.cm si possible.
☐ Attestations d'employeurs du Cameroun (dates, service, tâches réalisées) : indispensables aussi pour la VAE.
☐ Copie du passeport et du titre de séjour / récépissé (vérifier la mention relative au travail).
☐ Attestation d'inscription à France Travail (pour la gratuité IFAS et le financement VAE).
☐ Note d'une page pour l'employeur (Modèle 4) : à joindre uniquement si une autorisation de travail est nécessaire.
☐ Attestation de formation AFGSU si déjà suivie (sinon, la prévoir avant le jury VAE).
☐ Justificatif de domicile (utile pour la préfecture et les employeurs).
☐ Pour l'admission exceptionnelle au séjour « métiers en tension », si concernée : preuves de 3 ans de résidence, bulletins de paie ou attestations couvrant 12 mois sur les 24 derniers, à déposer avant le 31/12/2026.</t>
  </si>
</sst>
</file>

<file path=xl/styles.xml><?xml version="1.0" encoding="utf-8"?>
<styleSheet xmlns="http://schemas.openxmlformats.org/spreadsheetml/2006/main">
  <numFmts count="5">
    <numFmt numFmtId="164" formatCode="General"/>
    <numFmt numFmtId="165" formatCode="0.0"/>
    <numFmt numFmtId="166" formatCode="dd/mm/yyyy"/>
    <numFmt numFmtId="167" formatCode="0%"/>
    <numFmt numFmtId="168"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u val="single"/>
      <sz val="9"/>
      <color rgb="FF0563C1"/>
      <name val="Arial"/>
      <family val="0"/>
      <charset val="1"/>
    </font>
    <font>
      <b val="true"/>
      <sz val="10"/>
      <color rgb="FFFFFFFF"/>
      <name val="Arial"/>
      <family val="0"/>
      <charset val="1"/>
    </font>
    <font>
      <u val="single"/>
      <sz val="10"/>
      <color rgb="FF0563C1"/>
      <name val="Arial"/>
      <family val="0"/>
      <charset val="1"/>
    </font>
    <font>
      <sz val="10"/>
      <name val="Arial"/>
      <family val="2"/>
    </font>
    <font>
      <i val="true"/>
      <sz val="9"/>
      <color rgb="FF000000"/>
      <name val="Arial"/>
      <family val="0"/>
      <charset val="1"/>
    </font>
    <font>
      <sz val="9"/>
      <color rgb="FF000000"/>
      <name val="Arial"/>
      <family val="0"/>
      <charset val="1"/>
    </font>
    <font>
      <b val="true"/>
      <sz val="10"/>
      <color rgb="FF1F3864"/>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FFF2CC"/>
        <bgColor rgb="FFFFE699"/>
      </patternFill>
    </fill>
    <fill>
      <patternFill patternType="solid">
        <fgColor rgb="FF7F6000"/>
        <bgColor rgb="FF595959"/>
      </patternFill>
    </fill>
    <fill>
      <patternFill patternType="solid">
        <fgColor rgb="FFD9E2F3"/>
        <bgColor rgb="FFD9D9D9"/>
      </patternFill>
    </fill>
    <fill>
      <patternFill patternType="solid">
        <fgColor rgb="FFF8CBAD"/>
        <bgColor rgb="FFFFE699"/>
      </patternFill>
    </fill>
    <fill>
      <patternFill patternType="solid">
        <fgColor rgb="FFC6EFCE"/>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7" fontId="8" fillId="0" borderId="1" xfId="0" applyFont="true" applyBorder="true" applyAlignment="true" applyProtection="false">
      <alignment horizontal="general" vertical="center" textRotation="0" wrapText="true" indent="0" shrinkToFit="false"/>
      <protection locked="true" hidden="false"/>
    </xf>
    <xf numFmtId="168" fontId="8" fillId="6"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8" fillId="7" borderId="1" xfId="0" applyFont="true" applyBorder="true" applyAlignment="true" applyProtection="false">
      <alignment horizontal="general" vertical="center" textRotation="0" wrapText="true" indent="0" shrinkToFit="false"/>
      <protection locked="true" hidden="false"/>
    </xf>
    <xf numFmtId="167" fontId="7"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7F6000"/>
          <bgColor rgb="FF000000"/>
        </patternFill>
      </fill>
    </dxf>
    <dxf>
      <fill>
        <patternFill patternType="solid">
          <fgColor rgb="FFFFF2CC"/>
          <bgColor rgb="FF000000"/>
        </patternFill>
      </fill>
    </dxf>
    <dxf>
      <fill>
        <patternFill>
          <bgColor rgb="FFF8CBAD"/>
        </patternFill>
      </fill>
    </dxf>
    <dxf>
      <font>
        <name val="Arial"/>
        <charset val="1"/>
        <family val="0"/>
        <b val="1"/>
        <color rgb="FF006100"/>
      </font>
      <fill>
        <patternFill>
          <bgColor rgb="FFC6EFCE"/>
        </patternFill>
      </fill>
    </dxf>
    <dxf>
      <fill>
        <patternFill>
          <bgColor rgb="FFD9D9D9"/>
        </patternFill>
      </fill>
    </dxf>
    <dxf>
      <font>
        <name val="Arial"/>
        <charset val="1"/>
        <family val="0"/>
        <b val="1"/>
      </font>
      <fill>
        <patternFill>
          <bgColor rgb="FFBDD7EE"/>
        </patternFill>
      </fill>
    </dxf>
    <dxf>
      <fill>
        <patternFill>
          <bgColor rgb="FFFFE699"/>
        </patternFill>
      </fill>
    </dxf>
    <dxf>
      <font>
        <name val="Arial"/>
        <charset val="1"/>
        <family val="0"/>
        <b val="1"/>
      </font>
      <fill>
        <patternFill>
          <bgColor rgb="FFC6EFCE"/>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7F6000"/>
      <rgbColor rgb="FF800080"/>
      <rgbColor rgb="FF008080"/>
      <rgbColor rgb="FFBFBFBF"/>
      <rgbColor rgb="FF7F7F7F"/>
      <rgbColor rgb="FF9999FF"/>
      <rgbColor rgb="FF993366"/>
      <rgbColor rgb="FFFFF2CC"/>
      <rgbColor rgb="FFD9E2F3"/>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9D9D9"/>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legifrance.gouv.fr/jorf/id/JORFTEXT000051643488" TargetMode="External"/><Relationship Id="rId2" Type="http://schemas.openxmlformats.org/officeDocument/2006/relationships/hyperlink" Target="https://www.service-public.gouv.fr/particuliers/vosdroits/F2728" TargetMode="External"/><Relationship Id="rId3" Type="http://schemas.openxmlformats.org/officeDocument/2006/relationships/hyperlink" Target="https://www.service-public.gouv.fr/particuliers/vosdroits/F16053" TargetMode="External"/><Relationship Id="rId4" Type="http://schemas.openxmlformats.org/officeDocument/2006/relationships/hyperlink" Target="https://bourgogne-franche-comte.dreets.gouv.fr/Dispositif-de-reconnaissance-des-diplomes-paramedicaux" TargetMode="External"/><Relationship Id="rId5" Type="http://schemas.openxmlformats.org/officeDocument/2006/relationships/hyperlink" Target="https://vae.gouv.fr/" TargetMode="External"/><Relationship Id="rId6" Type="http://schemas.openxmlformats.org/officeDocument/2006/relationships/hyperlink" Target="https://www.pour-les-personnes-agees.gouv.fr/" TargetMode="External"/><Relationship Id="rId7" Type="http://schemas.openxmlformats.org/officeDocument/2006/relationships/hyperlink" Target="https://recrutement.chu-toulouse.fr/"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talents.clinique-pasteur.com/" TargetMode="External"/><Relationship Id="rId3" Type="http://schemas.openxmlformats.org/officeDocument/2006/relationships/hyperlink" Target="https://www.clinique-pasteur.com/recrutement" TargetMode="External"/><Relationship Id="rId4" Type="http://schemas.openxmlformats.org/officeDocument/2006/relationships/hyperlink" Target="https://www.petits-fils.com/" TargetMode="External"/><Relationship Id="rId5" Type="http://schemas.openxmlformats.org/officeDocument/2006/relationships/hyperlink" Target="https://www.conseildependance.fr/services/services-a-domicile/toulouse/haute-garonne-31/petits-fils-toulouse-ouest" TargetMode="External"/><Relationship Id="rId6" Type="http://schemas.openxmlformats.org/officeDocument/2006/relationships/hyperlink" Target="https://colisee.fr/residences/maison-medicalisee-toulouse-residence-arc-en-ciel/" TargetMode="External"/><Relationship Id="rId7" Type="http://schemas.openxmlformats.org/officeDocument/2006/relationships/hyperlink" Target="https://la-cartoucherie.edenis.fr/la-residence/" TargetMode="External"/><Relationship Id="rId8" Type="http://schemas.openxmlformats.org/officeDocument/2006/relationships/hyperlink" Target="https://metropole.toulouse.fr/le-ccas-recrute" TargetMode="External"/><Relationship Id="rId9" Type="http://schemas.openxmlformats.org/officeDocument/2006/relationships/hyperlink" Target="https://metropole.toulouse.fr/annuaire/ehpad-gaubert" TargetMode="External"/><Relationship Id="rId10" Type="http://schemas.openxmlformats.org/officeDocument/2006/relationships/hyperlink" Target="https://www.adecco.com/fr-fr/medical" TargetMode="External"/><Relationship Id="rId11" Type="http://schemas.openxmlformats.org/officeDocument/2006/relationships/hyperlink" Target="https://www.adecco.com/fr-fr/medical/agences/occitanie/toulouse/adecco-medical-toulouse" TargetMode="External"/><Relationship Id="rId12" Type="http://schemas.openxmlformats.org/officeDocument/2006/relationships/hyperlink" Target="https://www.hopitaljosephducuing.fr/espace-recrutement" TargetMode="External"/><Relationship Id="rId13" Type="http://schemas.openxmlformats.org/officeDocument/2006/relationships/hyperlink" Target="https://www.hopitaljosephducuing.fr/espace-recrutement" TargetMode="External"/><Relationship Id="rId14" Type="http://schemas.openxmlformats.org/officeDocument/2006/relationships/hyperlink" Target="https://www.pour-les-personnes-agees.gouv.fr/annuaire-ehpad-et-maisons-de-retraite/ehpad/haute-garonne-31/toulouse-31000/ehpad-residence-les-tilleuls/310792015" TargetMode="External"/><Relationship Id="rId15" Type="http://schemas.openxmlformats.org/officeDocument/2006/relationships/hyperlink" Target="https://www.leguidedupatrimoine.com/ehpad/domusvi-la-cepiere" TargetMode="External"/><Relationship Id="rId16" Type="http://schemas.openxmlformats.org/officeDocument/2006/relationships/hyperlink" Target="https://www.clinique-rivegauche.fr/espace-recrutement" TargetMode="External"/><Relationship Id="rId17" Type="http://schemas.openxmlformats.org/officeDocument/2006/relationships/hyperlink" Target="https://www.clinique-rivegauche.fr/espace-recrutement" TargetMode="External"/><Relationship Id="rId18" Type="http://schemas.openxmlformats.org/officeDocument/2006/relationships/hyperlink" Target="https://metropole.toulouse.fr/le-ccas-recrute" TargetMode="External"/><Relationship Id="rId19" Type="http://schemas.openxmlformats.org/officeDocument/2006/relationships/hyperlink" Target="https://metropole.toulouse.fr/annuaire/ehpad-les-fontaines" TargetMode="External"/><Relationship Id="rId20" Type="http://schemas.openxmlformats.org/officeDocument/2006/relationships/hyperlink" Target="https://recrutement.chu-toulouse.fr/candidature-spontanee/" TargetMode="External"/><Relationship Id="rId21" Type="http://schemas.openxmlformats.org/officeDocument/2006/relationships/hyperlink" Target="https://recrutement.chu-toulouse.fr/candidature-spontanee/" TargetMode="External"/><Relationship Id="rId22" Type="http://schemas.openxmlformats.org/officeDocument/2006/relationships/hyperlink" Target="https://www.vitalliance.fr/" TargetMode="External"/><Relationship Id="rId23" Type="http://schemas.openxmlformats.org/officeDocument/2006/relationships/hyperlink" Target="https://www.au-magasin.fr/31000-toulouse/vitalliance-254952.html" TargetMode="External"/><Relationship Id="rId24" Type="http://schemas.openxmlformats.org/officeDocument/2006/relationships/hyperlink" Target="https://www.domaliance.fr/" TargetMode="External"/><Relationship Id="rId25" Type="http://schemas.openxmlformats.org/officeDocument/2006/relationships/hyperlink" Target="https://www.pour-les-personnes-agees.gouv.fr/annuaire-service-aide-accompagnement-domicile/haute-garonne-31/toulouse-31000/domaliance-sud-ouest/310027016" TargetMode="External"/><Relationship Id="rId26" Type="http://schemas.openxmlformats.org/officeDocument/2006/relationships/hyperlink" Target="https://www.onela.com/agence/toulouse/" TargetMode="External"/><Relationship Id="rId27" Type="http://schemas.openxmlformats.org/officeDocument/2006/relationships/hyperlink" Target="https://www.onela.com/agence/toulouse/" TargetMode="External"/><Relationship Id="rId28" Type="http://schemas.openxmlformats.org/officeDocument/2006/relationships/hyperlink" Target="https://recrutement.chu-toulouse.fr/" TargetMode="External"/><Relationship Id="rId29" Type="http://schemas.openxmlformats.org/officeDocument/2006/relationships/hyperlink" Target="https://www.chu-toulouse.fr/-soins-de-longue-duree-en-geriatrie-usld-439-" TargetMode="External"/><Relationship Id="rId30" Type="http://schemas.openxmlformats.org/officeDocument/2006/relationships/hyperlink" Target="https://www.asei.asso.fr/centres/mas-georges-delpech" TargetMode="External"/><Relationship Id="rId31" Type="http://schemas.openxmlformats.org/officeDocument/2006/relationships/hyperlink" Target="https://www.clinique-minimes.fr/" TargetMode="External"/><Relationship Id="rId32" Type="http://schemas.openxmlformats.org/officeDocument/2006/relationships/hyperlink" Target="https://www.clinique-minimes.fr/presentation-de-la-clinique" TargetMode="External"/><Relationship Id="rId33" Type="http://schemas.openxmlformats.org/officeDocument/2006/relationships/hyperlink" Target="https://www.sanitaire-social.com/fiche/ssiad-colomiers-tournefeuille-association-alliance-sages-adages-tournefeuille-31170/31-51456" TargetMode="External"/><Relationship Id="rId34" Type="http://schemas.openxmlformats.org/officeDocument/2006/relationships/hyperlink" Target="https://www.medipole.com/" TargetMode="External"/><Relationship Id="rId35" Type="http://schemas.openxmlformats.org/officeDocument/2006/relationships/hyperlink" Target="https://fr.indeed.com/cmp/Clinique-Medipole-Garonne-3" TargetMode="External"/><Relationship Id="rId36" Type="http://schemas.openxmlformats.org/officeDocument/2006/relationships/hyperlink" Target="https://metropole.toulouse.fr/le-ccas-recrute" TargetMode="External"/><Relationship Id="rId37" Type="http://schemas.openxmlformats.org/officeDocument/2006/relationships/hyperlink" Target="https://metropole.toulouse.fr/annuaire/centre-hebergement-temporaire-olivier" TargetMode="External"/><Relationship Id="rId38" Type="http://schemas.openxmlformats.org/officeDocument/2006/relationships/hyperlink" Target="https://www.agapei.asso.fr/contact" TargetMode="External"/><Relationship Id="rId39" Type="http://schemas.openxmlformats.org/officeDocument/2006/relationships/hyperlink" Target="https://www.agapei.asso.fr/contact" TargetMode="External"/><Relationship Id="rId40" Type="http://schemas.openxmlformats.org/officeDocument/2006/relationships/hyperlink" Target="https://domino-rh.com/agences/domino-care-toulouse/" TargetMode="External"/><Relationship Id="rId41" Type="http://schemas.openxmlformats.org/officeDocument/2006/relationships/hyperlink" Target="https://domino-rh.com/agences/domino-care-toulouse/" TargetMode="External"/><Relationship Id="rId42" Type="http://schemas.openxmlformats.org/officeDocument/2006/relationships/hyperlink" Target="https://www.temporis-franchise.fr/agences/temporis-interim-toulouse-sante" TargetMode="External"/><Relationship Id="rId43" Type="http://schemas.openxmlformats.org/officeDocument/2006/relationships/hyperlink" Target="https://www.pagesjaunes.fr/pros/54295284" TargetMode="External"/><Relationship Id="rId44" Type="http://schemas.openxmlformats.org/officeDocument/2006/relationships/hyperlink" Target="https://recrutement.chu-toulouse.fr/" TargetMode="External"/><Relationship Id="rId45" Type="http://schemas.openxmlformats.org/officeDocument/2006/relationships/hyperlink" Target="https://www.chu-toulouse.fr/hopital-la-grave-cite-de-la-sante" TargetMode="External"/><Relationship Id="rId46" Type="http://schemas.openxmlformats.org/officeDocument/2006/relationships/hyperlink" Target="https://recrutement.chu-toulouse.fr/" TargetMode="External"/><Relationship Id="rId47" Type="http://schemas.openxmlformats.org/officeDocument/2006/relationships/hyperlink" Target="https://www.chu-toulouse.fr/hopital-pierre-paul-riquet" TargetMode="External"/><Relationship Id="rId48" Type="http://schemas.openxmlformats.org/officeDocument/2006/relationships/hyperlink" Target="https://recrutement.chu-toulouse.fr/" TargetMode="External"/><Relationship Id="rId49" Type="http://schemas.openxmlformats.org/officeDocument/2006/relationships/hyperlink" Target="https://www.hopital.fr/annuaire-siege/centre-hospitalier-universitaire-de-toulouse,716" TargetMode="External"/><Relationship Id="rId50" Type="http://schemas.openxmlformats.org/officeDocument/2006/relationships/hyperlink" Target="https://recrutement.chu-toulouse.fr/" TargetMode="External"/><Relationship Id="rId51" Type="http://schemas.openxmlformats.org/officeDocument/2006/relationships/hyperlink" Target="https://www.hopital.fr/annuaire-siege/centre-hospitalier-universitaire-de-toulouse,716" TargetMode="External"/><Relationship Id="rId52" Type="http://schemas.openxmlformats.org/officeDocument/2006/relationships/hyperlink" Target="https://www.pour-les-personnes-agees.gouv.fr/annuaire-ehpad-et-maisons-de-retraite/ehpad/haute-garonne-31/toulouse-31000/ehpad-residence-saint-simon/310003116" TargetMode="External"/><Relationship Id="rId53" Type="http://schemas.openxmlformats.org/officeDocument/2006/relationships/hyperlink" Target="https://amfpad.fr/" TargetMode="External"/><Relationship Id="rId54" Type="http://schemas.openxmlformats.org/officeDocument/2006/relationships/hyperlink" Target="https://amfpad.fr/" TargetMode="External"/><Relationship Id="rId55" Type="http://schemas.openxmlformats.org/officeDocument/2006/relationships/hyperlink" Target="https://recrutement.chu-toulouse.fr/" TargetMode="External"/><Relationship Id="rId56" Type="http://schemas.openxmlformats.org/officeDocument/2006/relationships/hyperlink" Target="https://www.chu-toulouse.fr/hopital-de-psychiatrie" TargetMode="External"/><Relationship Id="rId57" Type="http://schemas.openxmlformats.org/officeDocument/2006/relationships/hyperlink" Target="https://www.clinique-saint-exupery.com/fr/recrutement/" TargetMode="External"/><Relationship Id="rId58" Type="http://schemas.openxmlformats.org/officeDocument/2006/relationships/hyperlink" Target="https://www.clinique-saint-exupery.com/fr/recrutement/" TargetMode="External"/><Relationship Id="rId59" Type="http://schemas.openxmlformats.org/officeDocument/2006/relationships/hyperlink" Target="https://www.leboisvert.fr/fr/contact" TargetMode="External"/><Relationship Id="rId60" Type="http://schemas.openxmlformats.org/officeDocument/2006/relationships/hyperlink" Target="https://www.pour-les-personnes-agees.gouv.fr/annuaire-ehpad-et-maisons-de-retraite/ehpad/haute-garonne-31/toulouse-31100/ehpad-le-bois-vert/310006523" TargetMode="External"/><Relationship Id="rId61" Type="http://schemas.openxmlformats.org/officeDocument/2006/relationships/hyperlink" Target="https://metropole.toulouse.fr/le-ccas-recrute" TargetMode="External"/><Relationship Id="rId62" Type="http://schemas.openxmlformats.org/officeDocument/2006/relationships/hyperlink" Target="https://metropole.toulouse.fr/le-ccas-recrute" TargetMode="External"/><Relationship Id="rId63" Type="http://schemas.openxmlformats.org/officeDocument/2006/relationships/hyperlink" Target="https://www.ch-marchant.fr/web/Gerard_Marchant/11-contact.php" TargetMode="External"/><Relationship Id="rId64" Type="http://schemas.openxmlformats.org/officeDocument/2006/relationships/hyperlink" Target="https://www.elsan.care/fr/clinique-ambroise-pare-toulouse" TargetMode="External"/><Relationship Id="rId65" Type="http://schemas.openxmlformats.org/officeDocument/2006/relationships/hyperlink" Target="https://www.elsan.care/fr/clinique-ambroise-pare-toulouse" TargetMode="External"/><Relationship Id="rId66" Type="http://schemas.openxmlformats.org/officeDocument/2006/relationships/hyperlink" Target="https://clinique-du-parc.ramsaysante.fr/recrutement-nous-rejoindre/nos-offres-demploi" TargetMode="External"/><Relationship Id="rId67" Type="http://schemas.openxmlformats.org/officeDocument/2006/relationships/hyperlink" Target="https://clinique-du-parc.ramsaysante.fr/recrutement-nous-rejoindre/nos-offres-demploi" TargetMode="External"/><Relationship Id="rId68" Type="http://schemas.openxmlformats.org/officeDocument/2006/relationships/hyperlink" Target="https://metropole.toulouse.fr/le-ccas-recrute" TargetMode="External"/><Relationship Id="rId69" Type="http://schemas.openxmlformats.org/officeDocument/2006/relationships/hyperlink" Target="https://www.pour-les-personnes-agees.gouv.fr/annuaire-ehpad-et-maisons-de-retraite/ehpad/haute-garonne-31/toulouse-31000/ehpad-francoise-de-veyrinas/310784798" TargetMode="External"/><Relationship Id="rId70" Type="http://schemas.openxmlformats.org/officeDocument/2006/relationships/hyperlink" Target="https://metropole.toulouse.fr/le-ccas-recrute" TargetMode="External"/><Relationship Id="rId71" Type="http://schemas.openxmlformats.org/officeDocument/2006/relationships/hyperlink" Target="https://www.mazette.fr/ehpad/haute-garonne/louis-douste-blazy-toulouse" TargetMode="External"/><Relationship Id="rId72" Type="http://schemas.openxmlformats.org/officeDocument/2006/relationships/hyperlink" Target="https://senior-compagnie.fr/" TargetMode="External"/><Relationship Id="rId73" Type="http://schemas.openxmlformats.org/officeDocument/2006/relationships/hyperlink" Target="https://senior-compagnie.fr/agence/haute-garonne/aide-a-domicile-a-toulouse-est-ouest/" TargetMode="External"/><Relationship Id="rId74" Type="http://schemas.openxmlformats.org/officeDocument/2006/relationships/hyperlink" Target="https://www.azae.com/" TargetMode="External"/><Relationship Id="rId75" Type="http://schemas.openxmlformats.org/officeDocument/2006/relationships/hyperlink" Target="https://www.pagesjaunes.fr/pros/50137970" TargetMode="External"/><Relationship Id="rId76" Type="http://schemas.openxmlformats.org/officeDocument/2006/relationships/hyperlink" Target="https://www.domidom.fr/" TargetMode="External"/><Relationship Id="rId77" Type="http://schemas.openxmlformats.org/officeDocument/2006/relationships/hyperlink" Target="https://aideadomiciletoulouse.com/liste-des-structures-aide-a-domicile-de-la-region-toulousaine-haute-garonne/" TargetMode="External"/><Relationship Id="rId78" Type="http://schemas.openxmlformats.org/officeDocument/2006/relationships/hyperlink" Target="https://www.o2.fr/" TargetMode="External"/><Relationship Id="rId79" Type="http://schemas.openxmlformats.org/officeDocument/2006/relationships/hyperlink" Target="https://toulouse-ouest.agence.o2.fr/" TargetMode="External"/><Relationship Id="rId80" Type="http://schemas.openxmlformats.org/officeDocument/2006/relationships/hyperlink" Target="https://www.appelmedical.com/agence/1013/" TargetMode="External"/><Relationship Id="rId81" Type="http://schemas.openxmlformats.org/officeDocument/2006/relationships/hyperlink" Target="https://www.appelmedical.com/agence/1013/" TargetMode="External"/><Relationship Id="rId82" Type="http://schemas.openxmlformats.org/officeDocument/2006/relationships/hyperlink" Target="https://www.domusvi.com/" TargetMode="External"/><Relationship Id="rId83" Type="http://schemas.openxmlformats.org/officeDocument/2006/relationships/hyperlink" Target="https://www.domusvi.com/maisons-de-retraite/haute-garonne-31/residence-henri-iv" TargetMode="External"/><Relationship Id="rId84" Type="http://schemas.openxmlformats.org/officeDocument/2006/relationships/hyperlink" Target="https://www.pour-les-personnes-agees.gouv.fr/annuaire-ehpad-et-maisons-de-retraite/ehpad/haute-garonne-31/toulouse-31000/ehpad-senior-toulouse-tibaous/310020284" TargetMode="External"/><Relationship Id="rId85" Type="http://schemas.openxmlformats.org/officeDocument/2006/relationships/hyperlink" Target="https://recrutement-icr.iuct-oncopole.fr/" TargetMode="External"/><Relationship Id="rId86" Type="http://schemas.openxmlformats.org/officeDocument/2006/relationships/hyperlink" Target="https://recrutement-icr.iuct-oncopole.fr/" TargetMode="External"/><Relationship Id="rId87" Type="http://schemas.openxmlformats.org/officeDocument/2006/relationships/hyperlink" Target="https://recrutement.inicea.fr/" TargetMode="External"/><Relationship Id="rId88" Type="http://schemas.openxmlformats.org/officeDocument/2006/relationships/hyperlink" Target="https://www.inicea.fr/smr/clinique-estela-haute-garonne-31100" TargetMode="External"/><Relationship Id="rId89" Type="http://schemas.openxmlformats.org/officeDocument/2006/relationships/hyperlink" Target="https://www.adhap.fr/" TargetMode="External"/><Relationship Id="rId90" Type="http://schemas.openxmlformats.org/officeDocument/2006/relationships/hyperlink" Target="https://www.pour-les-personnes-agees.gouv.fr/annuaire-service-aide-accompagnement-domicile/haute-garonne-31/toulouse-31200/adhap-services/310015649" TargetMode="External"/><Relationship Id="rId91" Type="http://schemas.openxmlformats.org/officeDocument/2006/relationships/hyperlink" Target="https://www.fede31.admr.org/toulouse" TargetMode="External"/><Relationship Id="rId92" Type="http://schemas.openxmlformats.org/officeDocument/2006/relationships/hyperlink" Target="https://www.fede31.admr.org/toulouse" TargetMode="External"/><Relationship Id="rId93" Type="http://schemas.openxmlformats.org/officeDocument/2006/relationships/hyperlink" Target="https://edenis.fr/" TargetMode="External"/><Relationship Id="rId94" Type="http://schemas.openxmlformats.org/officeDocument/2006/relationships/hyperlink" Target="https://www.capgeris.com/ehpad/occitanie/haute-garonne/blagnac/ehpad-residence-emeraude-m17948.htm" TargetMode="External"/><Relationship Id="rId95" Type="http://schemas.openxmlformats.org/officeDocument/2006/relationships/hyperlink" Target="https://les-jardins-de-maniban.edenis.fr/" TargetMode="External"/><Relationship Id="rId96" Type="http://schemas.openxmlformats.org/officeDocument/2006/relationships/hyperlink" Target="https://les-jardins-de-maniban.edenis.fr/la-residence/" TargetMode="External"/><Relationship Id="rId97" Type="http://schemas.openxmlformats.org/officeDocument/2006/relationships/hyperlink" Target="https://www.etablissementsdesante.fr/etablissement/23397-foyer-de-vie-arche-en-pays-toulousain" TargetMode="External"/><Relationship Id="rId98" Type="http://schemas.openxmlformats.org/officeDocument/2006/relationships/hyperlink" Target="https://recrutement.inicea.fr/" TargetMode="External"/><Relationship Id="rId99" Type="http://schemas.openxmlformats.org/officeDocument/2006/relationships/hyperlink" Target="https://www.inicea.fr/actualites/inauguration-nouvelle-clinique-de-blagnac-inicea" TargetMode="External"/><Relationship Id="rId100" Type="http://schemas.openxmlformats.org/officeDocument/2006/relationships/hyperlink" Target="https://www.hublo.com/fr/pool-hublo-soignants" TargetMode="External"/><Relationship Id="rId101" Type="http://schemas.openxmlformats.org/officeDocument/2006/relationships/hyperlink" Target="https://www.hublo.com/fr/pool-hublo-soignants" TargetMode="External"/><Relationship Id="rId102" Type="http://schemas.openxmlformats.org/officeDocument/2006/relationships/hyperlink" Target="https://talents.clinique-pasteur.com/" TargetMode="External"/><Relationship Id="rId103" Type="http://schemas.openxmlformats.org/officeDocument/2006/relationships/hyperlink" Target="https://talents.clinique-pasteur.com/" TargetMode="External"/><Relationship Id="rId104" Type="http://schemas.openxmlformats.org/officeDocument/2006/relationships/hyperlink" Target="https://metropole.toulouse.fr/le-ccas-recrute" TargetMode="External"/><Relationship Id="rId105" Type="http://schemas.openxmlformats.org/officeDocument/2006/relationships/hyperlink" Target="https://www.pour-les-personnes-agees.gouv.fr/annuaire-ehpad-et-maisons-de-retraite/residence-autonomie/haute-garonne-31/toulouse-31000/residence-autonomie-tounis/310786686" TargetMode="External"/><Relationship Id="rId106" Type="http://schemas.openxmlformats.org/officeDocument/2006/relationships/hyperlink" Target="https://www.pagesjaunes.fr/pros/51251836" TargetMode="External"/><Relationship Id="rId107" Type="http://schemas.openxmlformats.org/officeDocument/2006/relationships/hyperlink" Target="https://www.pagesjaunes.fr/annuaire/toulouse-31/maisons-de-retraite-privees-ehpad" TargetMode="External"/><Relationship Id="rId108" Type="http://schemas.openxmlformats.org/officeDocument/2006/relationships/hyperlink" Target="https://www.atsad-ssiad.fr/" TargetMode="External"/><Relationship Id="rId109" Type="http://schemas.openxmlformats.org/officeDocument/2006/relationships/hyperlink" Target="https://www.atsad-ssiad.fr/" TargetMode="External"/><Relationship Id="rId110" Type="http://schemas.openxmlformats.org/officeDocument/2006/relationships/hyperlink" Target="https://www.sanitaire-social.com/annuaire-soins-et-aide-a-domicile/services-de-soins-infirmiers-a-domicile-ssiad/liste-toulouse-31000" TargetMode="External"/><Relationship Id="rId111" Type="http://schemas.openxmlformats.org/officeDocument/2006/relationships/hyperlink" Target="https://www.una.fr/" TargetMode="External"/><Relationship Id="rId112" Type="http://schemas.openxmlformats.org/officeDocument/2006/relationships/hyperlink" Target="https://www.pappers.fr/entreprise/una-haute-garonne-499599983" TargetMode="External"/><Relationship Id="rId113" Type="http://schemas.openxmlformats.org/officeDocument/2006/relationships/hyperlink" Target="https://www.fisaf.asso.fr/adherer-a-la-fisaf/associations-etablissements-services-adherents/item/494-institut-des-jeunes-aveugles-ija-de-toulouse" TargetMode="External"/><Relationship Id="rId114" Type="http://schemas.openxmlformats.org/officeDocument/2006/relationships/hyperlink" Target="https://metropole.toulouse.fr/le-ccas-recrute" TargetMode="External"/><Relationship Id="rId115" Type="http://schemas.openxmlformats.org/officeDocument/2006/relationships/hyperlink" Target="https://metropole.toulouse.fr/annuaire/residence-autonomie-sept-deniers" TargetMode="External"/><Relationship Id="rId116" Type="http://schemas.openxmlformats.org/officeDocument/2006/relationships/hyperlink" Target="https://www.arseaa.org/pole-enfances-plurielles" TargetMode="External"/><Relationship Id="rId117" Type="http://schemas.openxmlformats.org/officeDocument/2006/relationships/hyperlink" Target="https://www.arseaa.org/pole-enfances-plurielles" TargetMode="External"/><Relationship Id="rId118" Type="http://schemas.openxmlformats.org/officeDocument/2006/relationships/hyperlink" Target="https://www.sante-relais-domicile.fr/recrutement" TargetMode="External"/><Relationship Id="rId119" Type="http://schemas.openxmlformats.org/officeDocument/2006/relationships/hyperlink" Target="https://www.sante-relais-domicile.fr/recrutement" TargetMode="External"/><Relationship Id="rId120" Type="http://schemas.openxmlformats.org/officeDocument/2006/relationships/hyperlink" Target="https://www.domusvi.com/" TargetMode="External"/><Relationship Id="rId121" Type="http://schemas.openxmlformats.org/officeDocument/2006/relationships/hyperlink" Target="https://www.pour-les-personnes-agees.gouv.fr/annuaire-ehpad-et-comparateur-de-prix-et-restes-a-charge?ci=31069&amp;cp=31700" TargetMode="External"/><Relationship Id="rId122" Type="http://schemas.openxmlformats.org/officeDocument/2006/relationships/hyperlink" Target="https://www.domusvi.com/" TargetMode="External"/><Relationship Id="rId123" Type="http://schemas.openxmlformats.org/officeDocument/2006/relationships/hyperlink" Target="https://www.domusvi.com/maisons-de-retraite/haute-garonne-31/residence-de-vinci" TargetMode="External"/><Relationship Id="rId124" Type="http://schemas.openxmlformats.org/officeDocument/2006/relationships/hyperlink" Target="https://grand-marquisat.edenis.fr/" TargetMode="External"/><Relationship Id="rId125" Type="http://schemas.openxmlformats.org/officeDocument/2006/relationships/hyperlink" Target="https://grand-marquisat.edenis.fr/la-residence/" TargetMode="External"/><Relationship Id="rId126" Type="http://schemas.openxmlformats.org/officeDocument/2006/relationships/hyperlink" Target="https://www.mairie-tournefeuille.fr/" TargetMode="External"/><Relationship Id="rId127" Type="http://schemas.openxmlformats.org/officeDocument/2006/relationships/hyperlink" Target="https://www.mairie-tournefeuille.fr/service/residence-doc/" TargetMode="External"/><Relationship Id="rId128" Type="http://schemas.openxmlformats.org/officeDocument/2006/relationships/hyperlink" Target="https://www.pour-les-personnes-agees.gouv.fr/annuaire-ehpad-et-maisons-de-retraite/ehpad/haute-garonne-31/colomiers-31770/domaine-du-valier/310782461" TargetMode="External"/><Relationship Id="rId129" Type="http://schemas.openxmlformats.org/officeDocument/2006/relationships/hyperlink" Target="https://www.vitalis-medical.com/" TargetMode="External"/><Relationship Id="rId130" Type="http://schemas.openxmlformats.org/officeDocument/2006/relationships/hyperlink" Target="https://www.vitalis-medical.com/agence-interim-recrutement/agence-interim-recrutement-emploi-medical-toulouse.html" TargetMode="External"/><Relationship Id="rId131" Type="http://schemas.openxmlformats.org/officeDocument/2006/relationships/hyperlink" Target="https://mediflash.fr/inscription-soignants/" TargetMode="External"/><Relationship Id="rId132" Type="http://schemas.openxmlformats.org/officeDocument/2006/relationships/hyperlink" Target="https://mediflash.fr/inscription-soignants/" TargetMode="External"/><Relationship Id="rId133" Type="http://schemas.openxmlformats.org/officeDocument/2006/relationships/drawing" Target="../drawings/drawing1.xml"/><Relationship Id="rId13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s://bourgogne-franche-comte.dreets.gouv.fr/Dispositif-de-reconnaissance-des-diplomes-paramedicaux" TargetMode="External"/><Relationship Id="rId2" Type="http://schemas.openxmlformats.org/officeDocument/2006/relationships/hyperlink" Target="https://echosante.info/authentification-des-diplomes-le-minsante-opte-pour-un-code-barre/" TargetMode="External"/><Relationship Id="rId3" Type="http://schemas.openxmlformats.org/officeDocument/2006/relationships/hyperlink" Target="https://www.service-public.gouv.fr/particuliers/vosdroits/R38515" TargetMode="External"/><Relationship Id="rId4" Type="http://schemas.openxmlformats.org/officeDocument/2006/relationships/hyperlink" Target="https://www.croix-rouge.fr/formation-professionnelle/agent-des-services-hospitaliers-ash-renfort-aux-aides-soignants" TargetMode="External"/><Relationship Id="rId5" Type="http://schemas.openxmlformats.org/officeDocument/2006/relationships/hyperlink" Target="https://www.service-public.gouv.fr/particuliers/vosdroits/F2728" TargetMode="External"/><Relationship Id="rId6" Type="http://schemas.openxmlformats.org/officeDocument/2006/relationships/hyperlink" Target="https://www.entreprises-occitanie.com/actualites/occitanie-35-metiers-en-tension-dans-la-nouvelle-liste-nationale" TargetMode="External"/><Relationship Id="rId7" Type="http://schemas.openxmlformats.org/officeDocument/2006/relationships/hyperlink" Target="https://code.travail.gouv.fr/code-du-travail/r5221-2" TargetMode="External"/><Relationship Id="rId8" Type="http://schemas.openxmlformats.org/officeDocument/2006/relationships/hyperlink" Target="https://www.service-public.gouv.fr/particuliers/vosdroits/F16053" TargetMode="External"/><Relationship Id="rId9" Type="http://schemas.openxmlformats.org/officeDocument/2006/relationships/hyperlink" Target="https://vae.gouv.fr/" TargetMode="External"/><Relationship Id="rId10" Type="http://schemas.openxmlformats.org/officeDocument/2006/relationships/hyperlink" Target="https://www.anfh.fr/actualites/deas-et-deap-nouvelles-modifications-des-conditions-d-acces-aux-formations"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ecoles-instituts.chu-toulouse.fr/concours-et-selections/ifas/" TargetMode="External"/><Relationship Id="rId2" Type="http://schemas.openxmlformats.org/officeDocument/2006/relationships/hyperlink" Target="https://www.croix-rouge.fr/formation-professionnelle/aide-soignant-toulouse" TargetMode="External"/><Relationship Id="rId3" Type="http://schemas.openxmlformats.org/officeDocument/2006/relationships/hyperlink" Target="https://www.ifrass.fr/pole-sante/diplome-detat-daide-soignan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C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0"/>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row>
    <row r="5" customFormat="false" ht="60" hidden="false" customHeight="true" outlineLevel="0" collapsed="false">
      <c r="B5" s="5" t="s">
        <v>3</v>
      </c>
      <c r="C5" s="6" t="s">
        <v>4</v>
      </c>
    </row>
    <row r="6" customFormat="false" ht="120" hidden="false" customHeight="true" outlineLevel="0" collapsed="false">
      <c r="B6" s="5" t="s">
        <v>5</v>
      </c>
      <c r="C6" s="6" t="s">
        <v>6</v>
      </c>
    </row>
    <row r="8" customFormat="false" ht="15" hidden="false" customHeight="false" outlineLevel="0" collapsed="false">
      <c r="B8" s="3" t="s">
        <v>7</v>
      </c>
      <c r="C8" s="4"/>
    </row>
    <row r="9" customFormat="false" ht="15" hidden="false" customHeight="true" outlineLevel="0" collapsed="false">
      <c r="B9" s="7" t="s">
        <v>8</v>
      </c>
      <c r="C9" s="6" t="s">
        <v>9</v>
      </c>
    </row>
    <row r="10" customFormat="false" ht="30" hidden="false" customHeight="true" outlineLevel="0" collapsed="false">
      <c r="B10" s="5" t="s">
        <v>10</v>
      </c>
      <c r="C10" s="6" t="s">
        <v>11</v>
      </c>
    </row>
    <row r="11" customFormat="false" ht="45" hidden="false" customHeight="true" outlineLevel="0" collapsed="false">
      <c r="B11" s="5" t="s">
        <v>12</v>
      </c>
      <c r="C11" s="6" t="s">
        <v>13</v>
      </c>
    </row>
    <row r="12" customFormat="false" ht="30" hidden="false" customHeight="true" outlineLevel="0" collapsed="false">
      <c r="B12" s="5" t="s">
        <v>14</v>
      </c>
      <c r="C12" s="6" t="s">
        <v>15</v>
      </c>
    </row>
    <row r="13" customFormat="false" ht="30" hidden="false" customHeight="true" outlineLevel="0" collapsed="false">
      <c r="B13" s="5" t="s">
        <v>16</v>
      </c>
      <c r="C13" s="6" t="s">
        <v>17</v>
      </c>
    </row>
    <row r="14" customFormat="false" ht="45" hidden="false" customHeight="true" outlineLevel="0" collapsed="false">
      <c r="B14" s="5" t="s">
        <v>18</v>
      </c>
      <c r="C14" s="6" t="s">
        <v>19</v>
      </c>
    </row>
    <row r="15" customFormat="false" ht="45" hidden="false" customHeight="true" outlineLevel="0" collapsed="false">
      <c r="B15" s="5" t="s">
        <v>20</v>
      </c>
      <c r="C15" s="6" t="s">
        <v>21</v>
      </c>
    </row>
    <row r="17" customFormat="false" ht="15" hidden="false" customHeight="false" outlineLevel="0" collapsed="false">
      <c r="B17" s="3" t="s">
        <v>22</v>
      </c>
      <c r="C17" s="4"/>
    </row>
    <row r="18" customFormat="false" ht="45" hidden="false" customHeight="true" outlineLevel="0" collapsed="false">
      <c r="B18" s="5" t="s">
        <v>23</v>
      </c>
      <c r="C18" s="6" t="s">
        <v>24</v>
      </c>
    </row>
    <row r="19" customFormat="false" ht="45" hidden="false" customHeight="true" outlineLevel="0" collapsed="false">
      <c r="B19" s="5" t="s">
        <v>25</v>
      </c>
      <c r="C19" s="6" t="s">
        <v>26</v>
      </c>
    </row>
    <row r="20" customFormat="false" ht="45" hidden="false" customHeight="true" outlineLevel="0" collapsed="false">
      <c r="B20" s="5" t="s">
        <v>27</v>
      </c>
      <c r="C20" s="6" t="s">
        <v>28</v>
      </c>
    </row>
    <row r="21" customFormat="false" ht="45" hidden="false" customHeight="true" outlineLevel="0" collapsed="false">
      <c r="B21" s="5" t="s">
        <v>29</v>
      </c>
      <c r="C21" s="6" t="s">
        <v>30</v>
      </c>
    </row>
    <row r="22" customFormat="false" ht="30" hidden="false" customHeight="true" outlineLevel="0" collapsed="false">
      <c r="B22" s="5" t="s">
        <v>31</v>
      </c>
      <c r="C22" s="6" t="s">
        <v>32</v>
      </c>
    </row>
    <row r="23" customFormat="false" ht="30" hidden="false" customHeight="true" outlineLevel="0" collapsed="false">
      <c r="B23" s="5" t="s">
        <v>33</v>
      </c>
      <c r="C23" s="6" t="s">
        <v>34</v>
      </c>
    </row>
    <row r="24" customFormat="false" ht="45" hidden="false" customHeight="true" outlineLevel="0" collapsed="false">
      <c r="B24" s="5" t="s">
        <v>35</v>
      </c>
      <c r="C24" s="6" t="s">
        <v>36</v>
      </c>
    </row>
    <row r="26" customFormat="false" ht="15" hidden="false" customHeight="false" outlineLevel="0" collapsed="false">
      <c r="B26" s="3" t="s">
        <v>37</v>
      </c>
      <c r="C26" s="4"/>
    </row>
    <row r="27" customFormat="false" ht="60" hidden="false" customHeight="true" outlineLevel="0" collapsed="false">
      <c r="B27" s="7" t="s">
        <v>38</v>
      </c>
      <c r="C27" s="6" t="s">
        <v>39</v>
      </c>
    </row>
    <row r="28" customFormat="false" ht="30" hidden="false" customHeight="true" outlineLevel="0" collapsed="false">
      <c r="B28" s="7" t="s">
        <v>40</v>
      </c>
      <c r="C28" s="6" t="s">
        <v>41</v>
      </c>
    </row>
    <row r="29" customFormat="false" ht="30" hidden="false" customHeight="true" outlineLevel="0" collapsed="false">
      <c r="B29" s="7" t="s">
        <v>42</v>
      </c>
      <c r="C29" s="6" t="s">
        <v>43</v>
      </c>
    </row>
    <row r="30" customFormat="false" ht="15" hidden="false" customHeight="true" outlineLevel="0" collapsed="false">
      <c r="B30" s="7" t="s">
        <v>44</v>
      </c>
      <c r="C30" s="6" t="s">
        <v>45</v>
      </c>
    </row>
    <row r="32" customFormat="false" ht="15" hidden="false" customHeight="false" outlineLevel="0" collapsed="false">
      <c r="B32" s="3" t="s">
        <v>46</v>
      </c>
      <c r="C32" s="4"/>
    </row>
    <row r="33" customFormat="false" ht="15" hidden="false" customHeight="false" outlineLevel="0" collapsed="false">
      <c r="C33" s="8" t="s">
        <v>47</v>
      </c>
    </row>
    <row r="34" customFormat="false" ht="15" hidden="false" customHeight="false" outlineLevel="0" collapsed="false">
      <c r="C34" s="8" t="s">
        <v>48</v>
      </c>
    </row>
    <row r="35" customFormat="false" ht="15" hidden="false" customHeight="false" outlineLevel="0" collapsed="false">
      <c r="C35" s="8" t="s">
        <v>49</v>
      </c>
    </row>
    <row r="36" customFormat="false" ht="15" hidden="false" customHeight="false" outlineLevel="0" collapsed="false">
      <c r="C36" s="8" t="s">
        <v>50</v>
      </c>
    </row>
    <row r="37" customFormat="false" ht="15" hidden="false" customHeight="false" outlineLevel="0" collapsed="false">
      <c r="C37" s="8" t="s">
        <v>51</v>
      </c>
    </row>
    <row r="38" customFormat="false" ht="15" hidden="false" customHeight="false" outlineLevel="0" collapsed="false">
      <c r="C38" s="8" t="s">
        <v>52</v>
      </c>
    </row>
    <row r="39" customFormat="false" ht="15" hidden="false" customHeight="false" outlineLevel="0" collapsed="false">
      <c r="C39" s="8" t="s">
        <v>53</v>
      </c>
    </row>
  </sheetData>
  <hyperlinks>
    <hyperlink ref="C33" r:id="rId1" display="Arrêté du 21 mai 2025 fixant la liste des métiers en tension : https://www.legifrance.gouv.fr/jorf/id/JORFTEXT000051643488"/>
    <hyperlink ref="C34" r:id="rId2" display="Autorisation de travail (service-public) : https://www.service-public.gouv.fr/particuliers/vosdroits/F2728"/>
    <hyperlink ref="C35" r:id="rId3" display="Admission exceptionnelle au séjour métiers en tension : https://www.service-public.gouv.fr/particuliers/vosdroits/F16053"/>
    <hyperlink ref="C36" r:id="rId4" display="Reconnaissance des diplômes paramédicaux (DREETS) : https://bourgogne-franche-comte.dreets.gouv.fr/Dispositif-de-reconnaissance-des-diplomes-paramedicaux"/>
    <hyperlink ref="C37" r:id="rId5" display="France VAE – DEAS : https://vae.gouv.fr"/>
    <hyperlink ref="C38" r:id="rId6" display="Annuaire officiel des EHPAD et services à domicile : https://www.pour-les-personnes-agees.gouv.fr"/>
    <hyperlink ref="C39" r:id="rId7" display="Recrutement CHU de Toulouse : https://recrutement.chu-toulouse.fr ; CCAS de Toulouse : https://metropole.toulouse.fr/le-ccas-recrut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Y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20"/>
    <col collapsed="false" customWidth="true" hidden="false" outlineLevel="0" max="4" min="4" style="0" width="30"/>
    <col collapsed="false" customWidth="true" hidden="false" outlineLevel="0" max="5" min="5" style="0" width="28"/>
    <col collapsed="false" customWidth="true" hidden="false" outlineLevel="0" max="6" min="6" style="0" width="16"/>
    <col collapsed="false" customWidth="true" hidden="false" outlineLevel="0" max="7" min="7" style="0" width="34"/>
    <col collapsed="false" customWidth="true" hidden="false" outlineLevel="0" max="8" min="8" style="0" width="7"/>
    <col collapsed="false" customWidth="true" hidden="false" outlineLevel="0" max="9" min="9" style="0" width="20"/>
    <col collapsed="false" customWidth="true" hidden="false" outlineLevel="0" max="10" min="10" style="0" width="9"/>
    <col collapsed="false" customWidth="true" hidden="false" outlineLevel="0" max="11" min="11" style="0" width="22"/>
    <col collapsed="false" customWidth="true" hidden="false" outlineLevel="0" max="12" min="12" style="0" width="40"/>
    <col collapsed="false" customWidth="true" hidden="false" outlineLevel="0" max="13" min="13" style="0" width="30"/>
    <col collapsed="false" customWidth="true" hidden="false" outlineLevel="0" max="14" min="14" style="0" width="18"/>
    <col collapsed="false" customWidth="true" hidden="false" outlineLevel="0" max="15" min="15" style="0" width="26"/>
    <col collapsed="false" customWidth="true" hidden="false" outlineLevel="0" max="16" min="16" style="0" width="8"/>
    <col collapsed="false" customWidth="true" hidden="false" outlineLevel="0" max="17" min="17" style="0" width="55"/>
    <col collapsed="false" customWidth="true" hidden="false" outlineLevel="0" max="18" min="18" style="0" width="40"/>
    <col collapsed="false" customWidth="true" hidden="false" outlineLevel="0" max="19" min="19" style="0" width="20"/>
    <col collapsed="false" customWidth="true" hidden="false" outlineLevel="0" max="20" min="20" style="0" width="12"/>
    <col collapsed="false" customWidth="true" hidden="false" outlineLevel="0" max="21" min="21" style="0" width="16"/>
    <col collapsed="false" customWidth="true" hidden="false" outlineLevel="0" max="22" min="22" style="0" width="24"/>
    <col collapsed="false" customWidth="true" hidden="false" outlineLevel="0" max="23" min="23" style="0" width="40"/>
    <col collapsed="false" customWidth="true" hidden="false" outlineLevel="0" max="24" min="24" style="0" width="12"/>
    <col collapsed="false" customWidth="true" hidden="false" outlineLevel="0" max="25" min="25" style="0" width="40"/>
  </cols>
  <sheetData>
    <row r="1" customFormat="false" ht="31.5" hidden="false" customHeight="true" outlineLevel="0" collapsed="false">
      <c r="A1" s="9" t="s">
        <v>54</v>
      </c>
      <c r="B1" s="9" t="s">
        <v>55</v>
      </c>
      <c r="C1" s="9" t="s">
        <v>56</v>
      </c>
      <c r="D1" s="9" t="s">
        <v>57</v>
      </c>
      <c r="E1" s="9" t="s">
        <v>58</v>
      </c>
      <c r="F1" s="9" t="s">
        <v>59</v>
      </c>
      <c r="G1" s="9" t="s">
        <v>60</v>
      </c>
      <c r="H1" s="9" t="s">
        <v>61</v>
      </c>
      <c r="I1" s="9" t="s">
        <v>62</v>
      </c>
      <c r="J1" s="9" t="s">
        <v>63</v>
      </c>
      <c r="K1" s="9" t="s">
        <v>64</v>
      </c>
      <c r="L1" s="9" t="s">
        <v>65</v>
      </c>
      <c r="M1" s="9" t="s">
        <v>66</v>
      </c>
      <c r="N1" s="9" t="s">
        <v>67</v>
      </c>
      <c r="O1" s="9" t="s">
        <v>68</v>
      </c>
      <c r="P1" s="9" t="s">
        <v>69</v>
      </c>
      <c r="Q1" s="9" t="s">
        <v>70</v>
      </c>
      <c r="R1" s="9" t="s">
        <v>71</v>
      </c>
      <c r="S1" s="10" t="s">
        <v>72</v>
      </c>
      <c r="T1" s="10" t="s">
        <v>73</v>
      </c>
      <c r="U1" s="10" t="s">
        <v>74</v>
      </c>
      <c r="V1" s="10" t="s">
        <v>75</v>
      </c>
      <c r="W1" s="10" t="s">
        <v>76</v>
      </c>
      <c r="X1" s="10" t="s">
        <v>77</v>
      </c>
      <c r="Y1" s="10" t="s">
        <v>78</v>
      </c>
    </row>
    <row r="2" customFormat="false" ht="39" hidden="false" customHeight="true" outlineLevel="0" collapsed="false">
      <c r="A2" s="11" t="n">
        <v>1</v>
      </c>
      <c r="B2" s="5" t="s">
        <v>79</v>
      </c>
      <c r="C2" s="6" t="s">
        <v>80</v>
      </c>
      <c r="D2" s="6" t="s">
        <v>81</v>
      </c>
      <c r="E2" s="6" t="s">
        <v>82</v>
      </c>
      <c r="F2" s="6" t="s">
        <v>83</v>
      </c>
      <c r="G2" s="6" t="s">
        <v>84</v>
      </c>
      <c r="H2" s="11" t="s">
        <v>85</v>
      </c>
      <c r="I2" s="6" t="s">
        <v>86</v>
      </c>
      <c r="J2" s="12" t="n">
        <v>1</v>
      </c>
      <c r="K2" s="6" t="s">
        <v>87</v>
      </c>
      <c r="L2" s="13" t="s">
        <v>88</v>
      </c>
      <c r="M2" s="6" t="s">
        <v>89</v>
      </c>
      <c r="N2" s="6" t="s">
        <v>90</v>
      </c>
      <c r="O2" s="6" t="s">
        <v>91</v>
      </c>
      <c r="P2" s="11" t="n">
        <v>1</v>
      </c>
      <c r="Q2" s="6" t="s">
        <v>92</v>
      </c>
      <c r="R2" s="13" t="s">
        <v>93</v>
      </c>
      <c r="S2" s="14" t="s">
        <v>94</v>
      </c>
      <c r="T2" s="15"/>
      <c r="U2" s="14"/>
      <c r="V2" s="14"/>
      <c r="W2" s="14"/>
      <c r="X2" s="15"/>
      <c r="Y2" s="14"/>
    </row>
    <row r="3" customFormat="false" ht="39" hidden="false" customHeight="true" outlineLevel="0" collapsed="false">
      <c r="A3" s="11" t="n">
        <v>2</v>
      </c>
      <c r="B3" s="5" t="s">
        <v>95</v>
      </c>
      <c r="C3" s="6" t="s">
        <v>96</v>
      </c>
      <c r="D3" s="6" t="s">
        <v>97</v>
      </c>
      <c r="E3" s="6" t="s">
        <v>98</v>
      </c>
      <c r="F3" s="6" t="s">
        <v>83</v>
      </c>
      <c r="G3" s="6" t="s">
        <v>99</v>
      </c>
      <c r="H3" s="11" t="s">
        <v>85</v>
      </c>
      <c r="I3" s="6" t="s">
        <v>100</v>
      </c>
      <c r="J3" s="12" t="n">
        <v>1</v>
      </c>
      <c r="K3" s="6" t="s">
        <v>101</v>
      </c>
      <c r="L3" s="13" t="s">
        <v>102</v>
      </c>
      <c r="M3" s="6" t="s">
        <v>103</v>
      </c>
      <c r="N3" s="6" t="s">
        <v>104</v>
      </c>
      <c r="O3" s="6" t="s">
        <v>105</v>
      </c>
      <c r="P3" s="11" t="n">
        <v>1</v>
      </c>
      <c r="Q3" s="6" t="s">
        <v>106</v>
      </c>
      <c r="R3" s="13" t="s">
        <v>107</v>
      </c>
      <c r="S3" s="14" t="s">
        <v>94</v>
      </c>
      <c r="T3" s="15"/>
      <c r="U3" s="14"/>
      <c r="V3" s="14"/>
      <c r="W3" s="14"/>
      <c r="X3" s="15"/>
      <c r="Y3" s="14"/>
    </row>
    <row r="4" customFormat="false" ht="30" hidden="false" customHeight="true" outlineLevel="0" collapsed="false">
      <c r="A4" s="11" t="n">
        <v>3</v>
      </c>
      <c r="B4" s="5" t="s">
        <v>108</v>
      </c>
      <c r="C4" s="6" t="s">
        <v>109</v>
      </c>
      <c r="D4" s="6" t="s">
        <v>110</v>
      </c>
      <c r="E4" s="6" t="s">
        <v>111</v>
      </c>
      <c r="F4" s="6" t="s">
        <v>83</v>
      </c>
      <c r="G4" s="6" t="s">
        <v>112</v>
      </c>
      <c r="H4" s="11" t="s">
        <v>85</v>
      </c>
      <c r="I4" s="6" t="s">
        <v>113</v>
      </c>
      <c r="J4" s="12" t="n">
        <v>1.2</v>
      </c>
      <c r="K4" s="6" t="s">
        <v>114</v>
      </c>
      <c r="L4" s="6" t="s">
        <v>115</v>
      </c>
      <c r="M4" s="6" t="s">
        <v>89</v>
      </c>
      <c r="N4" s="6" t="s">
        <v>116</v>
      </c>
      <c r="O4" s="6" t="s">
        <v>117</v>
      </c>
      <c r="P4" s="11" t="n">
        <v>1</v>
      </c>
      <c r="Q4" s="6" t="s">
        <v>118</v>
      </c>
      <c r="R4" s="13" t="s">
        <v>119</v>
      </c>
      <c r="S4" s="14" t="s">
        <v>94</v>
      </c>
      <c r="T4" s="15"/>
      <c r="U4" s="14"/>
      <c r="V4" s="14"/>
      <c r="W4" s="14"/>
      <c r="X4" s="15"/>
      <c r="Y4" s="14"/>
    </row>
    <row r="5" customFormat="false" ht="30" hidden="false" customHeight="true" outlineLevel="0" collapsed="false">
      <c r="A5" s="11" t="n">
        <v>4</v>
      </c>
      <c r="B5" s="5" t="s">
        <v>120</v>
      </c>
      <c r="C5" s="6" t="s">
        <v>109</v>
      </c>
      <c r="D5" s="6" t="s">
        <v>121</v>
      </c>
      <c r="E5" s="6" t="s">
        <v>122</v>
      </c>
      <c r="F5" s="6" t="s">
        <v>123</v>
      </c>
      <c r="G5" s="6" t="s">
        <v>124</v>
      </c>
      <c r="H5" s="11" t="s">
        <v>85</v>
      </c>
      <c r="I5" s="6" t="s">
        <v>113</v>
      </c>
      <c r="J5" s="12" t="n">
        <v>1.3</v>
      </c>
      <c r="K5" s="6" t="s">
        <v>125</v>
      </c>
      <c r="L5" s="6" t="s">
        <v>126</v>
      </c>
      <c r="M5" s="6" t="s">
        <v>89</v>
      </c>
      <c r="N5" s="6" t="s">
        <v>127</v>
      </c>
      <c r="O5" s="6" t="s">
        <v>117</v>
      </c>
      <c r="P5" s="11" t="n">
        <v>1</v>
      </c>
      <c r="Q5" s="6" t="s">
        <v>128</v>
      </c>
      <c r="R5" s="13" t="s">
        <v>129</v>
      </c>
      <c r="S5" s="14" t="s">
        <v>94</v>
      </c>
      <c r="T5" s="15"/>
      <c r="U5" s="14"/>
      <c r="V5" s="14"/>
      <c r="W5" s="14"/>
      <c r="X5" s="15"/>
      <c r="Y5" s="14"/>
    </row>
    <row r="6" customFormat="false" ht="39" hidden="false" customHeight="true" outlineLevel="0" collapsed="false">
      <c r="A6" s="11" t="n">
        <v>5</v>
      </c>
      <c r="B6" s="5" t="s">
        <v>130</v>
      </c>
      <c r="C6" s="6" t="s">
        <v>109</v>
      </c>
      <c r="D6" s="6" t="s">
        <v>131</v>
      </c>
      <c r="E6" s="6" t="s">
        <v>132</v>
      </c>
      <c r="F6" s="6" t="s">
        <v>133</v>
      </c>
      <c r="G6" s="6" t="s">
        <v>134</v>
      </c>
      <c r="H6" s="11" t="s">
        <v>85</v>
      </c>
      <c r="I6" s="6" t="s">
        <v>135</v>
      </c>
      <c r="J6" s="12" t="n">
        <v>1.3</v>
      </c>
      <c r="K6" s="6" t="s">
        <v>136</v>
      </c>
      <c r="L6" s="13" t="s">
        <v>137</v>
      </c>
      <c r="M6" s="6" t="s">
        <v>138</v>
      </c>
      <c r="N6" s="6" t="s">
        <v>139</v>
      </c>
      <c r="O6" s="6" t="s">
        <v>117</v>
      </c>
      <c r="P6" s="11" t="n">
        <v>1</v>
      </c>
      <c r="Q6" s="6" t="s">
        <v>140</v>
      </c>
      <c r="R6" s="13" t="s">
        <v>141</v>
      </c>
      <c r="S6" s="14" t="s">
        <v>94</v>
      </c>
      <c r="T6" s="15"/>
      <c r="U6" s="14"/>
      <c r="V6" s="14"/>
      <c r="W6" s="14"/>
      <c r="X6" s="15"/>
      <c r="Y6" s="14"/>
    </row>
    <row r="7" customFormat="false" ht="39" hidden="false" customHeight="true" outlineLevel="0" collapsed="false">
      <c r="A7" s="11" t="n">
        <v>6</v>
      </c>
      <c r="B7" s="5" t="s">
        <v>142</v>
      </c>
      <c r="C7" s="6" t="s">
        <v>143</v>
      </c>
      <c r="D7" s="6" t="s">
        <v>144</v>
      </c>
      <c r="E7" s="6" t="s">
        <v>145</v>
      </c>
      <c r="F7" s="6" t="s">
        <v>83</v>
      </c>
      <c r="G7" s="6" t="s">
        <v>146</v>
      </c>
      <c r="H7" s="11" t="s">
        <v>85</v>
      </c>
      <c r="I7" s="6" t="s">
        <v>147</v>
      </c>
      <c r="J7" s="12" t="n">
        <v>1.3</v>
      </c>
      <c r="K7" s="6" t="s">
        <v>148</v>
      </c>
      <c r="L7" s="13" t="s">
        <v>149</v>
      </c>
      <c r="M7" s="6" t="s">
        <v>150</v>
      </c>
      <c r="N7" s="6" t="s">
        <v>104</v>
      </c>
      <c r="O7" s="6" t="s">
        <v>151</v>
      </c>
      <c r="P7" s="11" t="n">
        <v>1</v>
      </c>
      <c r="Q7" s="6" t="s">
        <v>152</v>
      </c>
      <c r="R7" s="13" t="s">
        <v>153</v>
      </c>
      <c r="S7" s="14" t="s">
        <v>94</v>
      </c>
      <c r="T7" s="15"/>
      <c r="U7" s="14"/>
      <c r="V7" s="14"/>
      <c r="W7" s="14"/>
      <c r="X7" s="15"/>
      <c r="Y7" s="14"/>
    </row>
    <row r="8" customFormat="false" ht="30" hidden="false" customHeight="true" outlineLevel="0" collapsed="false">
      <c r="A8" s="11" t="n">
        <v>7</v>
      </c>
      <c r="B8" s="5" t="s">
        <v>154</v>
      </c>
      <c r="C8" s="6" t="s">
        <v>155</v>
      </c>
      <c r="D8" s="6" t="s">
        <v>156</v>
      </c>
      <c r="E8" s="6" t="s">
        <v>157</v>
      </c>
      <c r="F8" s="6" t="s">
        <v>123</v>
      </c>
      <c r="G8" s="6" t="s">
        <v>158</v>
      </c>
      <c r="H8" s="11" t="s">
        <v>85</v>
      </c>
      <c r="I8" s="6" t="s">
        <v>135</v>
      </c>
      <c r="J8" s="12" t="n">
        <v>1.5</v>
      </c>
      <c r="K8" s="6" t="s">
        <v>159</v>
      </c>
      <c r="L8" s="13" t="s">
        <v>160</v>
      </c>
      <c r="M8" s="6" t="s">
        <v>89</v>
      </c>
      <c r="N8" s="6" t="s">
        <v>161</v>
      </c>
      <c r="O8" s="6" t="s">
        <v>91</v>
      </c>
      <c r="P8" s="11" t="n">
        <v>1</v>
      </c>
      <c r="Q8" s="6" t="s">
        <v>162</v>
      </c>
      <c r="R8" s="13" t="s">
        <v>160</v>
      </c>
      <c r="S8" s="14" t="s">
        <v>94</v>
      </c>
      <c r="T8" s="15"/>
      <c r="U8" s="14"/>
      <c r="V8" s="14"/>
      <c r="W8" s="14"/>
      <c r="X8" s="15"/>
      <c r="Y8" s="14"/>
    </row>
    <row r="9" customFormat="false" ht="51.75" hidden="false" customHeight="true" outlineLevel="0" collapsed="false">
      <c r="A9" s="11" t="n">
        <v>8</v>
      </c>
      <c r="B9" s="5" t="s">
        <v>163</v>
      </c>
      <c r="C9" s="6" t="s">
        <v>109</v>
      </c>
      <c r="D9" s="6" t="s">
        <v>164</v>
      </c>
      <c r="E9" s="6" t="s">
        <v>165</v>
      </c>
      <c r="F9" s="6" t="s">
        <v>123</v>
      </c>
      <c r="G9" s="6" t="s">
        <v>166</v>
      </c>
      <c r="H9" s="11" t="s">
        <v>85</v>
      </c>
      <c r="I9" s="6" t="s">
        <v>135</v>
      </c>
      <c r="J9" s="12" t="n">
        <v>1.5</v>
      </c>
      <c r="K9" s="6" t="s">
        <v>89</v>
      </c>
      <c r="L9" s="6" t="s">
        <v>89</v>
      </c>
      <c r="M9" s="6" t="s">
        <v>89</v>
      </c>
      <c r="N9" s="6" t="s">
        <v>89</v>
      </c>
      <c r="O9" s="6" t="s">
        <v>117</v>
      </c>
      <c r="P9" s="11" t="n">
        <v>1</v>
      </c>
      <c r="Q9" s="6" t="s">
        <v>167</v>
      </c>
      <c r="R9" s="13" t="s">
        <v>168</v>
      </c>
      <c r="S9" s="14" t="s">
        <v>94</v>
      </c>
      <c r="T9" s="15"/>
      <c r="U9" s="14"/>
      <c r="V9" s="14"/>
      <c r="W9" s="14"/>
      <c r="X9" s="15"/>
      <c r="Y9" s="14"/>
    </row>
    <row r="10" customFormat="false" ht="30" hidden="false" customHeight="true" outlineLevel="0" collapsed="false">
      <c r="A10" s="11" t="n">
        <v>9</v>
      </c>
      <c r="B10" s="5" t="s">
        <v>169</v>
      </c>
      <c r="C10" s="6" t="s">
        <v>109</v>
      </c>
      <c r="D10" s="6" t="s">
        <v>170</v>
      </c>
      <c r="E10" s="6" t="s">
        <v>171</v>
      </c>
      <c r="F10" s="6" t="s">
        <v>83</v>
      </c>
      <c r="G10" s="6" t="s">
        <v>172</v>
      </c>
      <c r="H10" s="11" t="s">
        <v>173</v>
      </c>
      <c r="I10" s="6" t="s">
        <v>174</v>
      </c>
      <c r="J10" s="12" t="n">
        <v>1.5</v>
      </c>
      <c r="K10" s="6" t="s">
        <v>89</v>
      </c>
      <c r="L10" s="6" t="s">
        <v>175</v>
      </c>
      <c r="M10" s="6" t="s">
        <v>89</v>
      </c>
      <c r="N10" s="6" t="s">
        <v>176</v>
      </c>
      <c r="O10" s="6" t="s">
        <v>117</v>
      </c>
      <c r="P10" s="11" t="n">
        <v>1</v>
      </c>
      <c r="Q10" s="6" t="s">
        <v>177</v>
      </c>
      <c r="R10" s="13" t="s">
        <v>178</v>
      </c>
      <c r="S10" s="14" t="s">
        <v>94</v>
      </c>
      <c r="T10" s="15"/>
      <c r="U10" s="14"/>
      <c r="V10" s="14"/>
      <c r="W10" s="14"/>
      <c r="X10" s="15"/>
      <c r="Y10" s="14"/>
    </row>
    <row r="11" customFormat="false" ht="30" hidden="false" customHeight="true" outlineLevel="0" collapsed="false">
      <c r="A11" s="11" t="n">
        <v>10</v>
      </c>
      <c r="B11" s="5" t="s">
        <v>179</v>
      </c>
      <c r="C11" s="6" t="s">
        <v>80</v>
      </c>
      <c r="D11" s="6" t="s">
        <v>180</v>
      </c>
      <c r="E11" s="6" t="s">
        <v>181</v>
      </c>
      <c r="F11" s="6" t="s">
        <v>83</v>
      </c>
      <c r="G11" s="6" t="s">
        <v>182</v>
      </c>
      <c r="H11" s="11" t="s">
        <v>85</v>
      </c>
      <c r="I11" s="6" t="s">
        <v>135</v>
      </c>
      <c r="J11" s="12" t="n">
        <v>1.7</v>
      </c>
      <c r="K11" s="6" t="s">
        <v>183</v>
      </c>
      <c r="L11" s="13" t="s">
        <v>184</v>
      </c>
      <c r="M11" s="6" t="s">
        <v>89</v>
      </c>
      <c r="N11" s="6" t="s">
        <v>185</v>
      </c>
      <c r="O11" s="6" t="s">
        <v>91</v>
      </c>
      <c r="P11" s="11" t="n">
        <v>1</v>
      </c>
      <c r="Q11" s="6" t="s">
        <v>186</v>
      </c>
      <c r="R11" s="13" t="s">
        <v>184</v>
      </c>
      <c r="S11" s="14" t="s">
        <v>94</v>
      </c>
      <c r="T11" s="15"/>
      <c r="U11" s="14"/>
      <c r="V11" s="14"/>
      <c r="W11" s="14"/>
      <c r="X11" s="15"/>
      <c r="Y11" s="14"/>
    </row>
    <row r="12" customFormat="false" ht="30" hidden="false" customHeight="true" outlineLevel="0" collapsed="false">
      <c r="A12" s="11" t="n">
        <v>11</v>
      </c>
      <c r="B12" s="5" t="s">
        <v>187</v>
      </c>
      <c r="C12" s="6" t="s">
        <v>109</v>
      </c>
      <c r="D12" s="6" t="s">
        <v>164</v>
      </c>
      <c r="E12" s="6" t="s">
        <v>132</v>
      </c>
      <c r="F12" s="6" t="s">
        <v>133</v>
      </c>
      <c r="G12" s="6" t="s">
        <v>188</v>
      </c>
      <c r="H12" s="11" t="s">
        <v>85</v>
      </c>
      <c r="I12" s="6" t="s">
        <v>189</v>
      </c>
      <c r="J12" s="12" t="n">
        <v>2</v>
      </c>
      <c r="K12" s="6" t="s">
        <v>190</v>
      </c>
      <c r="L12" s="13" t="s">
        <v>137</v>
      </c>
      <c r="M12" s="6" t="s">
        <v>138</v>
      </c>
      <c r="N12" s="6" t="s">
        <v>191</v>
      </c>
      <c r="O12" s="6" t="s">
        <v>117</v>
      </c>
      <c r="P12" s="11" t="n">
        <v>1</v>
      </c>
      <c r="Q12" s="6" t="s">
        <v>192</v>
      </c>
      <c r="R12" s="13" t="s">
        <v>193</v>
      </c>
      <c r="S12" s="14" t="s">
        <v>94</v>
      </c>
      <c r="T12" s="15"/>
      <c r="U12" s="14"/>
      <c r="V12" s="14"/>
      <c r="W12" s="14"/>
      <c r="X12" s="15"/>
      <c r="Y12" s="14"/>
    </row>
    <row r="13" customFormat="false" ht="51.75" hidden="false" customHeight="true" outlineLevel="0" collapsed="false">
      <c r="A13" s="11" t="n">
        <v>12</v>
      </c>
      <c r="B13" s="5" t="s">
        <v>194</v>
      </c>
      <c r="C13" s="6" t="s">
        <v>155</v>
      </c>
      <c r="D13" s="6" t="s">
        <v>195</v>
      </c>
      <c r="E13" s="6" t="s">
        <v>196</v>
      </c>
      <c r="F13" s="6" t="s">
        <v>133</v>
      </c>
      <c r="G13" s="6" t="s">
        <v>197</v>
      </c>
      <c r="H13" s="11" t="s">
        <v>85</v>
      </c>
      <c r="I13" s="6" t="s">
        <v>198</v>
      </c>
      <c r="J13" s="12" t="n">
        <v>2.5</v>
      </c>
      <c r="K13" s="6" t="s">
        <v>199</v>
      </c>
      <c r="L13" s="13" t="s">
        <v>200</v>
      </c>
      <c r="M13" s="6" t="s">
        <v>89</v>
      </c>
      <c r="N13" s="6" t="s">
        <v>201</v>
      </c>
      <c r="O13" s="6" t="s">
        <v>91</v>
      </c>
      <c r="P13" s="11" t="n">
        <v>1</v>
      </c>
      <c r="Q13" s="6" t="s">
        <v>202</v>
      </c>
      <c r="R13" s="13" t="s">
        <v>200</v>
      </c>
      <c r="S13" s="14" t="s">
        <v>94</v>
      </c>
      <c r="T13" s="15"/>
      <c r="U13" s="14"/>
      <c r="V13" s="14"/>
      <c r="W13" s="14"/>
      <c r="X13" s="15"/>
      <c r="Y13" s="14"/>
    </row>
    <row r="14" customFormat="false" ht="30" hidden="false" customHeight="true" outlineLevel="0" collapsed="false">
      <c r="A14" s="11" t="n">
        <v>13</v>
      </c>
      <c r="B14" s="5" t="s">
        <v>203</v>
      </c>
      <c r="C14" s="6" t="s">
        <v>96</v>
      </c>
      <c r="D14" s="6" t="s">
        <v>204</v>
      </c>
      <c r="E14" s="6" t="s">
        <v>205</v>
      </c>
      <c r="F14" s="6" t="s">
        <v>83</v>
      </c>
      <c r="G14" s="6" t="s">
        <v>206</v>
      </c>
      <c r="H14" s="11" t="s">
        <v>173</v>
      </c>
      <c r="I14" s="6" t="s">
        <v>207</v>
      </c>
      <c r="J14" s="12" t="n">
        <v>2.5</v>
      </c>
      <c r="K14" s="6" t="s">
        <v>208</v>
      </c>
      <c r="L14" s="13" t="s">
        <v>209</v>
      </c>
      <c r="M14" s="6" t="s">
        <v>89</v>
      </c>
      <c r="N14" s="6" t="s">
        <v>104</v>
      </c>
      <c r="O14" s="6" t="s">
        <v>105</v>
      </c>
      <c r="P14" s="11" t="n">
        <v>1</v>
      </c>
      <c r="Q14" s="6" t="s">
        <v>210</v>
      </c>
      <c r="R14" s="13" t="s">
        <v>211</v>
      </c>
      <c r="S14" s="14" t="s">
        <v>94</v>
      </c>
      <c r="T14" s="15"/>
      <c r="U14" s="14"/>
      <c r="V14" s="14"/>
      <c r="W14" s="14"/>
      <c r="X14" s="15"/>
      <c r="Y14" s="14"/>
    </row>
    <row r="15" customFormat="false" ht="51.75" hidden="false" customHeight="true" outlineLevel="0" collapsed="false">
      <c r="A15" s="11" t="n">
        <v>14</v>
      </c>
      <c r="B15" s="5" t="s">
        <v>212</v>
      </c>
      <c r="C15" s="6" t="s">
        <v>96</v>
      </c>
      <c r="D15" s="6" t="s">
        <v>213</v>
      </c>
      <c r="E15" s="6" t="s">
        <v>214</v>
      </c>
      <c r="F15" s="6" t="s">
        <v>83</v>
      </c>
      <c r="G15" s="6" t="s">
        <v>215</v>
      </c>
      <c r="H15" s="11" t="s">
        <v>85</v>
      </c>
      <c r="I15" s="6" t="s">
        <v>198</v>
      </c>
      <c r="J15" s="12" t="n">
        <v>2.5</v>
      </c>
      <c r="K15" s="6" t="s">
        <v>216</v>
      </c>
      <c r="L15" s="13" t="s">
        <v>217</v>
      </c>
      <c r="M15" s="6" t="s">
        <v>89</v>
      </c>
      <c r="N15" s="6" t="s">
        <v>104</v>
      </c>
      <c r="O15" s="6" t="s">
        <v>105</v>
      </c>
      <c r="P15" s="11" t="n">
        <v>1</v>
      </c>
      <c r="Q15" s="6" t="s">
        <v>218</v>
      </c>
      <c r="R15" s="13" t="s">
        <v>219</v>
      </c>
      <c r="S15" s="14" t="s">
        <v>94</v>
      </c>
      <c r="T15" s="15"/>
      <c r="U15" s="14"/>
      <c r="V15" s="14"/>
      <c r="W15" s="14"/>
      <c r="X15" s="15"/>
      <c r="Y15" s="14"/>
    </row>
    <row r="16" customFormat="false" ht="30" hidden="false" customHeight="true" outlineLevel="0" collapsed="false">
      <c r="A16" s="11" t="n">
        <v>15</v>
      </c>
      <c r="B16" s="5" t="s">
        <v>220</v>
      </c>
      <c r="C16" s="6" t="s">
        <v>96</v>
      </c>
      <c r="D16" s="6" t="s">
        <v>221</v>
      </c>
      <c r="E16" s="6" t="s">
        <v>222</v>
      </c>
      <c r="F16" s="6" t="s">
        <v>83</v>
      </c>
      <c r="G16" s="6" t="s">
        <v>223</v>
      </c>
      <c r="H16" s="11" t="s">
        <v>224</v>
      </c>
      <c r="I16" s="6" t="s">
        <v>225</v>
      </c>
      <c r="J16" s="12" t="n">
        <v>2.5</v>
      </c>
      <c r="K16" s="6" t="s">
        <v>89</v>
      </c>
      <c r="L16" s="13" t="s">
        <v>226</v>
      </c>
      <c r="M16" s="6" t="s">
        <v>89</v>
      </c>
      <c r="N16" s="6" t="s">
        <v>104</v>
      </c>
      <c r="O16" s="6" t="s">
        <v>105</v>
      </c>
      <c r="P16" s="11" t="n">
        <v>1</v>
      </c>
      <c r="Q16" s="6" t="s">
        <v>227</v>
      </c>
      <c r="R16" s="13" t="s">
        <v>226</v>
      </c>
      <c r="S16" s="14" t="s">
        <v>94</v>
      </c>
      <c r="T16" s="15"/>
      <c r="U16" s="14"/>
      <c r="V16" s="14"/>
      <c r="W16" s="14"/>
      <c r="X16" s="15"/>
      <c r="Y16" s="14"/>
    </row>
    <row r="17" customFormat="false" ht="30" hidden="false" customHeight="true" outlineLevel="0" collapsed="false">
      <c r="A17" s="11" t="n">
        <v>16</v>
      </c>
      <c r="B17" s="5" t="s">
        <v>228</v>
      </c>
      <c r="C17" s="6" t="s">
        <v>155</v>
      </c>
      <c r="D17" s="6" t="s">
        <v>229</v>
      </c>
      <c r="E17" s="6" t="s">
        <v>196</v>
      </c>
      <c r="F17" s="6" t="s">
        <v>133</v>
      </c>
      <c r="G17" s="6" t="s">
        <v>230</v>
      </c>
      <c r="H17" s="11" t="s">
        <v>231</v>
      </c>
      <c r="I17" s="6" t="s">
        <v>232</v>
      </c>
      <c r="J17" s="12" t="n">
        <v>3</v>
      </c>
      <c r="K17" s="6" t="s">
        <v>199</v>
      </c>
      <c r="L17" s="13" t="s">
        <v>233</v>
      </c>
      <c r="M17" s="6" t="s">
        <v>89</v>
      </c>
      <c r="N17" s="6" t="s">
        <v>234</v>
      </c>
      <c r="O17" s="6" t="s">
        <v>117</v>
      </c>
      <c r="P17" s="11" t="n">
        <v>1</v>
      </c>
      <c r="Q17" s="6" t="s">
        <v>235</v>
      </c>
      <c r="R17" s="13" t="s">
        <v>236</v>
      </c>
      <c r="S17" s="14" t="s">
        <v>94</v>
      </c>
      <c r="T17" s="15"/>
      <c r="U17" s="14"/>
      <c r="V17" s="14"/>
      <c r="W17" s="14"/>
      <c r="X17" s="15"/>
      <c r="Y17" s="14"/>
    </row>
    <row r="18" customFormat="false" ht="30" hidden="false" customHeight="true" outlineLevel="0" collapsed="false">
      <c r="A18" s="11" t="n">
        <v>17</v>
      </c>
      <c r="B18" s="5" t="s">
        <v>237</v>
      </c>
      <c r="C18" s="6" t="s">
        <v>238</v>
      </c>
      <c r="D18" s="6" t="s">
        <v>239</v>
      </c>
      <c r="E18" s="6" t="s">
        <v>240</v>
      </c>
      <c r="F18" s="6" t="s">
        <v>123</v>
      </c>
      <c r="G18" s="6" t="s">
        <v>241</v>
      </c>
      <c r="H18" s="11" t="s">
        <v>242</v>
      </c>
      <c r="I18" s="6" t="s">
        <v>243</v>
      </c>
      <c r="J18" s="12" t="n">
        <v>4</v>
      </c>
      <c r="K18" s="6" t="s">
        <v>244</v>
      </c>
      <c r="L18" s="6" t="s">
        <v>245</v>
      </c>
      <c r="M18" s="6" t="s">
        <v>89</v>
      </c>
      <c r="N18" s="6" t="s">
        <v>89</v>
      </c>
      <c r="O18" s="6" t="s">
        <v>246</v>
      </c>
      <c r="P18" s="11" t="n">
        <v>1</v>
      </c>
      <c r="Q18" s="6" t="s">
        <v>247</v>
      </c>
      <c r="R18" s="13" t="s">
        <v>248</v>
      </c>
      <c r="S18" s="14" t="s">
        <v>94</v>
      </c>
      <c r="T18" s="15"/>
      <c r="U18" s="14"/>
      <c r="V18" s="14"/>
      <c r="W18" s="14"/>
      <c r="X18" s="15"/>
      <c r="Y18" s="14"/>
    </row>
    <row r="19" customFormat="false" ht="30" hidden="false" customHeight="true" outlineLevel="0" collapsed="false">
      <c r="A19" s="11" t="n">
        <v>18</v>
      </c>
      <c r="B19" s="5" t="s">
        <v>249</v>
      </c>
      <c r="C19" s="6" t="s">
        <v>80</v>
      </c>
      <c r="D19" s="6" t="s">
        <v>250</v>
      </c>
      <c r="E19" s="6" t="s">
        <v>251</v>
      </c>
      <c r="F19" s="6" t="s">
        <v>83</v>
      </c>
      <c r="G19" s="6" t="s">
        <v>252</v>
      </c>
      <c r="H19" s="11" t="s">
        <v>242</v>
      </c>
      <c r="I19" s="6" t="s">
        <v>253</v>
      </c>
      <c r="J19" s="12" t="n">
        <v>4.5</v>
      </c>
      <c r="K19" s="6" t="s">
        <v>254</v>
      </c>
      <c r="L19" s="13" t="s">
        <v>255</v>
      </c>
      <c r="M19" s="6" t="s">
        <v>89</v>
      </c>
      <c r="N19" s="6" t="s">
        <v>256</v>
      </c>
      <c r="O19" s="6" t="s">
        <v>117</v>
      </c>
      <c r="P19" s="11" t="n">
        <v>1</v>
      </c>
      <c r="Q19" s="6" t="s">
        <v>257</v>
      </c>
      <c r="R19" s="13" t="s">
        <v>258</v>
      </c>
      <c r="S19" s="14" t="s">
        <v>94</v>
      </c>
      <c r="T19" s="15"/>
      <c r="U19" s="14"/>
      <c r="V19" s="14"/>
      <c r="W19" s="14"/>
      <c r="X19" s="15"/>
      <c r="Y19" s="14"/>
    </row>
    <row r="20" customFormat="false" ht="51.75" hidden="false" customHeight="true" outlineLevel="0" collapsed="false">
      <c r="A20" s="11" t="n">
        <v>19</v>
      </c>
      <c r="B20" s="5" t="s">
        <v>259</v>
      </c>
      <c r="C20" s="6" t="s">
        <v>96</v>
      </c>
      <c r="D20" s="6" t="s">
        <v>260</v>
      </c>
      <c r="E20" s="6" t="s">
        <v>261</v>
      </c>
      <c r="F20" s="6" t="s">
        <v>123</v>
      </c>
      <c r="G20" s="6" t="s">
        <v>262</v>
      </c>
      <c r="H20" s="11" t="s">
        <v>85</v>
      </c>
      <c r="I20" s="6" t="s">
        <v>135</v>
      </c>
      <c r="J20" s="12" t="n">
        <v>1.2</v>
      </c>
      <c r="K20" s="6" t="s">
        <v>263</v>
      </c>
      <c r="L20" s="6" t="s">
        <v>89</v>
      </c>
      <c r="M20" s="6" t="s">
        <v>89</v>
      </c>
      <c r="N20" s="6" t="s">
        <v>89</v>
      </c>
      <c r="O20" s="6" t="s">
        <v>264</v>
      </c>
      <c r="P20" s="11" t="n">
        <v>2</v>
      </c>
      <c r="Q20" s="6" t="s">
        <v>265</v>
      </c>
      <c r="R20" s="13" t="s">
        <v>266</v>
      </c>
      <c r="S20" s="14" t="s">
        <v>94</v>
      </c>
      <c r="T20" s="15"/>
      <c r="U20" s="14"/>
      <c r="V20" s="14"/>
      <c r="W20" s="14"/>
      <c r="X20" s="15"/>
      <c r="Y20" s="14"/>
    </row>
    <row r="21" customFormat="false" ht="30" hidden="false" customHeight="true" outlineLevel="0" collapsed="false">
      <c r="A21" s="11" t="n">
        <v>20</v>
      </c>
      <c r="B21" s="5" t="s">
        <v>267</v>
      </c>
      <c r="C21" s="6" t="s">
        <v>80</v>
      </c>
      <c r="D21" s="6" t="s">
        <v>268</v>
      </c>
      <c r="E21" s="6" t="s">
        <v>269</v>
      </c>
      <c r="F21" s="6" t="s">
        <v>83</v>
      </c>
      <c r="G21" s="6" t="s">
        <v>270</v>
      </c>
      <c r="H21" s="11" t="s">
        <v>173</v>
      </c>
      <c r="I21" s="6" t="s">
        <v>174</v>
      </c>
      <c r="J21" s="12" t="n">
        <v>1.5</v>
      </c>
      <c r="K21" s="6" t="s">
        <v>271</v>
      </c>
      <c r="L21" s="13" t="s">
        <v>272</v>
      </c>
      <c r="M21" s="6" t="s">
        <v>89</v>
      </c>
      <c r="N21" s="6" t="s">
        <v>273</v>
      </c>
      <c r="O21" s="6" t="s">
        <v>91</v>
      </c>
      <c r="P21" s="11" t="n">
        <v>2</v>
      </c>
      <c r="Q21" s="6" t="s">
        <v>274</v>
      </c>
      <c r="R21" s="13" t="s">
        <v>275</v>
      </c>
      <c r="S21" s="14" t="s">
        <v>94</v>
      </c>
      <c r="T21" s="15"/>
      <c r="U21" s="14"/>
      <c r="V21" s="14"/>
      <c r="W21" s="14"/>
      <c r="X21" s="15"/>
      <c r="Y21" s="14"/>
    </row>
    <row r="22" customFormat="false" ht="30" hidden="false" customHeight="true" outlineLevel="0" collapsed="false">
      <c r="A22" s="11" t="n">
        <v>21</v>
      </c>
      <c r="B22" s="5" t="s">
        <v>276</v>
      </c>
      <c r="C22" s="6" t="s">
        <v>109</v>
      </c>
      <c r="D22" s="6" t="s">
        <v>277</v>
      </c>
      <c r="E22" s="6" t="s">
        <v>132</v>
      </c>
      <c r="F22" s="6" t="s">
        <v>133</v>
      </c>
      <c r="G22" s="6" t="s">
        <v>278</v>
      </c>
      <c r="H22" s="11" t="s">
        <v>85</v>
      </c>
      <c r="I22" s="6" t="s">
        <v>135</v>
      </c>
      <c r="J22" s="12" t="n">
        <v>1.5</v>
      </c>
      <c r="K22" s="6" t="s">
        <v>89</v>
      </c>
      <c r="L22" s="13" t="s">
        <v>137</v>
      </c>
      <c r="M22" s="6" t="s">
        <v>138</v>
      </c>
      <c r="N22" s="6" t="s">
        <v>279</v>
      </c>
      <c r="O22" s="6" t="s">
        <v>117</v>
      </c>
      <c r="P22" s="11" t="n">
        <v>2</v>
      </c>
      <c r="Q22" s="6" t="s">
        <v>280</v>
      </c>
      <c r="R22" s="13" t="s">
        <v>281</v>
      </c>
      <c r="S22" s="14" t="s">
        <v>94</v>
      </c>
      <c r="T22" s="15"/>
      <c r="U22" s="14"/>
      <c r="V22" s="14"/>
      <c r="W22" s="14"/>
      <c r="X22" s="15"/>
      <c r="Y22" s="14"/>
    </row>
    <row r="23" customFormat="false" ht="30" hidden="false" customHeight="true" outlineLevel="0" collapsed="false">
      <c r="A23" s="11" t="n">
        <v>22</v>
      </c>
      <c r="B23" s="5" t="s">
        <v>282</v>
      </c>
      <c r="C23" s="6" t="s">
        <v>238</v>
      </c>
      <c r="D23" s="6" t="s">
        <v>283</v>
      </c>
      <c r="E23" s="6" t="s">
        <v>284</v>
      </c>
      <c r="F23" s="6" t="s">
        <v>123</v>
      </c>
      <c r="G23" s="6" t="s">
        <v>285</v>
      </c>
      <c r="H23" s="11" t="s">
        <v>173</v>
      </c>
      <c r="I23" s="6" t="s">
        <v>174</v>
      </c>
      <c r="J23" s="12" t="n">
        <v>1.5</v>
      </c>
      <c r="K23" s="6" t="s">
        <v>89</v>
      </c>
      <c r="L23" s="13" t="s">
        <v>286</v>
      </c>
      <c r="M23" s="6" t="s">
        <v>89</v>
      </c>
      <c r="N23" s="6" t="s">
        <v>89</v>
      </c>
      <c r="O23" s="6" t="s">
        <v>246</v>
      </c>
      <c r="P23" s="11" t="n">
        <v>2</v>
      </c>
      <c r="Q23" s="6" t="s">
        <v>287</v>
      </c>
      <c r="R23" s="13" t="s">
        <v>286</v>
      </c>
      <c r="S23" s="14" t="s">
        <v>94</v>
      </c>
      <c r="T23" s="15"/>
      <c r="U23" s="14"/>
      <c r="V23" s="14"/>
      <c r="W23" s="14"/>
      <c r="X23" s="15"/>
      <c r="Y23" s="14"/>
    </row>
    <row r="24" customFormat="false" ht="39" hidden="false" customHeight="true" outlineLevel="0" collapsed="false">
      <c r="A24" s="11" t="n">
        <v>23</v>
      </c>
      <c r="B24" s="5" t="s">
        <v>288</v>
      </c>
      <c r="C24" s="6" t="s">
        <v>143</v>
      </c>
      <c r="D24" s="6" t="s">
        <v>289</v>
      </c>
      <c r="E24" s="6" t="s">
        <v>290</v>
      </c>
      <c r="F24" s="6" t="s">
        <v>83</v>
      </c>
      <c r="G24" s="6" t="s">
        <v>291</v>
      </c>
      <c r="H24" s="11" t="s">
        <v>85</v>
      </c>
      <c r="I24" s="6" t="s">
        <v>292</v>
      </c>
      <c r="J24" s="12" t="n">
        <v>1.5</v>
      </c>
      <c r="K24" s="6" t="s">
        <v>293</v>
      </c>
      <c r="L24" s="13" t="s">
        <v>294</v>
      </c>
      <c r="M24" s="6" t="s">
        <v>295</v>
      </c>
      <c r="N24" s="6" t="s">
        <v>104</v>
      </c>
      <c r="O24" s="6" t="s">
        <v>151</v>
      </c>
      <c r="P24" s="11" t="n">
        <v>2</v>
      </c>
      <c r="Q24" s="6" t="s">
        <v>296</v>
      </c>
      <c r="R24" s="13" t="s">
        <v>294</v>
      </c>
      <c r="S24" s="14" t="s">
        <v>94</v>
      </c>
      <c r="T24" s="15"/>
      <c r="U24" s="14"/>
      <c r="V24" s="14"/>
      <c r="W24" s="14"/>
      <c r="X24" s="15"/>
      <c r="Y24" s="14"/>
    </row>
    <row r="25" customFormat="false" ht="30" hidden="false" customHeight="true" outlineLevel="0" collapsed="false">
      <c r="A25" s="11" t="n">
        <v>24</v>
      </c>
      <c r="B25" s="5" t="s">
        <v>297</v>
      </c>
      <c r="C25" s="6" t="s">
        <v>143</v>
      </c>
      <c r="D25" s="6" t="s">
        <v>298</v>
      </c>
      <c r="E25" s="6" t="s">
        <v>299</v>
      </c>
      <c r="F25" s="6" t="s">
        <v>83</v>
      </c>
      <c r="G25" s="6" t="s">
        <v>300</v>
      </c>
      <c r="H25" s="11" t="s">
        <v>85</v>
      </c>
      <c r="I25" s="6" t="s">
        <v>198</v>
      </c>
      <c r="J25" s="12" t="n">
        <v>1.8</v>
      </c>
      <c r="K25" s="6" t="s">
        <v>301</v>
      </c>
      <c r="L25" s="13" t="s">
        <v>302</v>
      </c>
      <c r="M25" s="6" t="s">
        <v>89</v>
      </c>
      <c r="N25" s="6" t="s">
        <v>104</v>
      </c>
      <c r="O25" s="6" t="s">
        <v>151</v>
      </c>
      <c r="P25" s="11" t="n">
        <v>2</v>
      </c>
      <c r="Q25" s="6" t="s">
        <v>303</v>
      </c>
      <c r="R25" s="13" t="s">
        <v>304</v>
      </c>
      <c r="S25" s="14" t="s">
        <v>94</v>
      </c>
      <c r="T25" s="15"/>
      <c r="U25" s="14"/>
      <c r="V25" s="14"/>
      <c r="W25" s="14"/>
      <c r="X25" s="15"/>
      <c r="Y25" s="14"/>
    </row>
    <row r="26" customFormat="false" ht="30" hidden="false" customHeight="true" outlineLevel="0" collapsed="false">
      <c r="A26" s="11" t="n">
        <v>25</v>
      </c>
      <c r="B26" s="5" t="s">
        <v>305</v>
      </c>
      <c r="C26" s="6" t="s">
        <v>155</v>
      </c>
      <c r="D26" s="6" t="s">
        <v>306</v>
      </c>
      <c r="E26" s="6" t="s">
        <v>196</v>
      </c>
      <c r="F26" s="6" t="s">
        <v>133</v>
      </c>
      <c r="G26" s="6" t="s">
        <v>307</v>
      </c>
      <c r="H26" s="11" t="s">
        <v>231</v>
      </c>
      <c r="I26" s="6" t="s">
        <v>135</v>
      </c>
      <c r="J26" s="12" t="n">
        <v>2</v>
      </c>
      <c r="K26" s="6" t="s">
        <v>199</v>
      </c>
      <c r="L26" s="13" t="s">
        <v>233</v>
      </c>
      <c r="M26" s="6" t="s">
        <v>89</v>
      </c>
      <c r="N26" s="6" t="s">
        <v>308</v>
      </c>
      <c r="O26" s="6" t="s">
        <v>91</v>
      </c>
      <c r="P26" s="11" t="n">
        <v>2</v>
      </c>
      <c r="Q26" s="6" t="s">
        <v>309</v>
      </c>
      <c r="R26" s="13" t="s">
        <v>310</v>
      </c>
      <c r="S26" s="14" t="s">
        <v>94</v>
      </c>
      <c r="T26" s="15"/>
      <c r="U26" s="14"/>
      <c r="V26" s="14"/>
      <c r="W26" s="14"/>
      <c r="X26" s="15"/>
      <c r="Y26" s="14"/>
    </row>
    <row r="27" customFormat="false" ht="30" hidden="false" customHeight="true" outlineLevel="0" collapsed="false">
      <c r="A27" s="11" t="n">
        <v>26</v>
      </c>
      <c r="B27" s="5" t="s">
        <v>311</v>
      </c>
      <c r="C27" s="6" t="s">
        <v>155</v>
      </c>
      <c r="D27" s="6" t="s">
        <v>312</v>
      </c>
      <c r="E27" s="6" t="s">
        <v>196</v>
      </c>
      <c r="F27" s="6" t="s">
        <v>133</v>
      </c>
      <c r="G27" s="6" t="s">
        <v>313</v>
      </c>
      <c r="H27" s="11" t="s">
        <v>85</v>
      </c>
      <c r="I27" s="6" t="s">
        <v>198</v>
      </c>
      <c r="J27" s="12" t="n">
        <v>2.5</v>
      </c>
      <c r="K27" s="6" t="s">
        <v>199</v>
      </c>
      <c r="L27" s="13" t="s">
        <v>233</v>
      </c>
      <c r="M27" s="6" t="s">
        <v>89</v>
      </c>
      <c r="N27" s="6" t="s">
        <v>89</v>
      </c>
      <c r="O27" s="6" t="s">
        <v>91</v>
      </c>
      <c r="P27" s="11" t="n">
        <v>2</v>
      </c>
      <c r="Q27" s="6" t="s">
        <v>314</v>
      </c>
      <c r="R27" s="13" t="s">
        <v>315</v>
      </c>
      <c r="S27" s="14" t="s">
        <v>94</v>
      </c>
      <c r="T27" s="15"/>
      <c r="U27" s="14"/>
      <c r="V27" s="14"/>
      <c r="W27" s="14"/>
      <c r="X27" s="15"/>
      <c r="Y27" s="14"/>
    </row>
    <row r="28" customFormat="false" ht="39" hidden="false" customHeight="true" outlineLevel="0" collapsed="false">
      <c r="A28" s="11" t="n">
        <v>27</v>
      </c>
      <c r="B28" s="5" t="s">
        <v>316</v>
      </c>
      <c r="C28" s="6" t="s">
        <v>155</v>
      </c>
      <c r="D28" s="6" t="s">
        <v>317</v>
      </c>
      <c r="E28" s="6" t="s">
        <v>196</v>
      </c>
      <c r="F28" s="6" t="s">
        <v>133</v>
      </c>
      <c r="G28" s="6" t="s">
        <v>318</v>
      </c>
      <c r="H28" s="11" t="s">
        <v>231</v>
      </c>
      <c r="I28" s="6" t="s">
        <v>198</v>
      </c>
      <c r="J28" s="12" t="n">
        <v>2.5</v>
      </c>
      <c r="K28" s="6" t="s">
        <v>199</v>
      </c>
      <c r="L28" s="13" t="s">
        <v>233</v>
      </c>
      <c r="M28" s="6" t="s">
        <v>89</v>
      </c>
      <c r="N28" s="6" t="s">
        <v>89</v>
      </c>
      <c r="O28" s="6" t="s">
        <v>91</v>
      </c>
      <c r="P28" s="11" t="n">
        <v>2</v>
      </c>
      <c r="Q28" s="6" t="s">
        <v>319</v>
      </c>
      <c r="R28" s="13" t="s">
        <v>320</v>
      </c>
      <c r="S28" s="14" t="s">
        <v>94</v>
      </c>
      <c r="T28" s="15"/>
      <c r="U28" s="14"/>
      <c r="V28" s="14"/>
      <c r="W28" s="14"/>
      <c r="X28" s="15"/>
      <c r="Y28" s="14"/>
    </row>
    <row r="29" customFormat="false" ht="39" hidden="false" customHeight="true" outlineLevel="0" collapsed="false">
      <c r="A29" s="11" t="n">
        <v>28</v>
      </c>
      <c r="B29" s="5" t="s">
        <v>321</v>
      </c>
      <c r="C29" s="6" t="s">
        <v>155</v>
      </c>
      <c r="D29" s="6" t="s">
        <v>322</v>
      </c>
      <c r="E29" s="6" t="s">
        <v>196</v>
      </c>
      <c r="F29" s="6" t="s">
        <v>133</v>
      </c>
      <c r="G29" s="6" t="s">
        <v>318</v>
      </c>
      <c r="H29" s="11" t="s">
        <v>231</v>
      </c>
      <c r="I29" s="6" t="s">
        <v>198</v>
      </c>
      <c r="J29" s="12" t="n">
        <v>2.5</v>
      </c>
      <c r="K29" s="6" t="s">
        <v>199</v>
      </c>
      <c r="L29" s="13" t="s">
        <v>233</v>
      </c>
      <c r="M29" s="6" t="s">
        <v>89</v>
      </c>
      <c r="N29" s="6" t="s">
        <v>89</v>
      </c>
      <c r="O29" s="6" t="s">
        <v>91</v>
      </c>
      <c r="P29" s="11" t="n">
        <v>2</v>
      </c>
      <c r="Q29" s="6" t="s">
        <v>319</v>
      </c>
      <c r="R29" s="13" t="s">
        <v>320</v>
      </c>
      <c r="S29" s="14" t="s">
        <v>94</v>
      </c>
      <c r="T29" s="15"/>
      <c r="U29" s="14"/>
      <c r="V29" s="14"/>
      <c r="W29" s="14"/>
      <c r="X29" s="15"/>
      <c r="Y29" s="14"/>
    </row>
    <row r="30" customFormat="false" ht="51.75" hidden="false" customHeight="true" outlineLevel="0" collapsed="false">
      <c r="A30" s="11" t="n">
        <v>29</v>
      </c>
      <c r="B30" s="5" t="s">
        <v>323</v>
      </c>
      <c r="C30" s="6" t="s">
        <v>109</v>
      </c>
      <c r="D30" s="6" t="s">
        <v>131</v>
      </c>
      <c r="E30" s="6" t="s">
        <v>324</v>
      </c>
      <c r="F30" s="6" t="s">
        <v>83</v>
      </c>
      <c r="G30" s="6" t="s">
        <v>325</v>
      </c>
      <c r="H30" s="11" t="s">
        <v>173</v>
      </c>
      <c r="I30" s="6" t="s">
        <v>326</v>
      </c>
      <c r="J30" s="12" t="n">
        <v>2.5</v>
      </c>
      <c r="K30" s="6" t="s">
        <v>89</v>
      </c>
      <c r="L30" s="6" t="s">
        <v>89</v>
      </c>
      <c r="M30" s="6" t="s">
        <v>89</v>
      </c>
      <c r="N30" s="6" t="s">
        <v>327</v>
      </c>
      <c r="O30" s="6" t="s">
        <v>117</v>
      </c>
      <c r="P30" s="11" t="n">
        <v>2</v>
      </c>
      <c r="Q30" s="6" t="s">
        <v>328</v>
      </c>
      <c r="R30" s="13" t="s">
        <v>329</v>
      </c>
      <c r="S30" s="14" t="s">
        <v>94</v>
      </c>
      <c r="T30" s="15"/>
      <c r="U30" s="14"/>
      <c r="V30" s="14"/>
      <c r="W30" s="14"/>
      <c r="X30" s="15"/>
      <c r="Y30" s="14"/>
    </row>
    <row r="31" customFormat="false" ht="30" hidden="false" customHeight="true" outlineLevel="0" collapsed="false">
      <c r="A31" s="11" t="n">
        <v>30</v>
      </c>
      <c r="B31" s="5" t="s">
        <v>330</v>
      </c>
      <c r="C31" s="6" t="s">
        <v>96</v>
      </c>
      <c r="D31" s="6" t="s">
        <v>331</v>
      </c>
      <c r="E31" s="6" t="s">
        <v>332</v>
      </c>
      <c r="F31" s="6" t="s">
        <v>123</v>
      </c>
      <c r="G31" s="6" t="s">
        <v>333</v>
      </c>
      <c r="H31" s="11" t="s">
        <v>334</v>
      </c>
      <c r="I31" s="6" t="s">
        <v>335</v>
      </c>
      <c r="J31" s="12" t="n">
        <v>2.5</v>
      </c>
      <c r="K31" s="6" t="s">
        <v>336</v>
      </c>
      <c r="L31" s="13" t="s">
        <v>337</v>
      </c>
      <c r="M31" s="6" t="s">
        <v>89</v>
      </c>
      <c r="N31" s="6" t="s">
        <v>104</v>
      </c>
      <c r="O31" s="6" t="s">
        <v>105</v>
      </c>
      <c r="P31" s="11" t="n">
        <v>2</v>
      </c>
      <c r="Q31" s="6" t="s">
        <v>338</v>
      </c>
      <c r="R31" s="13" t="s">
        <v>339</v>
      </c>
      <c r="S31" s="14" t="s">
        <v>94</v>
      </c>
      <c r="T31" s="15"/>
      <c r="U31" s="14"/>
      <c r="V31" s="14"/>
      <c r="W31" s="14"/>
      <c r="X31" s="15"/>
      <c r="Y31" s="14"/>
    </row>
    <row r="32" customFormat="false" ht="30" hidden="false" customHeight="true" outlineLevel="0" collapsed="false">
      <c r="A32" s="11" t="n">
        <v>31</v>
      </c>
      <c r="B32" s="5" t="s">
        <v>340</v>
      </c>
      <c r="C32" s="6" t="s">
        <v>155</v>
      </c>
      <c r="D32" s="6" t="s">
        <v>341</v>
      </c>
      <c r="E32" s="6" t="s">
        <v>196</v>
      </c>
      <c r="F32" s="6" t="s">
        <v>133</v>
      </c>
      <c r="G32" s="6" t="s">
        <v>313</v>
      </c>
      <c r="H32" s="11" t="s">
        <v>85</v>
      </c>
      <c r="I32" s="6" t="s">
        <v>198</v>
      </c>
      <c r="J32" s="12" t="n">
        <v>3</v>
      </c>
      <c r="K32" s="6" t="s">
        <v>199</v>
      </c>
      <c r="L32" s="13" t="s">
        <v>233</v>
      </c>
      <c r="M32" s="6" t="s">
        <v>89</v>
      </c>
      <c r="N32" s="6" t="s">
        <v>89</v>
      </c>
      <c r="O32" s="6" t="s">
        <v>91</v>
      </c>
      <c r="P32" s="11" t="n">
        <v>2</v>
      </c>
      <c r="Q32" s="6" t="s">
        <v>319</v>
      </c>
      <c r="R32" s="13" t="s">
        <v>342</v>
      </c>
      <c r="S32" s="14" t="s">
        <v>94</v>
      </c>
      <c r="T32" s="15"/>
      <c r="U32" s="14"/>
      <c r="V32" s="14"/>
      <c r="W32" s="14"/>
      <c r="X32" s="15"/>
      <c r="Y32" s="14"/>
    </row>
    <row r="33" customFormat="false" ht="30" hidden="false" customHeight="true" outlineLevel="0" collapsed="false">
      <c r="A33" s="11" t="n">
        <v>32</v>
      </c>
      <c r="B33" s="5" t="s">
        <v>343</v>
      </c>
      <c r="C33" s="6" t="s">
        <v>80</v>
      </c>
      <c r="D33" s="6" t="s">
        <v>344</v>
      </c>
      <c r="E33" s="6" t="s">
        <v>345</v>
      </c>
      <c r="F33" s="6" t="s">
        <v>83</v>
      </c>
      <c r="G33" s="6" t="s">
        <v>346</v>
      </c>
      <c r="H33" s="11" t="s">
        <v>224</v>
      </c>
      <c r="I33" s="6" t="s">
        <v>225</v>
      </c>
      <c r="J33" s="12" t="n">
        <v>3</v>
      </c>
      <c r="K33" s="6" t="s">
        <v>347</v>
      </c>
      <c r="L33" s="13" t="s">
        <v>348</v>
      </c>
      <c r="M33" s="6" t="s">
        <v>349</v>
      </c>
      <c r="N33" s="6" t="s">
        <v>350</v>
      </c>
      <c r="O33" s="6" t="s">
        <v>91</v>
      </c>
      <c r="P33" s="11" t="n">
        <v>2</v>
      </c>
      <c r="Q33" s="6" t="s">
        <v>351</v>
      </c>
      <c r="R33" s="13" t="s">
        <v>348</v>
      </c>
      <c r="S33" s="14" t="s">
        <v>94</v>
      </c>
      <c r="T33" s="15"/>
      <c r="U33" s="14"/>
      <c r="V33" s="14"/>
      <c r="W33" s="14"/>
      <c r="X33" s="15"/>
      <c r="Y33" s="14"/>
    </row>
    <row r="34" customFormat="false" ht="51.75" hidden="false" customHeight="true" outlineLevel="0" collapsed="false">
      <c r="A34" s="11" t="n">
        <v>33</v>
      </c>
      <c r="B34" s="5" t="s">
        <v>352</v>
      </c>
      <c r="C34" s="6" t="s">
        <v>109</v>
      </c>
      <c r="D34" s="6" t="s">
        <v>353</v>
      </c>
      <c r="E34" s="6" t="s">
        <v>354</v>
      </c>
      <c r="F34" s="6" t="s">
        <v>83</v>
      </c>
      <c r="G34" s="6" t="s">
        <v>355</v>
      </c>
      <c r="H34" s="11" t="s">
        <v>173</v>
      </c>
      <c r="I34" s="6" t="s">
        <v>356</v>
      </c>
      <c r="J34" s="12" t="n">
        <v>3</v>
      </c>
      <c r="K34" s="6" t="s">
        <v>89</v>
      </c>
      <c r="L34" s="13" t="s">
        <v>357</v>
      </c>
      <c r="M34" s="6" t="s">
        <v>89</v>
      </c>
      <c r="N34" s="6" t="s">
        <v>176</v>
      </c>
      <c r="O34" s="6" t="s">
        <v>117</v>
      </c>
      <c r="P34" s="11" t="n">
        <v>2</v>
      </c>
      <c r="Q34" s="6" t="s">
        <v>358</v>
      </c>
      <c r="R34" s="13" t="s">
        <v>359</v>
      </c>
      <c r="S34" s="14" t="s">
        <v>94</v>
      </c>
      <c r="T34" s="15"/>
      <c r="U34" s="14"/>
      <c r="V34" s="14"/>
      <c r="W34" s="14"/>
      <c r="X34" s="15"/>
      <c r="Y34" s="14"/>
    </row>
    <row r="35" customFormat="false" ht="30" hidden="false" customHeight="true" outlineLevel="0" collapsed="false">
      <c r="A35" s="11" t="n">
        <v>34</v>
      </c>
      <c r="B35" s="5" t="s">
        <v>360</v>
      </c>
      <c r="C35" s="6" t="s">
        <v>96</v>
      </c>
      <c r="D35" s="6" t="s">
        <v>361</v>
      </c>
      <c r="E35" s="6" t="s">
        <v>132</v>
      </c>
      <c r="F35" s="6" t="s">
        <v>133</v>
      </c>
      <c r="G35" s="6" t="s">
        <v>362</v>
      </c>
      <c r="H35" s="11" t="s">
        <v>334</v>
      </c>
      <c r="I35" s="6" t="s">
        <v>363</v>
      </c>
      <c r="J35" s="12" t="n">
        <v>3</v>
      </c>
      <c r="K35" s="6" t="s">
        <v>89</v>
      </c>
      <c r="L35" s="13" t="s">
        <v>137</v>
      </c>
      <c r="M35" s="6" t="s">
        <v>138</v>
      </c>
      <c r="N35" s="6" t="s">
        <v>89</v>
      </c>
      <c r="O35" s="6" t="s">
        <v>105</v>
      </c>
      <c r="P35" s="11" t="n">
        <v>2</v>
      </c>
      <c r="Q35" s="6" t="s">
        <v>364</v>
      </c>
      <c r="R35" s="13" t="s">
        <v>137</v>
      </c>
      <c r="S35" s="14" t="s">
        <v>94</v>
      </c>
      <c r="T35" s="15"/>
      <c r="U35" s="14"/>
      <c r="V35" s="14"/>
      <c r="W35" s="14"/>
      <c r="X35" s="15"/>
      <c r="Y35" s="14"/>
    </row>
    <row r="36" customFormat="false" ht="30" hidden="false" customHeight="true" outlineLevel="0" collapsed="false">
      <c r="A36" s="11" t="n">
        <v>35</v>
      </c>
      <c r="B36" s="5" t="s">
        <v>365</v>
      </c>
      <c r="C36" s="6" t="s">
        <v>155</v>
      </c>
      <c r="D36" s="6" t="s">
        <v>341</v>
      </c>
      <c r="E36" s="6" t="s">
        <v>366</v>
      </c>
      <c r="F36" s="6" t="s">
        <v>133</v>
      </c>
      <c r="G36" s="6" t="s">
        <v>367</v>
      </c>
      <c r="H36" s="11" t="s">
        <v>368</v>
      </c>
      <c r="I36" s="6" t="s">
        <v>369</v>
      </c>
      <c r="J36" s="12" t="n">
        <v>3.5</v>
      </c>
      <c r="K36" s="6" t="s">
        <v>370</v>
      </c>
      <c r="L36" s="6" t="s">
        <v>371</v>
      </c>
      <c r="M36" s="6" t="s">
        <v>89</v>
      </c>
      <c r="N36" s="6" t="s">
        <v>372</v>
      </c>
      <c r="O36" s="6" t="s">
        <v>91</v>
      </c>
      <c r="P36" s="11" t="n">
        <v>2</v>
      </c>
      <c r="Q36" s="6" t="s">
        <v>373</v>
      </c>
      <c r="R36" s="13" t="s">
        <v>374</v>
      </c>
      <c r="S36" s="14" t="s">
        <v>94</v>
      </c>
      <c r="T36" s="15"/>
      <c r="U36" s="14"/>
      <c r="V36" s="14"/>
      <c r="W36" s="14"/>
      <c r="X36" s="15"/>
      <c r="Y36" s="14"/>
    </row>
    <row r="37" customFormat="false" ht="30" hidden="false" customHeight="true" outlineLevel="0" collapsed="false">
      <c r="A37" s="11" t="n">
        <v>36</v>
      </c>
      <c r="B37" s="5" t="s">
        <v>375</v>
      </c>
      <c r="C37" s="6" t="s">
        <v>80</v>
      </c>
      <c r="D37" s="6" t="s">
        <v>376</v>
      </c>
      <c r="E37" s="6" t="s">
        <v>377</v>
      </c>
      <c r="F37" s="6" t="s">
        <v>83</v>
      </c>
      <c r="G37" s="6" t="s">
        <v>378</v>
      </c>
      <c r="H37" s="11" t="s">
        <v>379</v>
      </c>
      <c r="I37" s="6" t="s">
        <v>380</v>
      </c>
      <c r="J37" s="12" t="n">
        <v>3.5</v>
      </c>
      <c r="K37" s="6" t="s">
        <v>381</v>
      </c>
      <c r="L37" s="13" t="s">
        <v>382</v>
      </c>
      <c r="M37" s="6" t="s">
        <v>89</v>
      </c>
      <c r="N37" s="6" t="s">
        <v>383</v>
      </c>
      <c r="O37" s="6" t="s">
        <v>91</v>
      </c>
      <c r="P37" s="11" t="n">
        <v>2</v>
      </c>
      <c r="Q37" s="6" t="s">
        <v>384</v>
      </c>
      <c r="R37" s="13" t="s">
        <v>382</v>
      </c>
      <c r="S37" s="14" t="s">
        <v>94</v>
      </c>
      <c r="T37" s="15"/>
      <c r="U37" s="14"/>
      <c r="V37" s="14"/>
      <c r="W37" s="14"/>
      <c r="X37" s="15"/>
      <c r="Y37" s="14"/>
    </row>
    <row r="38" customFormat="false" ht="39" hidden="false" customHeight="true" outlineLevel="0" collapsed="false">
      <c r="A38" s="11" t="n">
        <v>37</v>
      </c>
      <c r="B38" s="5" t="s">
        <v>385</v>
      </c>
      <c r="C38" s="6" t="s">
        <v>80</v>
      </c>
      <c r="D38" s="6" t="s">
        <v>386</v>
      </c>
      <c r="E38" s="6" t="s">
        <v>387</v>
      </c>
      <c r="F38" s="6" t="s">
        <v>83</v>
      </c>
      <c r="G38" s="6" t="s">
        <v>388</v>
      </c>
      <c r="H38" s="11" t="s">
        <v>224</v>
      </c>
      <c r="I38" s="6" t="s">
        <v>389</v>
      </c>
      <c r="J38" s="12" t="n">
        <v>3.5</v>
      </c>
      <c r="K38" s="6" t="s">
        <v>390</v>
      </c>
      <c r="L38" s="13" t="s">
        <v>391</v>
      </c>
      <c r="M38" s="6" t="s">
        <v>89</v>
      </c>
      <c r="N38" s="6" t="s">
        <v>392</v>
      </c>
      <c r="O38" s="6" t="s">
        <v>91</v>
      </c>
      <c r="P38" s="11" t="n">
        <v>2</v>
      </c>
      <c r="Q38" s="6" t="s">
        <v>393</v>
      </c>
      <c r="R38" s="13" t="s">
        <v>391</v>
      </c>
      <c r="S38" s="14" t="s">
        <v>94</v>
      </c>
      <c r="T38" s="15"/>
      <c r="U38" s="14"/>
      <c r="V38" s="14"/>
      <c r="W38" s="14"/>
      <c r="X38" s="15"/>
      <c r="Y38" s="14"/>
    </row>
    <row r="39" customFormat="false" ht="51.75" hidden="false" customHeight="true" outlineLevel="0" collapsed="false">
      <c r="A39" s="11" t="n">
        <v>38</v>
      </c>
      <c r="B39" s="5" t="s">
        <v>394</v>
      </c>
      <c r="C39" s="6" t="s">
        <v>109</v>
      </c>
      <c r="D39" s="6" t="s">
        <v>164</v>
      </c>
      <c r="E39" s="6" t="s">
        <v>132</v>
      </c>
      <c r="F39" s="6" t="s">
        <v>133</v>
      </c>
      <c r="G39" s="6" t="s">
        <v>395</v>
      </c>
      <c r="H39" s="11" t="s">
        <v>173</v>
      </c>
      <c r="I39" s="6" t="s">
        <v>396</v>
      </c>
      <c r="J39" s="12" t="n">
        <v>3.5</v>
      </c>
      <c r="K39" s="6" t="s">
        <v>89</v>
      </c>
      <c r="L39" s="13" t="s">
        <v>137</v>
      </c>
      <c r="M39" s="6" t="s">
        <v>138</v>
      </c>
      <c r="N39" s="6" t="s">
        <v>397</v>
      </c>
      <c r="O39" s="6" t="s">
        <v>117</v>
      </c>
      <c r="P39" s="11" t="n">
        <v>2</v>
      </c>
      <c r="Q39" s="6" t="s">
        <v>398</v>
      </c>
      <c r="R39" s="13" t="s">
        <v>399</v>
      </c>
      <c r="S39" s="14" t="s">
        <v>94</v>
      </c>
      <c r="T39" s="15"/>
      <c r="U39" s="14"/>
      <c r="V39" s="14"/>
      <c r="W39" s="14"/>
      <c r="X39" s="15"/>
      <c r="Y39" s="14"/>
    </row>
    <row r="40" customFormat="false" ht="30" hidden="false" customHeight="true" outlineLevel="0" collapsed="false">
      <c r="A40" s="11" t="n">
        <v>39</v>
      </c>
      <c r="B40" s="5" t="s">
        <v>400</v>
      </c>
      <c r="C40" s="6" t="s">
        <v>109</v>
      </c>
      <c r="D40" s="6" t="s">
        <v>401</v>
      </c>
      <c r="E40" s="6" t="s">
        <v>132</v>
      </c>
      <c r="F40" s="6" t="s">
        <v>133</v>
      </c>
      <c r="G40" s="6" t="s">
        <v>402</v>
      </c>
      <c r="H40" s="11" t="s">
        <v>173</v>
      </c>
      <c r="I40" s="6" t="s">
        <v>403</v>
      </c>
      <c r="J40" s="12" t="n">
        <v>3.5</v>
      </c>
      <c r="K40" s="6" t="s">
        <v>89</v>
      </c>
      <c r="L40" s="13" t="s">
        <v>137</v>
      </c>
      <c r="M40" s="6" t="s">
        <v>138</v>
      </c>
      <c r="N40" s="6" t="s">
        <v>404</v>
      </c>
      <c r="O40" s="6" t="s">
        <v>117</v>
      </c>
      <c r="P40" s="11" t="n">
        <v>2</v>
      </c>
      <c r="Q40" s="6" t="s">
        <v>405</v>
      </c>
      <c r="R40" s="13" t="s">
        <v>406</v>
      </c>
      <c r="S40" s="14" t="s">
        <v>94</v>
      </c>
      <c r="T40" s="15"/>
      <c r="U40" s="14"/>
      <c r="V40" s="14"/>
      <c r="W40" s="14"/>
      <c r="X40" s="15"/>
      <c r="Y40" s="14"/>
    </row>
    <row r="41" customFormat="false" ht="39" hidden="false" customHeight="true" outlineLevel="0" collapsed="false">
      <c r="A41" s="11" t="n">
        <v>40</v>
      </c>
      <c r="B41" s="5" t="s">
        <v>407</v>
      </c>
      <c r="C41" s="6" t="s">
        <v>96</v>
      </c>
      <c r="D41" s="6" t="s">
        <v>221</v>
      </c>
      <c r="E41" s="6" t="s">
        <v>408</v>
      </c>
      <c r="F41" s="6" t="s">
        <v>83</v>
      </c>
      <c r="G41" s="6" t="s">
        <v>409</v>
      </c>
      <c r="H41" s="11" t="s">
        <v>224</v>
      </c>
      <c r="I41" s="6" t="s">
        <v>410</v>
      </c>
      <c r="J41" s="12" t="n">
        <v>3.5</v>
      </c>
      <c r="K41" s="6" t="s">
        <v>411</v>
      </c>
      <c r="L41" s="13" t="s">
        <v>412</v>
      </c>
      <c r="M41" s="6" t="s">
        <v>89</v>
      </c>
      <c r="N41" s="6" t="s">
        <v>104</v>
      </c>
      <c r="O41" s="6" t="s">
        <v>105</v>
      </c>
      <c r="P41" s="11" t="n">
        <v>2</v>
      </c>
      <c r="Q41" s="6"/>
      <c r="R41" s="13" t="s">
        <v>413</v>
      </c>
      <c r="S41" s="14" t="s">
        <v>94</v>
      </c>
      <c r="T41" s="15"/>
      <c r="U41" s="14"/>
      <c r="V41" s="14"/>
      <c r="W41" s="14"/>
      <c r="X41" s="15"/>
      <c r="Y41" s="14"/>
    </row>
    <row r="42" customFormat="false" ht="30" hidden="false" customHeight="true" outlineLevel="0" collapsed="false">
      <c r="A42" s="11" t="n">
        <v>41</v>
      </c>
      <c r="B42" s="5" t="s">
        <v>414</v>
      </c>
      <c r="C42" s="6" t="s">
        <v>96</v>
      </c>
      <c r="D42" s="6" t="s">
        <v>221</v>
      </c>
      <c r="E42" s="6" t="s">
        <v>415</v>
      </c>
      <c r="F42" s="6" t="s">
        <v>83</v>
      </c>
      <c r="G42" s="6" t="s">
        <v>416</v>
      </c>
      <c r="H42" s="11" t="s">
        <v>334</v>
      </c>
      <c r="I42" s="6" t="s">
        <v>363</v>
      </c>
      <c r="J42" s="12" t="n">
        <v>3.5</v>
      </c>
      <c r="K42" s="6" t="s">
        <v>417</v>
      </c>
      <c r="L42" s="13" t="s">
        <v>418</v>
      </c>
      <c r="M42" s="6" t="s">
        <v>89</v>
      </c>
      <c r="N42" s="6" t="s">
        <v>104</v>
      </c>
      <c r="O42" s="6" t="s">
        <v>105</v>
      </c>
      <c r="P42" s="11" t="n">
        <v>2</v>
      </c>
      <c r="Q42" s="6" t="s">
        <v>419</v>
      </c>
      <c r="R42" s="13" t="s">
        <v>420</v>
      </c>
      <c r="S42" s="14" t="s">
        <v>94</v>
      </c>
      <c r="T42" s="15"/>
      <c r="U42" s="14"/>
      <c r="V42" s="14"/>
      <c r="W42" s="14"/>
      <c r="X42" s="15"/>
      <c r="Y42" s="14"/>
    </row>
    <row r="43" customFormat="false" ht="39" hidden="false" customHeight="true" outlineLevel="0" collapsed="false">
      <c r="A43" s="11" t="n">
        <v>42</v>
      </c>
      <c r="B43" s="5" t="s">
        <v>421</v>
      </c>
      <c r="C43" s="6" t="s">
        <v>96</v>
      </c>
      <c r="D43" s="6" t="s">
        <v>221</v>
      </c>
      <c r="E43" s="6" t="s">
        <v>422</v>
      </c>
      <c r="F43" s="6" t="s">
        <v>83</v>
      </c>
      <c r="G43" s="6" t="s">
        <v>423</v>
      </c>
      <c r="H43" s="11" t="s">
        <v>334</v>
      </c>
      <c r="I43" s="6" t="s">
        <v>424</v>
      </c>
      <c r="J43" s="12" t="n">
        <v>3.5</v>
      </c>
      <c r="K43" s="6" t="s">
        <v>89</v>
      </c>
      <c r="L43" s="13" t="s">
        <v>425</v>
      </c>
      <c r="M43" s="6" t="s">
        <v>89</v>
      </c>
      <c r="N43" s="6" t="s">
        <v>104</v>
      </c>
      <c r="O43" s="6" t="s">
        <v>105</v>
      </c>
      <c r="P43" s="11" t="n">
        <v>2</v>
      </c>
      <c r="Q43" s="6"/>
      <c r="R43" s="13" t="s">
        <v>426</v>
      </c>
      <c r="S43" s="14" t="s">
        <v>94</v>
      </c>
      <c r="T43" s="15"/>
      <c r="U43" s="14"/>
      <c r="V43" s="14"/>
      <c r="W43" s="14"/>
      <c r="X43" s="15"/>
      <c r="Y43" s="14"/>
    </row>
    <row r="44" customFormat="false" ht="30" hidden="false" customHeight="true" outlineLevel="0" collapsed="false">
      <c r="A44" s="11" t="n">
        <v>43</v>
      </c>
      <c r="B44" s="5" t="s">
        <v>427</v>
      </c>
      <c r="C44" s="6" t="s">
        <v>96</v>
      </c>
      <c r="D44" s="6" t="s">
        <v>221</v>
      </c>
      <c r="E44" s="6" t="s">
        <v>428</v>
      </c>
      <c r="F44" s="6" t="s">
        <v>83</v>
      </c>
      <c r="G44" s="6" t="s">
        <v>429</v>
      </c>
      <c r="H44" s="11" t="s">
        <v>334</v>
      </c>
      <c r="I44" s="6" t="s">
        <v>430</v>
      </c>
      <c r="J44" s="12" t="n">
        <v>3.5</v>
      </c>
      <c r="K44" s="6" t="s">
        <v>89</v>
      </c>
      <c r="L44" s="13" t="s">
        <v>431</v>
      </c>
      <c r="M44" s="6" t="s">
        <v>89</v>
      </c>
      <c r="N44" s="6" t="s">
        <v>104</v>
      </c>
      <c r="O44" s="6" t="s">
        <v>105</v>
      </c>
      <c r="P44" s="11" t="n">
        <v>2</v>
      </c>
      <c r="Q44" s="6" t="s">
        <v>432</v>
      </c>
      <c r="R44" s="13" t="s">
        <v>433</v>
      </c>
      <c r="S44" s="14" t="s">
        <v>94</v>
      </c>
      <c r="T44" s="15"/>
      <c r="U44" s="14"/>
      <c r="V44" s="14"/>
      <c r="W44" s="14"/>
      <c r="X44" s="15"/>
      <c r="Y44" s="14"/>
    </row>
    <row r="45" customFormat="false" ht="30" hidden="false" customHeight="true" outlineLevel="0" collapsed="false">
      <c r="A45" s="11" t="n">
        <v>44</v>
      </c>
      <c r="B45" s="5" t="s">
        <v>434</v>
      </c>
      <c r="C45" s="6" t="s">
        <v>143</v>
      </c>
      <c r="D45" s="6" t="s">
        <v>435</v>
      </c>
      <c r="E45" s="6" t="s">
        <v>436</v>
      </c>
      <c r="F45" s="6" t="s">
        <v>83</v>
      </c>
      <c r="G45" s="6" t="s">
        <v>437</v>
      </c>
      <c r="H45" s="11" t="s">
        <v>334</v>
      </c>
      <c r="I45" s="6" t="s">
        <v>438</v>
      </c>
      <c r="J45" s="12" t="n">
        <v>3.5</v>
      </c>
      <c r="K45" s="6" t="s">
        <v>439</v>
      </c>
      <c r="L45" s="13" t="s">
        <v>440</v>
      </c>
      <c r="M45" s="6" t="s">
        <v>89</v>
      </c>
      <c r="N45" s="6" t="s">
        <v>104</v>
      </c>
      <c r="O45" s="6" t="s">
        <v>151</v>
      </c>
      <c r="P45" s="11" t="n">
        <v>2</v>
      </c>
      <c r="Q45" s="6" t="s">
        <v>441</v>
      </c>
      <c r="R45" s="13" t="s">
        <v>440</v>
      </c>
      <c r="S45" s="14" t="s">
        <v>94</v>
      </c>
      <c r="T45" s="15"/>
      <c r="U45" s="14"/>
      <c r="V45" s="14"/>
      <c r="W45" s="14"/>
      <c r="X45" s="15"/>
      <c r="Y45" s="14"/>
    </row>
    <row r="46" customFormat="false" ht="30" hidden="false" customHeight="true" outlineLevel="0" collapsed="false">
      <c r="A46" s="11" t="n">
        <v>45</v>
      </c>
      <c r="B46" s="5" t="s">
        <v>442</v>
      </c>
      <c r="C46" s="6" t="s">
        <v>109</v>
      </c>
      <c r="D46" s="6" t="s">
        <v>443</v>
      </c>
      <c r="E46" s="6" t="s">
        <v>171</v>
      </c>
      <c r="F46" s="6" t="s">
        <v>83</v>
      </c>
      <c r="G46" s="6" t="s">
        <v>444</v>
      </c>
      <c r="H46" s="11" t="s">
        <v>224</v>
      </c>
      <c r="I46" s="6" t="s">
        <v>445</v>
      </c>
      <c r="J46" s="12" t="n">
        <v>4</v>
      </c>
      <c r="K46" s="6" t="s">
        <v>446</v>
      </c>
      <c r="L46" s="13" t="s">
        <v>447</v>
      </c>
      <c r="M46" s="6" t="s">
        <v>89</v>
      </c>
      <c r="N46" s="6" t="s">
        <v>127</v>
      </c>
      <c r="O46" s="6" t="s">
        <v>117</v>
      </c>
      <c r="P46" s="11" t="n">
        <v>2</v>
      </c>
      <c r="Q46" s="6"/>
      <c r="R46" s="13" t="s">
        <v>448</v>
      </c>
      <c r="S46" s="14" t="s">
        <v>94</v>
      </c>
      <c r="T46" s="15"/>
      <c r="U46" s="14"/>
      <c r="V46" s="14"/>
      <c r="W46" s="14"/>
      <c r="X46" s="15"/>
      <c r="Y46" s="14"/>
    </row>
    <row r="47" customFormat="false" ht="51.75" hidden="false" customHeight="true" outlineLevel="0" collapsed="false">
      <c r="A47" s="11" t="n">
        <v>46</v>
      </c>
      <c r="B47" s="5" t="s">
        <v>449</v>
      </c>
      <c r="C47" s="6" t="s">
        <v>109</v>
      </c>
      <c r="D47" s="6" t="s">
        <v>164</v>
      </c>
      <c r="E47" s="6" t="s">
        <v>450</v>
      </c>
      <c r="F47" s="6" t="s">
        <v>83</v>
      </c>
      <c r="G47" s="6" t="s">
        <v>451</v>
      </c>
      <c r="H47" s="11" t="s">
        <v>173</v>
      </c>
      <c r="I47" s="6" t="s">
        <v>452</v>
      </c>
      <c r="J47" s="12" t="n">
        <v>4</v>
      </c>
      <c r="K47" s="6" t="s">
        <v>453</v>
      </c>
      <c r="L47" s="6" t="s">
        <v>89</v>
      </c>
      <c r="M47" s="6" t="s">
        <v>89</v>
      </c>
      <c r="N47" s="6" t="s">
        <v>454</v>
      </c>
      <c r="O47" s="6" t="s">
        <v>117</v>
      </c>
      <c r="P47" s="11" t="n">
        <v>2</v>
      </c>
      <c r="Q47" s="6"/>
      <c r="R47" s="13" t="s">
        <v>455</v>
      </c>
      <c r="S47" s="14" t="s">
        <v>94</v>
      </c>
      <c r="T47" s="15"/>
      <c r="U47" s="14"/>
      <c r="V47" s="14"/>
      <c r="W47" s="14"/>
      <c r="X47" s="15"/>
      <c r="Y47" s="14"/>
    </row>
    <row r="48" customFormat="false" ht="30" hidden="false" customHeight="true" outlineLevel="0" collapsed="false">
      <c r="A48" s="11" t="n">
        <v>47</v>
      </c>
      <c r="B48" s="5" t="s">
        <v>456</v>
      </c>
      <c r="C48" s="6" t="s">
        <v>155</v>
      </c>
      <c r="D48" s="6" t="s">
        <v>457</v>
      </c>
      <c r="E48" s="6" t="s">
        <v>458</v>
      </c>
      <c r="F48" s="6" t="s">
        <v>123</v>
      </c>
      <c r="G48" s="6" t="s">
        <v>459</v>
      </c>
      <c r="H48" s="11" t="s">
        <v>231</v>
      </c>
      <c r="I48" s="6" t="s">
        <v>460</v>
      </c>
      <c r="J48" s="12" t="n">
        <v>4.5</v>
      </c>
      <c r="K48" s="6" t="s">
        <v>461</v>
      </c>
      <c r="L48" s="13" t="s">
        <v>462</v>
      </c>
      <c r="M48" s="6" t="s">
        <v>89</v>
      </c>
      <c r="N48" s="6" t="s">
        <v>89</v>
      </c>
      <c r="O48" s="6" t="s">
        <v>91</v>
      </c>
      <c r="P48" s="11" t="n">
        <v>2</v>
      </c>
      <c r="Q48" s="6" t="s">
        <v>463</v>
      </c>
      <c r="R48" s="13" t="s">
        <v>462</v>
      </c>
      <c r="S48" s="14" t="s">
        <v>94</v>
      </c>
      <c r="T48" s="15"/>
      <c r="U48" s="14"/>
      <c r="V48" s="14"/>
      <c r="W48" s="14"/>
      <c r="X48" s="15"/>
      <c r="Y48" s="14"/>
    </row>
    <row r="49" customFormat="false" ht="30" hidden="false" customHeight="true" outlineLevel="0" collapsed="false">
      <c r="A49" s="11" t="n">
        <v>48</v>
      </c>
      <c r="B49" s="5" t="s">
        <v>464</v>
      </c>
      <c r="C49" s="6" t="s">
        <v>80</v>
      </c>
      <c r="D49" s="6" t="s">
        <v>465</v>
      </c>
      <c r="E49" s="6" t="s">
        <v>466</v>
      </c>
      <c r="F49" s="6" t="s">
        <v>83</v>
      </c>
      <c r="G49" s="6" t="s">
        <v>467</v>
      </c>
      <c r="H49" s="11" t="s">
        <v>173</v>
      </c>
      <c r="I49" s="6" t="s">
        <v>468</v>
      </c>
      <c r="J49" s="12" t="n">
        <v>4.5</v>
      </c>
      <c r="K49" s="6" t="s">
        <v>89</v>
      </c>
      <c r="L49" s="13" t="s">
        <v>469</v>
      </c>
      <c r="M49" s="6" t="s">
        <v>89</v>
      </c>
      <c r="N49" s="6" t="s">
        <v>89</v>
      </c>
      <c r="O49" s="6" t="s">
        <v>91</v>
      </c>
      <c r="P49" s="11" t="n">
        <v>2</v>
      </c>
      <c r="Q49" s="6" t="s">
        <v>470</v>
      </c>
      <c r="R49" s="13" t="s">
        <v>471</v>
      </c>
      <c r="S49" s="14" t="s">
        <v>94</v>
      </c>
      <c r="T49" s="15"/>
      <c r="U49" s="14"/>
      <c r="V49" s="14"/>
      <c r="W49" s="14"/>
      <c r="X49" s="15"/>
      <c r="Y49" s="14"/>
    </row>
    <row r="50" customFormat="false" ht="51.75" hidden="false" customHeight="true" outlineLevel="0" collapsed="false">
      <c r="A50" s="11" t="n">
        <v>49</v>
      </c>
      <c r="B50" s="5" t="s">
        <v>472</v>
      </c>
      <c r="C50" s="6" t="s">
        <v>96</v>
      </c>
      <c r="D50" s="6" t="s">
        <v>221</v>
      </c>
      <c r="E50" s="6" t="s">
        <v>473</v>
      </c>
      <c r="F50" s="6" t="s">
        <v>83</v>
      </c>
      <c r="G50" s="6" t="s">
        <v>474</v>
      </c>
      <c r="H50" s="11" t="s">
        <v>242</v>
      </c>
      <c r="I50" s="6" t="s">
        <v>253</v>
      </c>
      <c r="J50" s="12" t="n">
        <v>4.5</v>
      </c>
      <c r="K50" s="6" t="s">
        <v>475</v>
      </c>
      <c r="L50" s="13" t="s">
        <v>476</v>
      </c>
      <c r="M50" s="6" t="s">
        <v>89</v>
      </c>
      <c r="N50" s="6" t="s">
        <v>104</v>
      </c>
      <c r="O50" s="6" t="s">
        <v>105</v>
      </c>
      <c r="P50" s="11" t="n">
        <v>2</v>
      </c>
      <c r="Q50" s="6"/>
      <c r="R50" s="13" t="s">
        <v>477</v>
      </c>
      <c r="S50" s="14" t="s">
        <v>94</v>
      </c>
      <c r="T50" s="15"/>
      <c r="U50" s="14"/>
      <c r="V50" s="14"/>
      <c r="W50" s="14"/>
      <c r="X50" s="15"/>
      <c r="Y50" s="14"/>
    </row>
    <row r="51" customFormat="false" ht="30" hidden="false" customHeight="true" outlineLevel="0" collapsed="false">
      <c r="A51" s="11" t="n">
        <v>50</v>
      </c>
      <c r="B51" s="5" t="s">
        <v>478</v>
      </c>
      <c r="C51" s="6" t="s">
        <v>96</v>
      </c>
      <c r="D51" s="6" t="s">
        <v>221</v>
      </c>
      <c r="E51" s="6" t="s">
        <v>479</v>
      </c>
      <c r="F51" s="6" t="s">
        <v>123</v>
      </c>
      <c r="G51" s="6" t="s">
        <v>480</v>
      </c>
      <c r="H51" s="11" t="s">
        <v>242</v>
      </c>
      <c r="I51" s="6" t="s">
        <v>253</v>
      </c>
      <c r="J51" s="12" t="n">
        <v>4.5</v>
      </c>
      <c r="K51" s="6" t="s">
        <v>481</v>
      </c>
      <c r="L51" s="13" t="s">
        <v>482</v>
      </c>
      <c r="M51" s="6" t="s">
        <v>89</v>
      </c>
      <c r="N51" s="6" t="s">
        <v>104</v>
      </c>
      <c r="O51" s="6" t="s">
        <v>105</v>
      </c>
      <c r="P51" s="11" t="n">
        <v>2</v>
      </c>
      <c r="Q51" s="6" t="s">
        <v>483</v>
      </c>
      <c r="R51" s="13" t="s">
        <v>482</v>
      </c>
      <c r="S51" s="14" t="s">
        <v>94</v>
      </c>
      <c r="T51" s="15"/>
      <c r="U51" s="14"/>
      <c r="V51" s="14"/>
      <c r="W51" s="14"/>
      <c r="X51" s="15"/>
      <c r="Y51" s="14"/>
    </row>
    <row r="52" customFormat="false" ht="39" hidden="false" customHeight="true" outlineLevel="0" collapsed="false">
      <c r="A52" s="11" t="n">
        <v>51</v>
      </c>
      <c r="B52" s="5" t="s">
        <v>484</v>
      </c>
      <c r="C52" s="6" t="s">
        <v>109</v>
      </c>
      <c r="D52" s="6" t="s">
        <v>164</v>
      </c>
      <c r="E52" s="6" t="s">
        <v>122</v>
      </c>
      <c r="F52" s="6" t="s">
        <v>123</v>
      </c>
      <c r="G52" s="6" t="s">
        <v>485</v>
      </c>
      <c r="H52" s="11" t="s">
        <v>486</v>
      </c>
      <c r="I52" s="6" t="s">
        <v>487</v>
      </c>
      <c r="J52" s="12" t="n">
        <v>5.5</v>
      </c>
      <c r="K52" s="6" t="s">
        <v>488</v>
      </c>
      <c r="L52" s="13" t="s">
        <v>489</v>
      </c>
      <c r="M52" s="6" t="s">
        <v>89</v>
      </c>
      <c r="N52" s="6" t="s">
        <v>490</v>
      </c>
      <c r="O52" s="6" t="s">
        <v>117</v>
      </c>
      <c r="P52" s="11" t="n">
        <v>2</v>
      </c>
      <c r="Q52" s="6" t="s">
        <v>491</v>
      </c>
      <c r="R52" s="13" t="s">
        <v>492</v>
      </c>
      <c r="S52" s="14" t="s">
        <v>94</v>
      </c>
      <c r="T52" s="15"/>
      <c r="U52" s="14"/>
      <c r="V52" s="14"/>
      <c r="W52" s="14"/>
      <c r="X52" s="15"/>
      <c r="Y52" s="14"/>
    </row>
    <row r="53" customFormat="false" ht="30" hidden="false" customHeight="true" outlineLevel="0" collapsed="false">
      <c r="A53" s="11" t="n">
        <v>52</v>
      </c>
      <c r="B53" s="5" t="s">
        <v>493</v>
      </c>
      <c r="C53" s="6" t="s">
        <v>109</v>
      </c>
      <c r="D53" s="6" t="s">
        <v>494</v>
      </c>
      <c r="E53" s="6" t="s">
        <v>122</v>
      </c>
      <c r="F53" s="6" t="s">
        <v>123</v>
      </c>
      <c r="G53" s="6" t="s">
        <v>495</v>
      </c>
      <c r="H53" s="11" t="s">
        <v>486</v>
      </c>
      <c r="I53" s="6" t="s">
        <v>487</v>
      </c>
      <c r="J53" s="12" t="n">
        <v>5.5</v>
      </c>
      <c r="K53" s="6" t="s">
        <v>496</v>
      </c>
      <c r="L53" s="13" t="s">
        <v>497</v>
      </c>
      <c r="M53" s="6" t="s">
        <v>89</v>
      </c>
      <c r="N53" s="6" t="s">
        <v>498</v>
      </c>
      <c r="O53" s="6" t="s">
        <v>117</v>
      </c>
      <c r="P53" s="11" t="n">
        <v>2</v>
      </c>
      <c r="Q53" s="6"/>
      <c r="R53" s="13" t="s">
        <v>499</v>
      </c>
      <c r="S53" s="14" t="s">
        <v>94</v>
      </c>
      <c r="T53" s="15"/>
      <c r="U53" s="14"/>
      <c r="V53" s="14"/>
      <c r="W53" s="14"/>
      <c r="X53" s="15"/>
      <c r="Y53" s="14"/>
    </row>
    <row r="54" customFormat="false" ht="39" hidden="false" customHeight="true" outlineLevel="0" collapsed="false">
      <c r="A54" s="11" t="n">
        <v>53</v>
      </c>
      <c r="B54" s="5" t="s">
        <v>500</v>
      </c>
      <c r="C54" s="6" t="s">
        <v>238</v>
      </c>
      <c r="D54" s="6" t="s">
        <v>501</v>
      </c>
      <c r="E54" s="6" t="s">
        <v>502</v>
      </c>
      <c r="F54" s="6" t="s">
        <v>123</v>
      </c>
      <c r="G54" s="6" t="s">
        <v>503</v>
      </c>
      <c r="H54" s="11" t="s">
        <v>486</v>
      </c>
      <c r="I54" s="6" t="s">
        <v>487</v>
      </c>
      <c r="J54" s="12" t="n">
        <v>5.5</v>
      </c>
      <c r="K54" s="6" t="s">
        <v>504</v>
      </c>
      <c r="L54" s="6" t="s">
        <v>89</v>
      </c>
      <c r="M54" s="6" t="s">
        <v>505</v>
      </c>
      <c r="N54" s="6" t="s">
        <v>506</v>
      </c>
      <c r="O54" s="6" t="s">
        <v>246</v>
      </c>
      <c r="P54" s="11" t="n">
        <v>2</v>
      </c>
      <c r="Q54" s="6" t="s">
        <v>507</v>
      </c>
      <c r="R54" s="13" t="s">
        <v>508</v>
      </c>
      <c r="S54" s="14" t="s">
        <v>94</v>
      </c>
      <c r="T54" s="15"/>
      <c r="U54" s="14"/>
      <c r="V54" s="14"/>
      <c r="W54" s="14"/>
      <c r="X54" s="15"/>
      <c r="Y54" s="14"/>
    </row>
    <row r="55" customFormat="false" ht="30" hidden="false" customHeight="true" outlineLevel="0" collapsed="false">
      <c r="A55" s="11" t="n">
        <v>54</v>
      </c>
      <c r="B55" s="5" t="s">
        <v>509</v>
      </c>
      <c r="C55" s="6" t="s">
        <v>80</v>
      </c>
      <c r="D55" s="6" t="s">
        <v>510</v>
      </c>
      <c r="E55" s="6" t="s">
        <v>466</v>
      </c>
      <c r="F55" s="6" t="s">
        <v>83</v>
      </c>
      <c r="G55" s="6" t="s">
        <v>511</v>
      </c>
      <c r="H55" s="11" t="s">
        <v>486</v>
      </c>
      <c r="I55" s="6" t="s">
        <v>512</v>
      </c>
      <c r="J55" s="12" t="n">
        <v>6</v>
      </c>
      <c r="K55" s="6" t="s">
        <v>89</v>
      </c>
      <c r="L55" s="13" t="s">
        <v>469</v>
      </c>
      <c r="M55" s="6" t="s">
        <v>89</v>
      </c>
      <c r="N55" s="6" t="s">
        <v>89</v>
      </c>
      <c r="O55" s="6" t="s">
        <v>117</v>
      </c>
      <c r="P55" s="11" t="n">
        <v>2</v>
      </c>
      <c r="Q55" s="6" t="s">
        <v>513</v>
      </c>
      <c r="R55" s="13" t="s">
        <v>514</v>
      </c>
      <c r="S55" s="14" t="s">
        <v>94</v>
      </c>
      <c r="T55" s="15"/>
      <c r="U55" s="14"/>
      <c r="V55" s="14"/>
      <c r="W55" s="14"/>
      <c r="X55" s="15"/>
      <c r="Y55" s="14"/>
    </row>
    <row r="56" customFormat="false" ht="30" hidden="false" customHeight="true" outlineLevel="0" collapsed="false">
      <c r="A56" s="11" t="n">
        <v>55</v>
      </c>
      <c r="B56" s="5" t="s">
        <v>515</v>
      </c>
      <c r="C56" s="6" t="s">
        <v>143</v>
      </c>
      <c r="D56" s="6" t="s">
        <v>516</v>
      </c>
      <c r="E56" s="6" t="s">
        <v>517</v>
      </c>
      <c r="F56" s="6" t="s">
        <v>83</v>
      </c>
      <c r="G56" s="6" t="s">
        <v>518</v>
      </c>
      <c r="H56" s="11" t="s">
        <v>104</v>
      </c>
      <c r="I56" s="6" t="s">
        <v>104</v>
      </c>
      <c r="J56" s="12"/>
      <c r="K56" s="6" t="s">
        <v>104</v>
      </c>
      <c r="L56" s="13" t="s">
        <v>519</v>
      </c>
      <c r="M56" s="6" t="s">
        <v>89</v>
      </c>
      <c r="N56" s="6" t="s">
        <v>104</v>
      </c>
      <c r="O56" s="6" t="s">
        <v>151</v>
      </c>
      <c r="P56" s="11" t="n">
        <v>2</v>
      </c>
      <c r="Q56" s="6" t="s">
        <v>520</v>
      </c>
      <c r="R56" s="13" t="s">
        <v>519</v>
      </c>
      <c r="S56" s="14" t="s">
        <v>94</v>
      </c>
      <c r="T56" s="15"/>
      <c r="U56" s="14"/>
      <c r="V56" s="14"/>
      <c r="W56" s="14"/>
      <c r="X56" s="15"/>
      <c r="Y56" s="14"/>
    </row>
    <row r="57" customFormat="false" ht="30" hidden="false" customHeight="true" outlineLevel="0" collapsed="false">
      <c r="A57" s="11" t="n">
        <v>56</v>
      </c>
      <c r="B57" s="5" t="s">
        <v>521</v>
      </c>
      <c r="C57" s="6" t="s">
        <v>96</v>
      </c>
      <c r="D57" s="6" t="s">
        <v>522</v>
      </c>
      <c r="E57" s="6" t="s">
        <v>79</v>
      </c>
      <c r="F57" s="6" t="s">
        <v>83</v>
      </c>
      <c r="G57" s="6" t="s">
        <v>523</v>
      </c>
      <c r="H57" s="11" t="s">
        <v>85</v>
      </c>
      <c r="I57" s="6" t="s">
        <v>524</v>
      </c>
      <c r="J57" s="12" t="n">
        <v>1</v>
      </c>
      <c r="K57" s="6" t="s">
        <v>525</v>
      </c>
      <c r="L57" s="13" t="s">
        <v>526</v>
      </c>
      <c r="M57" s="6" t="s">
        <v>89</v>
      </c>
      <c r="N57" s="6" t="s">
        <v>527</v>
      </c>
      <c r="O57" s="6" t="s">
        <v>264</v>
      </c>
      <c r="P57" s="11" t="n">
        <v>3</v>
      </c>
      <c r="Q57" s="6" t="s">
        <v>528</v>
      </c>
      <c r="R57" s="13" t="s">
        <v>526</v>
      </c>
      <c r="S57" s="14" t="s">
        <v>94</v>
      </c>
      <c r="T57" s="15"/>
      <c r="U57" s="14"/>
      <c r="V57" s="14"/>
      <c r="W57" s="14"/>
      <c r="X57" s="15"/>
      <c r="Y57" s="14"/>
    </row>
    <row r="58" customFormat="false" ht="64.5" hidden="false" customHeight="true" outlineLevel="0" collapsed="false">
      <c r="A58" s="11" t="n">
        <v>57</v>
      </c>
      <c r="B58" s="5" t="s">
        <v>529</v>
      </c>
      <c r="C58" s="6" t="s">
        <v>109</v>
      </c>
      <c r="D58" s="6" t="s">
        <v>530</v>
      </c>
      <c r="E58" s="6" t="s">
        <v>132</v>
      </c>
      <c r="F58" s="6" t="s">
        <v>133</v>
      </c>
      <c r="G58" s="6" t="s">
        <v>531</v>
      </c>
      <c r="H58" s="11" t="s">
        <v>334</v>
      </c>
      <c r="I58" s="6" t="s">
        <v>532</v>
      </c>
      <c r="J58" s="12" t="n">
        <v>1.5</v>
      </c>
      <c r="K58" s="6" t="s">
        <v>533</v>
      </c>
      <c r="L58" s="13" t="s">
        <v>137</v>
      </c>
      <c r="M58" s="6" t="s">
        <v>138</v>
      </c>
      <c r="N58" s="6" t="s">
        <v>534</v>
      </c>
      <c r="O58" s="6" t="s">
        <v>91</v>
      </c>
      <c r="P58" s="11" t="n">
        <v>3</v>
      </c>
      <c r="Q58" s="6" t="s">
        <v>535</v>
      </c>
      <c r="R58" s="13" t="s">
        <v>536</v>
      </c>
      <c r="S58" s="14" t="s">
        <v>94</v>
      </c>
      <c r="T58" s="15"/>
      <c r="U58" s="14"/>
      <c r="V58" s="14"/>
      <c r="W58" s="14"/>
      <c r="X58" s="15"/>
      <c r="Y58" s="14"/>
    </row>
    <row r="59" customFormat="false" ht="30" hidden="false" customHeight="true" outlineLevel="0" collapsed="false">
      <c r="A59" s="11" t="n">
        <v>58</v>
      </c>
      <c r="B59" s="5" t="s">
        <v>537</v>
      </c>
      <c r="C59" s="6" t="s">
        <v>143</v>
      </c>
      <c r="D59" s="6" t="s">
        <v>538</v>
      </c>
      <c r="E59" s="6" t="s">
        <v>539</v>
      </c>
      <c r="F59" s="6" t="s">
        <v>83</v>
      </c>
      <c r="G59" s="6" t="s">
        <v>540</v>
      </c>
      <c r="H59" s="11" t="s">
        <v>173</v>
      </c>
      <c r="I59" s="6" t="s">
        <v>541</v>
      </c>
      <c r="J59" s="12" t="n">
        <v>2</v>
      </c>
      <c r="K59" s="6" t="s">
        <v>542</v>
      </c>
      <c r="L59" s="6" t="s">
        <v>89</v>
      </c>
      <c r="M59" s="6" t="s">
        <v>89</v>
      </c>
      <c r="N59" s="6" t="s">
        <v>104</v>
      </c>
      <c r="O59" s="6" t="s">
        <v>151</v>
      </c>
      <c r="P59" s="11" t="n">
        <v>3</v>
      </c>
      <c r="Q59" s="6" t="s">
        <v>543</v>
      </c>
      <c r="R59" s="13" t="s">
        <v>544</v>
      </c>
      <c r="S59" s="14" t="s">
        <v>94</v>
      </c>
      <c r="T59" s="15"/>
      <c r="U59" s="14"/>
      <c r="V59" s="14"/>
      <c r="W59" s="14"/>
      <c r="X59" s="15"/>
      <c r="Y59" s="14"/>
    </row>
    <row r="60" customFormat="false" ht="30" hidden="false" customHeight="true" outlineLevel="0" collapsed="false">
      <c r="A60" s="11" t="n">
        <v>59</v>
      </c>
      <c r="B60" s="5" t="s">
        <v>545</v>
      </c>
      <c r="C60" s="6" t="s">
        <v>109</v>
      </c>
      <c r="D60" s="6" t="s">
        <v>164</v>
      </c>
      <c r="E60" s="6" t="s">
        <v>89</v>
      </c>
      <c r="F60" s="6" t="s">
        <v>83</v>
      </c>
      <c r="G60" s="6" t="s">
        <v>546</v>
      </c>
      <c r="H60" s="11" t="s">
        <v>224</v>
      </c>
      <c r="I60" s="6" t="s">
        <v>225</v>
      </c>
      <c r="J60" s="12" t="n">
        <v>2.5</v>
      </c>
      <c r="K60" s="6" t="s">
        <v>89</v>
      </c>
      <c r="L60" s="6" t="s">
        <v>89</v>
      </c>
      <c r="M60" s="6" t="s">
        <v>89</v>
      </c>
      <c r="N60" s="6" t="s">
        <v>547</v>
      </c>
      <c r="O60" s="6" t="s">
        <v>117</v>
      </c>
      <c r="P60" s="11" t="n">
        <v>3</v>
      </c>
      <c r="Q60" s="6" t="s">
        <v>548</v>
      </c>
      <c r="R60" s="13" t="s">
        <v>549</v>
      </c>
      <c r="S60" s="14" t="s">
        <v>94</v>
      </c>
      <c r="T60" s="15"/>
      <c r="U60" s="14"/>
      <c r="V60" s="14"/>
      <c r="W60" s="14"/>
      <c r="X60" s="15"/>
      <c r="Y60" s="14"/>
    </row>
    <row r="61" customFormat="false" ht="30" hidden="false" customHeight="true" outlineLevel="0" collapsed="false">
      <c r="A61" s="11" t="n">
        <v>60</v>
      </c>
      <c r="B61" s="5" t="s">
        <v>550</v>
      </c>
      <c r="C61" s="6" t="s">
        <v>96</v>
      </c>
      <c r="D61" s="6" t="s">
        <v>551</v>
      </c>
      <c r="E61" s="6" t="s">
        <v>552</v>
      </c>
      <c r="F61" s="6" t="s">
        <v>123</v>
      </c>
      <c r="G61" s="6" t="s">
        <v>553</v>
      </c>
      <c r="H61" s="11" t="s">
        <v>334</v>
      </c>
      <c r="I61" s="6" t="s">
        <v>554</v>
      </c>
      <c r="J61" s="12" t="n">
        <v>2.8</v>
      </c>
      <c r="K61" s="6" t="s">
        <v>555</v>
      </c>
      <c r="L61" s="13" t="s">
        <v>556</v>
      </c>
      <c r="M61" s="6" t="s">
        <v>89</v>
      </c>
      <c r="N61" s="6" t="s">
        <v>557</v>
      </c>
      <c r="O61" s="6" t="s">
        <v>264</v>
      </c>
      <c r="P61" s="11" t="n">
        <v>3</v>
      </c>
      <c r="Q61" s="6" t="s">
        <v>558</v>
      </c>
      <c r="R61" s="13" t="s">
        <v>559</v>
      </c>
      <c r="S61" s="14" t="s">
        <v>94</v>
      </c>
      <c r="T61" s="15"/>
      <c r="U61" s="14"/>
      <c r="V61" s="14"/>
      <c r="W61" s="14"/>
      <c r="X61" s="15"/>
      <c r="Y61" s="14"/>
    </row>
    <row r="62" customFormat="false" ht="51.75" hidden="false" customHeight="true" outlineLevel="0" collapsed="false">
      <c r="A62" s="11" t="n">
        <v>61</v>
      </c>
      <c r="B62" s="5" t="s">
        <v>560</v>
      </c>
      <c r="C62" s="6" t="s">
        <v>96</v>
      </c>
      <c r="D62" s="6" t="s">
        <v>551</v>
      </c>
      <c r="E62" s="6" t="s">
        <v>561</v>
      </c>
      <c r="F62" s="6" t="s">
        <v>123</v>
      </c>
      <c r="G62" s="6" t="s">
        <v>562</v>
      </c>
      <c r="H62" s="11" t="s">
        <v>563</v>
      </c>
      <c r="I62" s="6" t="s">
        <v>89</v>
      </c>
      <c r="J62" s="12" t="n">
        <v>3</v>
      </c>
      <c r="K62" s="6" t="s">
        <v>89</v>
      </c>
      <c r="L62" s="6" t="s">
        <v>89</v>
      </c>
      <c r="M62" s="6" t="s">
        <v>89</v>
      </c>
      <c r="N62" s="6" t="s">
        <v>89</v>
      </c>
      <c r="O62" s="6" t="s">
        <v>264</v>
      </c>
      <c r="P62" s="11" t="n">
        <v>3</v>
      </c>
      <c r="Q62" s="6" t="s">
        <v>564</v>
      </c>
      <c r="R62" s="13" t="s">
        <v>565</v>
      </c>
      <c r="S62" s="14" t="s">
        <v>94</v>
      </c>
      <c r="T62" s="15"/>
      <c r="U62" s="14"/>
      <c r="V62" s="14"/>
      <c r="W62" s="14"/>
      <c r="X62" s="15"/>
      <c r="Y62" s="14"/>
    </row>
    <row r="63" customFormat="false" ht="30" hidden="false" customHeight="true" outlineLevel="0" collapsed="false">
      <c r="A63" s="11" t="n">
        <v>62</v>
      </c>
      <c r="B63" s="5" t="s">
        <v>566</v>
      </c>
      <c r="C63" s="6" t="s">
        <v>96</v>
      </c>
      <c r="D63" s="6" t="s">
        <v>567</v>
      </c>
      <c r="E63" s="6" t="s">
        <v>568</v>
      </c>
      <c r="F63" s="6" t="s">
        <v>123</v>
      </c>
      <c r="G63" s="6" t="s">
        <v>569</v>
      </c>
      <c r="H63" s="11" t="s">
        <v>334</v>
      </c>
      <c r="I63" s="6" t="s">
        <v>570</v>
      </c>
      <c r="J63" s="12" t="n">
        <v>3</v>
      </c>
      <c r="K63" s="6" t="s">
        <v>89</v>
      </c>
      <c r="L63" s="13" t="s">
        <v>571</v>
      </c>
      <c r="M63" s="6" t="s">
        <v>89</v>
      </c>
      <c r="N63" s="6" t="s">
        <v>104</v>
      </c>
      <c r="O63" s="6" t="s">
        <v>105</v>
      </c>
      <c r="P63" s="11" t="n">
        <v>3</v>
      </c>
      <c r="Q63" s="6" t="s">
        <v>572</v>
      </c>
      <c r="R63" s="13" t="s">
        <v>573</v>
      </c>
      <c r="S63" s="14" t="s">
        <v>94</v>
      </c>
      <c r="T63" s="15"/>
      <c r="U63" s="14"/>
      <c r="V63" s="14"/>
      <c r="W63" s="14"/>
      <c r="X63" s="15"/>
      <c r="Y63" s="14"/>
    </row>
    <row r="64" customFormat="false" ht="51.75" hidden="false" customHeight="true" outlineLevel="0" collapsed="false">
      <c r="A64" s="11" t="n">
        <v>63</v>
      </c>
      <c r="B64" s="5" t="s">
        <v>574</v>
      </c>
      <c r="C64" s="6" t="s">
        <v>238</v>
      </c>
      <c r="D64" s="6" t="s">
        <v>575</v>
      </c>
      <c r="E64" s="6" t="s">
        <v>576</v>
      </c>
      <c r="F64" s="6" t="s">
        <v>123</v>
      </c>
      <c r="G64" s="6" t="s">
        <v>577</v>
      </c>
      <c r="H64" s="11" t="s">
        <v>224</v>
      </c>
      <c r="I64" s="6" t="s">
        <v>335</v>
      </c>
      <c r="J64" s="12" t="n">
        <v>3</v>
      </c>
      <c r="K64" s="6" t="s">
        <v>89</v>
      </c>
      <c r="L64" s="6" t="s">
        <v>89</v>
      </c>
      <c r="M64" s="6" t="s">
        <v>89</v>
      </c>
      <c r="N64" s="6" t="s">
        <v>89</v>
      </c>
      <c r="O64" s="6" t="s">
        <v>246</v>
      </c>
      <c r="P64" s="11" t="n">
        <v>3</v>
      </c>
      <c r="Q64" s="6" t="s">
        <v>578</v>
      </c>
      <c r="R64" s="13" t="s">
        <v>579</v>
      </c>
      <c r="S64" s="14" t="s">
        <v>94</v>
      </c>
      <c r="T64" s="15"/>
      <c r="U64" s="14"/>
      <c r="V64" s="14"/>
      <c r="W64" s="14"/>
      <c r="X64" s="15"/>
      <c r="Y64" s="14"/>
    </row>
    <row r="65" customFormat="false" ht="30" hidden="false" customHeight="true" outlineLevel="0" collapsed="false">
      <c r="A65" s="11" t="n">
        <v>64</v>
      </c>
      <c r="B65" s="5" t="s">
        <v>580</v>
      </c>
      <c r="C65" s="6" t="s">
        <v>109</v>
      </c>
      <c r="D65" s="6" t="s">
        <v>581</v>
      </c>
      <c r="E65" s="6" t="s">
        <v>132</v>
      </c>
      <c r="F65" s="6" t="s">
        <v>133</v>
      </c>
      <c r="G65" s="6" t="s">
        <v>582</v>
      </c>
      <c r="H65" s="11" t="s">
        <v>242</v>
      </c>
      <c r="I65" s="6" t="s">
        <v>583</v>
      </c>
      <c r="J65" s="12" t="n">
        <v>3.5</v>
      </c>
      <c r="K65" s="6" t="s">
        <v>584</v>
      </c>
      <c r="L65" s="13" t="s">
        <v>137</v>
      </c>
      <c r="M65" s="6" t="s">
        <v>138</v>
      </c>
      <c r="N65" s="6" t="s">
        <v>585</v>
      </c>
      <c r="O65" s="6" t="s">
        <v>91</v>
      </c>
      <c r="P65" s="11" t="n">
        <v>3</v>
      </c>
      <c r="Q65" s="6" t="s">
        <v>586</v>
      </c>
      <c r="R65" s="13" t="s">
        <v>587</v>
      </c>
      <c r="S65" s="14" t="s">
        <v>94</v>
      </c>
      <c r="T65" s="15"/>
      <c r="U65" s="14"/>
      <c r="V65" s="14"/>
      <c r="W65" s="14"/>
      <c r="X65" s="15"/>
      <c r="Y65" s="14"/>
    </row>
    <row r="66" customFormat="false" ht="30" hidden="false" customHeight="true" outlineLevel="0" collapsed="false">
      <c r="A66" s="11" t="n">
        <v>65</v>
      </c>
      <c r="B66" s="5" t="s">
        <v>588</v>
      </c>
      <c r="C66" s="6" t="s">
        <v>238</v>
      </c>
      <c r="D66" s="6" t="s">
        <v>589</v>
      </c>
      <c r="E66" s="6" t="s">
        <v>590</v>
      </c>
      <c r="F66" s="6" t="s">
        <v>123</v>
      </c>
      <c r="G66" s="6" t="s">
        <v>591</v>
      </c>
      <c r="H66" s="11" t="s">
        <v>173</v>
      </c>
      <c r="I66" s="6" t="s">
        <v>592</v>
      </c>
      <c r="J66" s="12" t="n">
        <v>4.5</v>
      </c>
      <c r="K66" s="6" t="s">
        <v>593</v>
      </c>
      <c r="L66" s="13" t="s">
        <v>594</v>
      </c>
      <c r="M66" s="6" t="s">
        <v>89</v>
      </c>
      <c r="N66" s="6" t="s">
        <v>89</v>
      </c>
      <c r="O66" s="6" t="s">
        <v>246</v>
      </c>
      <c r="P66" s="11" t="n">
        <v>3</v>
      </c>
      <c r="Q66" s="6" t="s">
        <v>595</v>
      </c>
      <c r="R66" s="13" t="s">
        <v>594</v>
      </c>
      <c r="S66" s="14" t="s">
        <v>94</v>
      </c>
      <c r="T66" s="15"/>
      <c r="U66" s="14"/>
      <c r="V66" s="14"/>
      <c r="W66" s="14"/>
      <c r="X66" s="15"/>
      <c r="Y66" s="14"/>
    </row>
    <row r="67" customFormat="false" ht="30" hidden="false" customHeight="true" outlineLevel="0" collapsed="false">
      <c r="A67" s="11" t="n">
        <v>66</v>
      </c>
      <c r="B67" s="5" t="s">
        <v>596</v>
      </c>
      <c r="C67" s="6" t="s">
        <v>96</v>
      </c>
      <c r="D67" s="6" t="s">
        <v>522</v>
      </c>
      <c r="E67" s="6" t="s">
        <v>597</v>
      </c>
      <c r="F67" s="6" t="s">
        <v>123</v>
      </c>
      <c r="G67" s="6" t="s">
        <v>598</v>
      </c>
      <c r="H67" s="11" t="s">
        <v>242</v>
      </c>
      <c r="I67" s="6" t="s">
        <v>599</v>
      </c>
      <c r="J67" s="12" t="n">
        <v>5</v>
      </c>
      <c r="K67" s="6" t="s">
        <v>600</v>
      </c>
      <c r="L67" s="13" t="s">
        <v>601</v>
      </c>
      <c r="M67" s="6" t="s">
        <v>602</v>
      </c>
      <c r="N67" s="6" t="s">
        <v>89</v>
      </c>
      <c r="O67" s="6" t="s">
        <v>264</v>
      </c>
      <c r="P67" s="11" t="n">
        <v>3</v>
      </c>
      <c r="Q67" s="6" t="s">
        <v>528</v>
      </c>
      <c r="R67" s="13" t="s">
        <v>601</v>
      </c>
      <c r="S67" s="14" t="s">
        <v>94</v>
      </c>
      <c r="T67" s="15"/>
      <c r="U67" s="14"/>
      <c r="V67" s="14"/>
      <c r="W67" s="14"/>
      <c r="X67" s="15"/>
      <c r="Y67" s="14"/>
    </row>
    <row r="68" customFormat="false" ht="39" hidden="false" customHeight="true" outlineLevel="0" collapsed="false">
      <c r="A68" s="11" t="n">
        <v>67</v>
      </c>
      <c r="B68" s="5" t="s">
        <v>603</v>
      </c>
      <c r="C68" s="6" t="s">
        <v>109</v>
      </c>
      <c r="D68" s="6" t="s">
        <v>164</v>
      </c>
      <c r="E68" s="6" t="s">
        <v>171</v>
      </c>
      <c r="F68" s="6" t="s">
        <v>83</v>
      </c>
      <c r="G68" s="6" t="s">
        <v>604</v>
      </c>
      <c r="H68" s="11" t="s">
        <v>486</v>
      </c>
      <c r="I68" s="6" t="s">
        <v>487</v>
      </c>
      <c r="J68" s="12" t="n">
        <v>5.5</v>
      </c>
      <c r="K68" s="6" t="s">
        <v>89</v>
      </c>
      <c r="L68" s="13" t="s">
        <v>447</v>
      </c>
      <c r="M68" s="6" t="s">
        <v>89</v>
      </c>
      <c r="N68" s="6" t="s">
        <v>89</v>
      </c>
      <c r="O68" s="6" t="s">
        <v>117</v>
      </c>
      <c r="P68" s="11" t="n">
        <v>3</v>
      </c>
      <c r="Q68" s="6"/>
      <c r="R68" s="13" t="s">
        <v>605</v>
      </c>
      <c r="S68" s="14" t="s">
        <v>94</v>
      </c>
      <c r="T68" s="15"/>
      <c r="U68" s="14"/>
      <c r="V68" s="14"/>
      <c r="W68" s="14"/>
      <c r="X68" s="15"/>
      <c r="Y68" s="14"/>
    </row>
    <row r="69" customFormat="false" ht="30" hidden="false" customHeight="true" outlineLevel="0" collapsed="false">
      <c r="A69" s="11" t="n">
        <v>68</v>
      </c>
      <c r="B69" s="5" t="s">
        <v>606</v>
      </c>
      <c r="C69" s="6" t="s">
        <v>109</v>
      </c>
      <c r="D69" s="6" t="s">
        <v>607</v>
      </c>
      <c r="E69" s="6" t="s">
        <v>171</v>
      </c>
      <c r="F69" s="6" t="s">
        <v>83</v>
      </c>
      <c r="G69" s="6" t="s">
        <v>608</v>
      </c>
      <c r="H69" s="11" t="s">
        <v>486</v>
      </c>
      <c r="I69" s="6" t="s">
        <v>487</v>
      </c>
      <c r="J69" s="12" t="n">
        <v>6</v>
      </c>
      <c r="K69" s="6" t="s">
        <v>609</v>
      </c>
      <c r="L69" s="13" t="s">
        <v>447</v>
      </c>
      <c r="M69" s="6" t="s">
        <v>89</v>
      </c>
      <c r="N69" s="6" t="s">
        <v>454</v>
      </c>
      <c r="O69" s="6" t="s">
        <v>117</v>
      </c>
      <c r="P69" s="11" t="n">
        <v>3</v>
      </c>
      <c r="Q69" s="6"/>
      <c r="R69" s="13" t="s">
        <v>610</v>
      </c>
      <c r="S69" s="14" t="s">
        <v>94</v>
      </c>
      <c r="T69" s="15"/>
      <c r="U69" s="14"/>
      <c r="V69" s="14"/>
      <c r="W69" s="14"/>
      <c r="X69" s="15"/>
      <c r="Y69" s="14"/>
    </row>
    <row r="70" customFormat="false" ht="30" hidden="false" customHeight="true" outlineLevel="0" collapsed="false">
      <c r="A70" s="11" t="n">
        <v>69</v>
      </c>
      <c r="B70" s="5" t="s">
        <v>611</v>
      </c>
      <c r="C70" s="6" t="s">
        <v>109</v>
      </c>
      <c r="D70" s="6" t="s">
        <v>164</v>
      </c>
      <c r="E70" s="6" t="s">
        <v>122</v>
      </c>
      <c r="F70" s="6" t="s">
        <v>123</v>
      </c>
      <c r="G70" s="6" t="s">
        <v>612</v>
      </c>
      <c r="H70" s="11" t="s">
        <v>613</v>
      </c>
      <c r="I70" s="6" t="s">
        <v>614</v>
      </c>
      <c r="J70" s="12" t="n">
        <v>6</v>
      </c>
      <c r="K70" s="6" t="s">
        <v>615</v>
      </c>
      <c r="L70" s="13" t="s">
        <v>616</v>
      </c>
      <c r="M70" s="6" t="s">
        <v>89</v>
      </c>
      <c r="N70" s="6" t="s">
        <v>89</v>
      </c>
      <c r="O70" s="6" t="s">
        <v>117</v>
      </c>
      <c r="P70" s="11" t="n">
        <v>3</v>
      </c>
      <c r="Q70" s="6"/>
      <c r="R70" s="13" t="s">
        <v>617</v>
      </c>
      <c r="S70" s="14" t="s">
        <v>94</v>
      </c>
      <c r="T70" s="15"/>
      <c r="U70" s="14"/>
      <c r="V70" s="14"/>
      <c r="W70" s="14"/>
      <c r="X70" s="15"/>
      <c r="Y70" s="14"/>
    </row>
    <row r="71" customFormat="false" ht="30" hidden="false" customHeight="true" outlineLevel="0" collapsed="false">
      <c r="A71" s="11" t="n">
        <v>70</v>
      </c>
      <c r="B71" s="5" t="s">
        <v>618</v>
      </c>
      <c r="C71" s="6" t="s">
        <v>109</v>
      </c>
      <c r="D71" s="6" t="s">
        <v>581</v>
      </c>
      <c r="E71" s="6" t="s">
        <v>619</v>
      </c>
      <c r="F71" s="6" t="s">
        <v>133</v>
      </c>
      <c r="G71" s="6" t="s">
        <v>620</v>
      </c>
      <c r="H71" s="11" t="s">
        <v>613</v>
      </c>
      <c r="I71" s="6" t="s">
        <v>614</v>
      </c>
      <c r="J71" s="12" t="n">
        <v>6</v>
      </c>
      <c r="K71" s="6" t="s">
        <v>621</v>
      </c>
      <c r="L71" s="13" t="s">
        <v>622</v>
      </c>
      <c r="M71" s="6" t="s">
        <v>89</v>
      </c>
      <c r="N71" s="6" t="s">
        <v>623</v>
      </c>
      <c r="O71" s="6" t="s">
        <v>91</v>
      </c>
      <c r="P71" s="11" t="n">
        <v>3</v>
      </c>
      <c r="Q71" s="6"/>
      <c r="R71" s="13" t="s">
        <v>624</v>
      </c>
      <c r="S71" s="14" t="s">
        <v>94</v>
      </c>
      <c r="T71" s="15"/>
      <c r="U71" s="14"/>
      <c r="V71" s="14"/>
      <c r="W71" s="14"/>
      <c r="X71" s="15"/>
      <c r="Y71" s="14"/>
    </row>
    <row r="72" customFormat="false" ht="51.75" hidden="false" customHeight="true" outlineLevel="0" collapsed="false">
      <c r="A72" s="11" t="n">
        <v>71</v>
      </c>
      <c r="B72" s="5" t="s">
        <v>625</v>
      </c>
      <c r="C72" s="6" t="s">
        <v>109</v>
      </c>
      <c r="D72" s="6" t="s">
        <v>626</v>
      </c>
      <c r="E72" s="6" t="s">
        <v>171</v>
      </c>
      <c r="F72" s="6" t="s">
        <v>83</v>
      </c>
      <c r="G72" s="6" t="s">
        <v>627</v>
      </c>
      <c r="H72" s="11" t="s">
        <v>628</v>
      </c>
      <c r="I72" s="6" t="s">
        <v>629</v>
      </c>
      <c r="J72" s="12" t="n">
        <v>6</v>
      </c>
      <c r="K72" s="6" t="s">
        <v>89</v>
      </c>
      <c r="L72" s="6" t="s">
        <v>630</v>
      </c>
      <c r="M72" s="6" t="s">
        <v>89</v>
      </c>
      <c r="N72" s="6" t="s">
        <v>631</v>
      </c>
      <c r="O72" s="6" t="s">
        <v>117</v>
      </c>
      <c r="P72" s="11" t="n">
        <v>3</v>
      </c>
      <c r="Q72" s="6" t="s">
        <v>632</v>
      </c>
      <c r="R72" s="13" t="s">
        <v>633</v>
      </c>
      <c r="S72" s="14" t="s">
        <v>94</v>
      </c>
      <c r="T72" s="15"/>
      <c r="U72" s="14"/>
      <c r="V72" s="14"/>
      <c r="W72" s="14"/>
      <c r="X72" s="15"/>
      <c r="Y72" s="14"/>
    </row>
    <row r="73" customFormat="false" ht="39" hidden="false" customHeight="true" outlineLevel="0" collapsed="false">
      <c r="A73" s="11" t="n">
        <v>72</v>
      </c>
      <c r="B73" s="5" t="s">
        <v>634</v>
      </c>
      <c r="C73" s="6" t="s">
        <v>143</v>
      </c>
      <c r="D73" s="6" t="s">
        <v>635</v>
      </c>
      <c r="E73" s="6" t="s">
        <v>636</v>
      </c>
      <c r="F73" s="6" t="s">
        <v>83</v>
      </c>
      <c r="G73" s="6" t="s">
        <v>637</v>
      </c>
      <c r="H73" s="11" t="s">
        <v>628</v>
      </c>
      <c r="I73" s="6" t="s">
        <v>638</v>
      </c>
      <c r="J73" s="12" t="n">
        <v>8</v>
      </c>
      <c r="K73" s="6" t="s">
        <v>639</v>
      </c>
      <c r="L73" s="13" t="s">
        <v>640</v>
      </c>
      <c r="M73" s="6" t="s">
        <v>641</v>
      </c>
      <c r="N73" s="6" t="s">
        <v>104</v>
      </c>
      <c r="O73" s="6" t="s">
        <v>151</v>
      </c>
      <c r="P73" s="11" t="n">
        <v>3</v>
      </c>
      <c r="Q73" s="6" t="s">
        <v>642</v>
      </c>
      <c r="R73" s="13" t="s">
        <v>643</v>
      </c>
      <c r="S73" s="14" t="s">
        <v>94</v>
      </c>
      <c r="T73" s="15"/>
      <c r="U73" s="14"/>
      <c r="V73" s="14"/>
      <c r="W73" s="14"/>
      <c r="X73" s="15"/>
      <c r="Y73" s="14"/>
    </row>
    <row r="74" customFormat="false" ht="30" hidden="false" customHeight="true" outlineLevel="0" collapsed="false">
      <c r="A74" s="11" t="n">
        <v>73</v>
      </c>
      <c r="B74" s="5" t="s">
        <v>644</v>
      </c>
      <c r="C74" s="6" t="s">
        <v>143</v>
      </c>
      <c r="D74" s="6" t="s">
        <v>645</v>
      </c>
      <c r="E74" s="6" t="s">
        <v>644</v>
      </c>
      <c r="F74" s="6" t="s">
        <v>83</v>
      </c>
      <c r="G74" s="6" t="s">
        <v>518</v>
      </c>
      <c r="H74" s="11" t="s">
        <v>104</v>
      </c>
      <c r="I74" s="6" t="s">
        <v>104</v>
      </c>
      <c r="J74" s="12"/>
      <c r="K74" s="6" t="s">
        <v>104</v>
      </c>
      <c r="L74" s="13" t="s">
        <v>646</v>
      </c>
      <c r="M74" s="6" t="s">
        <v>89</v>
      </c>
      <c r="N74" s="6" t="s">
        <v>104</v>
      </c>
      <c r="O74" s="6" t="s">
        <v>151</v>
      </c>
      <c r="P74" s="11" t="n">
        <v>3</v>
      </c>
      <c r="Q74" s="6" t="s">
        <v>647</v>
      </c>
      <c r="R74" s="13" t="s">
        <v>646</v>
      </c>
      <c r="S74" s="14" t="s">
        <v>94</v>
      </c>
      <c r="T74" s="15"/>
      <c r="U74" s="14"/>
      <c r="V74" s="14"/>
      <c r="W74" s="14"/>
      <c r="X74" s="15"/>
      <c r="Y74" s="14"/>
    </row>
  </sheetData>
  <autoFilter ref="A1:Y74"/>
  <conditionalFormatting sqref="A2:Y300">
    <cfRule type="expression" priority="2" aboveAverage="0" equalAverage="0" bottom="0" percent="0" rank="0" text="" dxfId="8">
      <formula>AND($X2&lt;&gt;"",$X2&lt;TODAY(),$S2&lt;&gt;"Clos",$S2&lt;&gt;"Embauche / positif",$S2&lt;&gt;"Réponse négative")</formula>
    </cfRule>
  </conditionalFormatting>
  <conditionalFormatting sqref="S2:S300">
    <cfRule type="cellIs" priority="3" operator="equal" aboveAverage="0" equalAverage="0" bottom="0" percent="0" rank="0" text="" dxfId="9">
      <formula>"Embauche / positif"</formula>
    </cfRule>
    <cfRule type="cellIs" priority="4" operator="equal" aboveAverage="0" equalAverage="0" bottom="0" percent="0" rank="0" text="" dxfId="10">
      <formula>"Réponse négative"</formula>
    </cfRule>
    <cfRule type="cellIs" priority="5" operator="equal" aboveAverage="0" equalAverage="0" bottom="0" percent="0" rank="0" text="" dxfId="11">
      <formula>"Entretien"</formula>
    </cfRule>
    <cfRule type="cellIs" priority="6" operator="equal" aboveAverage="0" equalAverage="0" bottom="0" percent="0" rank="0" text="" dxfId="12">
      <formula>"Relance à faire"</formula>
    </cfRule>
  </conditionalFormatting>
  <conditionalFormatting sqref="P2:P74">
    <cfRule type="cellIs" priority="7" operator="equal" aboveAverage="0" equalAverage="0" bottom="0" percent="0" rank="0" text="" dxfId="13">
      <formula>1</formula>
    </cfRule>
  </conditionalFormatting>
  <dataValidations count="4">
    <dataValidation allowBlank="true" errorStyle="stop" operator="between" showDropDown="false" showErrorMessage="false" showInputMessage="false" sqref="S2:S300" type="list">
      <formula1>"À contacter,Contacté – en attente,Relance à faire,Entretien,Embauche / positif,Réponse négative,Clos"</formula1>
      <formula2>0</formula2>
    </dataValidation>
    <dataValidation allowBlank="true" errorStyle="stop" operator="between" showDropDown="false" showErrorMessage="false" showInputMessage="false" sqref="U2:U300" type="list">
      <formula1>"Téléphone,Email,Candidature en ligne,Visite sur place,Réseau / recommandation,Intérim / plateforme"</formula1>
      <formula2>0</formula2>
    </dataValidation>
    <dataValidation allowBlank="true" errorStyle="stop" operator="between" showDropDown="false" showErrorMessage="false" showInputMessage="false" sqref="P2:P300" type="list">
      <formula1>"1,2,3"</formula1>
      <formula2>0</formula2>
    </dataValidation>
    <dataValidation allowBlank="true" errorStyle="stop" operator="greaterThan" showDropDown="false" showErrorMessage="false" showInputMessage="false" sqref="T2:T300 X2:X300" type="date">
      <formula1>DATE(2026,1,1)</formula1>
      <formula2>0</formula2>
    </dataValidation>
  </dataValidations>
  <hyperlinks>
    <hyperlink ref="L2" r:id="rId2" display="https://talents.clinique-pasteur.com/"/>
    <hyperlink ref="R2" r:id="rId3" display="https://www.clinique-pasteur.com/recrutement"/>
    <hyperlink ref="L3" r:id="rId4" display="https://www.petits-fils.com"/>
    <hyperlink ref="R3" r:id="rId5" display="https://www.conseildependance.fr/services/services-a-domicile/toulouse/haute-garonne-31/petits-fils-toulouse-ouest"/>
    <hyperlink ref="R4" r:id="rId6" display="https://colisee.fr/residences/maison-medicalisee-toulouse-residence-arc-en-ciel/"/>
    <hyperlink ref="R5" r:id="rId7" display="https://la-cartoucherie.edenis.fr/la-residence/"/>
    <hyperlink ref="L6" r:id="rId8" display="https://metropole.toulouse.fr/le-ccas-recrute"/>
    <hyperlink ref="R6" r:id="rId9" display="https://metropole.toulouse.fr/annuaire/ehpad-gaubert"/>
    <hyperlink ref="L7" r:id="rId10" display="https://www.adecco.com/fr-fr/medical"/>
    <hyperlink ref="R7" r:id="rId11" display="https://www.adecco.com/fr-fr/medical/agences/occitanie/toulouse/adecco-medical-toulouse"/>
    <hyperlink ref="L8" r:id="rId12" display="https://www.hopitaljosephducuing.fr/espace-recrutement"/>
    <hyperlink ref="R8" r:id="rId13" display="https://www.hopitaljosephducuing.fr/espace-recrutement"/>
    <hyperlink ref="R9" r:id="rId14" display="https://www.pour-les-personnes-agees.gouv.fr/annuaire-ehpad-et-maisons-de-retraite/ehpad/haute-garonne-31/toulouse-31000/ehpad-residence-les-tilleuls/310792015"/>
    <hyperlink ref="R10" r:id="rId15" display="https://www.leguidedupatrimoine.com/ehpad/domusvi-la-cepiere"/>
    <hyperlink ref="L11" r:id="rId16" display="https://www.clinique-rivegauche.fr/espace-recrutement"/>
    <hyperlink ref="R11" r:id="rId17" display="https://www.clinique-rivegauche.fr/espace-recrutement"/>
    <hyperlink ref="L12" r:id="rId18" display="https://metropole.toulouse.fr/le-ccas-recrute"/>
    <hyperlink ref="R12" r:id="rId19" display="https://metropole.toulouse.fr/annuaire/ehpad-les-fontaines"/>
    <hyperlink ref="L13" r:id="rId20" display="https://recrutement.chu-toulouse.fr/candidature-spontanee/"/>
    <hyperlink ref="R13" r:id="rId21" display="https://recrutement.chu-toulouse.fr/candidature-spontanee/"/>
    <hyperlink ref="L14" r:id="rId22" display="https://www.vitalliance.fr"/>
    <hyperlink ref="R14" r:id="rId23" display="https://www.au-magasin.fr/31000-toulouse/vitalliance-254952.html"/>
    <hyperlink ref="L15" r:id="rId24" display="https://www.domaliance.fr"/>
    <hyperlink ref="R15" r:id="rId25" display="https://www.pour-les-personnes-agees.gouv.fr/annuaire-service-aide-accompagnement-domicile/haute-garonne-31/toulouse-31000/domaliance-sud-ouest/310027016"/>
    <hyperlink ref="L16" r:id="rId26" display="https://www.onela.com/agence/toulouse/"/>
    <hyperlink ref="R16" r:id="rId27" display="https://www.onela.com/agence/toulouse/"/>
    <hyperlink ref="L17" r:id="rId28" display="https://recrutement.chu-toulouse.fr"/>
    <hyperlink ref="R17" r:id="rId29" display="https://www.chu-toulouse.fr/-soins-de-longue-duree-en-geriatrie-usld-439-"/>
    <hyperlink ref="R18" r:id="rId30" display="https://www.asei.asso.fr/centres/mas-georges-delpech"/>
    <hyperlink ref="L19" r:id="rId31" display="https://www.clinique-minimes.fr"/>
    <hyperlink ref="R19" r:id="rId32" display="https://www.clinique-minimes.fr/presentation-de-la-clinique"/>
    <hyperlink ref="R20" r:id="rId33" display="https://www.sanitaire-social.com/fiche/ssiad-colomiers-tournefeuille-association-alliance-sages-adages-tournefeuille-31170/31-51456"/>
    <hyperlink ref="L21" r:id="rId34" display="https://www.medipole.com"/>
    <hyperlink ref="R21" r:id="rId35" display="https://fr.indeed.com/cmp/Clinique-Medipole-Garonne-3"/>
    <hyperlink ref="L22" r:id="rId36" display="https://metropole.toulouse.fr/le-ccas-recrute"/>
    <hyperlink ref="R22" r:id="rId37" display="https://metropole.toulouse.fr/annuaire/centre-hebergement-temporaire-olivier"/>
    <hyperlink ref="L23" r:id="rId38" display="https://www.agapei.asso.fr/contact"/>
    <hyperlink ref="R23" r:id="rId39" display="https://www.agapei.asso.fr/contact"/>
    <hyperlink ref="L24" r:id="rId40" display="https://domino-rh.com/agences/domino-care-toulouse/"/>
    <hyperlink ref="R24" r:id="rId41" display="https://domino-rh.com/agences/domino-care-toulouse/"/>
    <hyperlink ref="L25" r:id="rId42" display="https://www.temporis-franchise.fr/agences/temporis-interim-toulouse-sante"/>
    <hyperlink ref="R25" r:id="rId43" display="https://www.pagesjaunes.fr/pros/54295284"/>
    <hyperlink ref="L26" r:id="rId44" display="https://recrutement.chu-toulouse.fr"/>
    <hyperlink ref="R26" r:id="rId45" display="https://www.chu-toulouse.fr/hopital-la-grave-cite-de-la-sante"/>
    <hyperlink ref="L27" r:id="rId46" display="https://recrutement.chu-toulouse.fr"/>
    <hyperlink ref="R27" r:id="rId47" display="https://www.chu-toulouse.fr/hopital-pierre-paul-riquet"/>
    <hyperlink ref="L28" r:id="rId48" display="https://recrutement.chu-toulouse.fr"/>
    <hyperlink ref="R28" r:id="rId49" display="https://www.hopital.fr/annuaire-siege/centre-hospitalier-universitaire-de-toulouse,716"/>
    <hyperlink ref="L29" r:id="rId50" display="https://recrutement.chu-toulouse.fr"/>
    <hyperlink ref="R29" r:id="rId51" display="https://www.hopital.fr/annuaire-siege/centre-hospitalier-universitaire-de-toulouse,716"/>
    <hyperlink ref="R30" r:id="rId52" display="https://www.pour-les-personnes-agees.gouv.fr/annuaire-ehpad-et-maisons-de-retraite/ehpad/haute-garonne-31/toulouse-31000/ehpad-residence-saint-simon/310003116"/>
    <hyperlink ref="L31" r:id="rId53" display="https://amfpad.fr"/>
    <hyperlink ref="R31" r:id="rId54" display="https://amfpad.fr/"/>
    <hyperlink ref="L32" r:id="rId55" display="https://recrutement.chu-toulouse.fr"/>
    <hyperlink ref="R32" r:id="rId56" display="https://www.chu-toulouse.fr/hopital-de-psychiatrie"/>
    <hyperlink ref="L33" r:id="rId57" display="https://www.clinique-saint-exupery.com/fr/recrutement/"/>
    <hyperlink ref="R33" r:id="rId58" display="https://www.clinique-saint-exupery.com/fr/recrutement/"/>
    <hyperlink ref="L34" r:id="rId59" display="https://www.leboisvert.fr/fr/contact"/>
    <hyperlink ref="R34" r:id="rId60" display="https://www.pour-les-personnes-agees.gouv.fr/annuaire-ehpad-et-maisons-de-retraite/ehpad/haute-garonne-31/toulouse-31100/ehpad-le-bois-vert/310006523"/>
    <hyperlink ref="L35" r:id="rId61" display="https://metropole.toulouse.fr/le-ccas-recrute"/>
    <hyperlink ref="R35" r:id="rId62" display="https://metropole.toulouse.fr/le-ccas-recrute"/>
    <hyperlink ref="R36" r:id="rId63" display="https://www.ch-marchant.fr/web/Gerard_Marchant/11-contact.php"/>
    <hyperlink ref="L37" r:id="rId64" display="https://www.elsan.care/fr/clinique-ambroise-pare-toulouse"/>
    <hyperlink ref="R37" r:id="rId65" display="https://www.elsan.care/fr/clinique-ambroise-pare-toulouse"/>
    <hyperlink ref="L38" r:id="rId66" display="https://clinique-du-parc.ramsaysante.fr/recrutement-nous-rejoindre/nos-offres-demploi"/>
    <hyperlink ref="R38" r:id="rId67" display="https://clinique-du-parc.ramsaysante.fr/recrutement-nous-rejoindre/nos-offres-demploi"/>
    <hyperlink ref="L39" r:id="rId68" display="https://metropole.toulouse.fr/le-ccas-recrute"/>
    <hyperlink ref="R39" r:id="rId69" display="https://www.pour-les-personnes-agees.gouv.fr/annuaire-ehpad-et-maisons-de-retraite/ehpad/haute-garonne-31/toulouse-31000/ehpad-francoise-de-veyrinas/310784798"/>
    <hyperlink ref="L40" r:id="rId70" display="https://metropole.toulouse.fr/le-ccas-recrute"/>
    <hyperlink ref="R40" r:id="rId71" display="https://www.mazette.fr/ehpad/haute-garonne/louis-douste-blazy-toulouse"/>
    <hyperlink ref="L41" r:id="rId72" display="https://senior-compagnie.fr"/>
    <hyperlink ref="R41" r:id="rId73" display="https://senior-compagnie.fr/agence/haute-garonne/aide-a-domicile-a-toulouse-est-ouest/"/>
    <hyperlink ref="L42" r:id="rId74" display="https://www.azae.com"/>
    <hyperlink ref="R42" r:id="rId75" display="https://www.pagesjaunes.fr/pros/50137970"/>
    <hyperlink ref="L43" r:id="rId76" display="https://www.domidom.fr"/>
    <hyperlink ref="R43" r:id="rId77" display="https://aideadomiciletoulouse.com/liste-des-structures-aide-a-domicile-de-la-region-toulousaine-haute-garonne/"/>
    <hyperlink ref="L44" r:id="rId78" display="https://www.o2.fr"/>
    <hyperlink ref="R44" r:id="rId79" display="https://toulouse-ouest.agence.o2.fr/"/>
    <hyperlink ref="L45" r:id="rId80" display="https://www.appelmedical.com/agence/1013/"/>
    <hyperlink ref="R45" r:id="rId81" display="https://www.appelmedical.com/agence/1013/"/>
    <hyperlink ref="L46" r:id="rId82" display="https://www.domusvi.com"/>
    <hyperlink ref="R46" r:id="rId83" display="https://www.domusvi.com/maisons-de-retraite/haute-garonne-31/residence-henri-iv"/>
    <hyperlink ref="R47" r:id="rId84" display="https://www.pour-les-personnes-agees.gouv.fr/annuaire-ehpad-et-maisons-de-retraite/ehpad/haute-garonne-31/toulouse-31000/ehpad-senior-toulouse-tibaous/310020284"/>
    <hyperlink ref="L48" r:id="rId85" display="https://recrutement-icr.iuct-oncopole.fr/"/>
    <hyperlink ref="R48" r:id="rId86" display="https://recrutement-icr.iuct-oncopole.fr/"/>
    <hyperlink ref="L49" r:id="rId87" display="https://recrutement.inicea.fr"/>
    <hyperlink ref="R49" r:id="rId88" display="https://www.inicea.fr/smr/clinique-estela-haute-garonne-31100"/>
    <hyperlink ref="L50" r:id="rId89" display="https://www.adhap.fr"/>
    <hyperlink ref="R50" r:id="rId90" display="https://www.pour-les-personnes-agees.gouv.fr/annuaire-service-aide-accompagnement-domicile/haute-garonne-31/toulouse-31200/adhap-services/310015649"/>
    <hyperlink ref="L51" r:id="rId91" display="https://www.fede31.admr.org/toulouse"/>
    <hyperlink ref="R51" r:id="rId92" display="https://www.fede31.admr.org/toulouse"/>
    <hyperlink ref="L52" r:id="rId93" display="https://edenis.fr"/>
    <hyperlink ref="R52" r:id="rId94" display="https://www.capgeris.com/ehpad/occitanie/haute-garonne/blagnac/ehpad-residence-emeraude-m17948.htm"/>
    <hyperlink ref="L53" r:id="rId95" display="https://les-jardins-de-maniban.edenis.fr"/>
    <hyperlink ref="R53" r:id="rId96" display="https://les-jardins-de-maniban.edenis.fr/la-residence/"/>
    <hyperlink ref="R54" r:id="rId97" display="https://www.etablissementsdesante.fr/etablissement/23397-foyer-de-vie-arche-en-pays-toulousain"/>
    <hyperlink ref="L55" r:id="rId98" display="https://recrutement.inicea.fr"/>
    <hyperlink ref="R55" r:id="rId99" display="https://www.inicea.fr/actualites/inauguration-nouvelle-clinique-de-blagnac-inicea"/>
    <hyperlink ref="L56" r:id="rId100" display="https://www.hublo.com/fr/pool-hublo-soignants"/>
    <hyperlink ref="R56" r:id="rId101" display="https://www.hublo.com/fr/pool-hublo-soignants"/>
    <hyperlink ref="L57" r:id="rId102" display="https://talents.clinique-pasteur.com"/>
    <hyperlink ref="R57" r:id="rId103" display="https://talents.clinique-pasteur.com"/>
    <hyperlink ref="L58" r:id="rId104" display="https://metropole.toulouse.fr/le-ccas-recrute"/>
    <hyperlink ref="R58" r:id="rId105" display="https://www.pour-les-personnes-agees.gouv.fr/annuaire-ehpad-et-maisons-de-retraite/residence-autonomie/haute-garonne-31/toulouse-31000/residence-autonomie-tounis/310786686"/>
    <hyperlink ref="R59" r:id="rId106" display="https://www.pagesjaunes.fr/pros/51251836"/>
    <hyperlink ref="R60" r:id="rId107" display="https://www.pagesjaunes.fr/annuaire/toulouse-31/maisons-de-retraite-privees-ehpad"/>
    <hyperlink ref="L61" r:id="rId108" display="https://www.atsad-ssiad.fr"/>
    <hyperlink ref="R61" r:id="rId109" display="https://www.atsad-ssiad.fr/"/>
    <hyperlink ref="R62" r:id="rId110" display="https://www.sanitaire-social.com/annuaire-soins-et-aide-a-domicile/services-de-soins-infirmiers-a-domicile-ssiad/liste-toulouse-31000"/>
    <hyperlink ref="L63" r:id="rId111" display="https://www.una.fr"/>
    <hyperlink ref="R63" r:id="rId112" display="https://www.pappers.fr/entreprise/una-haute-garonne-499599983"/>
    <hyperlink ref="R64" r:id="rId113" display="https://www.fisaf.asso.fr/adherer-a-la-fisaf/associations-etablissements-services-adherents/item/494-institut-des-jeunes-aveugles-ija-de-toulouse"/>
    <hyperlink ref="L65" r:id="rId114" display="https://metropole.toulouse.fr/le-ccas-recrute"/>
    <hyperlink ref="R65" r:id="rId115" display="https://metropole.toulouse.fr/annuaire/residence-autonomie-sept-deniers"/>
    <hyperlink ref="L66" r:id="rId116" display="https://www.arseaa.org/pole-enfances-plurielles"/>
    <hyperlink ref="R66" r:id="rId117" display="https://www.arseaa.org/pole-enfances-plurielles"/>
    <hyperlink ref="L67" r:id="rId118" display="https://www.sante-relais-domicile.fr/recrutement"/>
    <hyperlink ref="R67" r:id="rId119" display="https://www.sante-relais-domicile.fr/recrutement"/>
    <hyperlink ref="L68" r:id="rId120" display="https://www.domusvi.com"/>
    <hyperlink ref="R68" r:id="rId121" display="https://www.pour-les-personnes-agees.gouv.fr/annuaire-ehpad-et-comparateur-de-prix-et-restes-a-charge?ci=31069&amp;cp=31700"/>
    <hyperlink ref="L69" r:id="rId122" display="https://www.domusvi.com"/>
    <hyperlink ref="R69" r:id="rId123" display="https://www.domusvi.com/maisons-de-retraite/haute-garonne-31/residence-de-vinci"/>
    <hyperlink ref="L70" r:id="rId124" display="https://grand-marquisat.edenis.fr"/>
    <hyperlink ref="R70" r:id="rId125" display="https://grand-marquisat.edenis.fr/la-residence/"/>
    <hyperlink ref="L71" r:id="rId126" display="https://www.mairie-tournefeuille.fr"/>
    <hyperlink ref="R71" r:id="rId127" display="https://www.mairie-tournefeuille.fr/service/residence-doc/"/>
    <hyperlink ref="R72" r:id="rId128" display="https://www.pour-les-personnes-agees.gouv.fr/annuaire-ehpad-et-maisons-de-retraite/ehpad/haute-garonne-31/colomiers-31770/domaine-du-valier/310782461"/>
    <hyperlink ref="L73" r:id="rId129" display="https://www.vitalis-medical.com"/>
    <hyperlink ref="R73" r:id="rId130" display="https://www.vitalis-medical.com/agence-interim-recrutement/agence-interim-recrutement-emploi-medical-toulouse.html"/>
    <hyperlink ref="L74" r:id="rId131" display="https://mediflash.fr/inscription-soignants/"/>
    <hyperlink ref="R74" r:id="rId132" display="https://mediflash.fr/inscription-soigna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3"/>
  <legacyDrawing r:id="rId13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B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4" min="3" style="0" width="14"/>
    <col collapsed="false" customWidth="true" hidden="false" outlineLevel="0" max="5" min="5" style="0" width="3"/>
    <col collapsed="false" customWidth="true" hidden="false" outlineLevel="0" max="6" min="6" style="0" width="42"/>
    <col collapsed="false" customWidth="true" hidden="false" outlineLevel="0" max="7" min="7" style="0" width="14"/>
  </cols>
  <sheetData>
    <row r="1" customFormat="false" ht="17.35" hidden="false" customHeight="false" outlineLevel="0" collapsed="false">
      <c r="B1" s="1" t="s">
        <v>648</v>
      </c>
    </row>
    <row r="2" customFormat="false" ht="15" hidden="false" customHeight="false" outlineLevel="0" collapsed="false">
      <c r="B2" s="2" t="s">
        <v>649</v>
      </c>
    </row>
    <row r="4" customFormat="false" ht="15" hidden="false" customHeight="false" outlineLevel="0" collapsed="false">
      <c r="B4" s="16" t="s">
        <v>650</v>
      </c>
      <c r="C4" s="16" t="s">
        <v>651</v>
      </c>
      <c r="F4" s="16" t="s">
        <v>652</v>
      </c>
      <c r="G4" s="16" t="s">
        <v>653</v>
      </c>
    </row>
    <row r="5" customFormat="false" ht="15" hidden="false" customHeight="false" outlineLevel="0" collapsed="false">
      <c r="B5" s="17" t="s">
        <v>654</v>
      </c>
      <c r="C5" s="17" t="n">
        <f aca="false">COUNTA(Prospection!$B$2:$B$300)</f>
        <v>73</v>
      </c>
      <c r="F5" s="17" t="s">
        <v>155</v>
      </c>
      <c r="G5" s="17" t="n">
        <f aca="false">COUNTIF(Prospection!$C$2:$C$300,F5)</f>
        <v>10</v>
      </c>
    </row>
    <row r="6" customFormat="false" ht="15" hidden="false" customHeight="false" outlineLevel="0" collapsed="false">
      <c r="B6" s="17" t="s">
        <v>655</v>
      </c>
      <c r="C6" s="17" t="n">
        <f aca="false">COUNTIF(Prospection!$P$2:$P$300,1)</f>
        <v>18</v>
      </c>
      <c r="F6" s="17" t="s">
        <v>80</v>
      </c>
      <c r="G6" s="17" t="n">
        <f aca="false">COUNTIF(Prospection!$C$2:$C$300,F6)</f>
        <v>9</v>
      </c>
    </row>
    <row r="7" customFormat="false" ht="15" hidden="false" customHeight="false" outlineLevel="0" collapsed="false">
      <c r="B7" s="17" t="s">
        <v>656</v>
      </c>
      <c r="C7" s="17" t="n">
        <f aca="false">COUNTIFS(Prospection!$B$2:$B$300,"&lt;&gt;",Prospection!$S$2:$S$300,"&lt;&gt;À contacter")</f>
        <v>0</v>
      </c>
      <c r="F7" s="17" t="s">
        <v>109</v>
      </c>
      <c r="G7" s="17" t="n">
        <f aca="false">COUNTIF(Prospection!$C$2:$C$300,F7)</f>
        <v>23</v>
      </c>
    </row>
    <row r="8" customFormat="false" ht="15" hidden="false" customHeight="false" outlineLevel="0" collapsed="false">
      <c r="B8" s="17" t="s">
        <v>657</v>
      </c>
      <c r="C8" s="18" t="n">
        <f aca="false">IF(C5=0,0,C7/C5)</f>
        <v>0</v>
      </c>
      <c r="F8" s="17" t="s">
        <v>96</v>
      </c>
      <c r="G8" s="17" t="n">
        <f aca="false">COUNTIF(Prospection!$C$2:$C$300,F8)</f>
        <v>18</v>
      </c>
    </row>
    <row r="9" customFormat="false" ht="15" hidden="false" customHeight="false" outlineLevel="0" collapsed="false">
      <c r="B9" s="17" t="s">
        <v>658</v>
      </c>
      <c r="C9" s="19" t="n">
        <f aca="true">COUNTIFS(Prospection!$X$2:$X$300,"&lt;"&amp;TODAY(),Prospection!$S$2:$S$300,"&lt;&gt;Clos",Prospection!$S$2:$S$300,"&lt;&gt;Embauche / positif",Prospection!$S$2:$S$300,"&lt;&gt;Réponse négative")</f>
        <v>0</v>
      </c>
      <c r="F9" s="17" t="s">
        <v>238</v>
      </c>
      <c r="G9" s="17" t="n">
        <f aca="false">COUNTIF(Prospection!$C$2:$C$300,F9)</f>
        <v>5</v>
      </c>
    </row>
    <row r="10" customFormat="false" ht="15" hidden="false" customHeight="false" outlineLevel="0" collapsed="false">
      <c r="B10" s="17" t="s">
        <v>659</v>
      </c>
      <c r="C10" s="17" t="n">
        <f aca="true">COUNTIFS(Prospection!$X$2:$X$300,"&gt;="&amp;TODAY(),Prospection!$X$2:$X$300,"&lt;="&amp;TODAY()+7)</f>
        <v>0</v>
      </c>
      <c r="F10" s="17" t="s">
        <v>143</v>
      </c>
      <c r="G10" s="17" t="n">
        <f aca="false">COUNTIF(Prospection!$C$2:$C$300,F10)</f>
        <v>8</v>
      </c>
    </row>
    <row r="11" customFormat="false" ht="15" hidden="false" customHeight="false" outlineLevel="0" collapsed="false">
      <c r="B11" s="17" t="s">
        <v>660</v>
      </c>
      <c r="C11" s="17" t="n">
        <f aca="false">COUNTIF(Prospection!$S$2:$S$300,"Entretien")</f>
        <v>0</v>
      </c>
      <c r="F11" s="20" t="s">
        <v>661</v>
      </c>
      <c r="G11" s="20" t="n">
        <f aca="false">SUM(G5:G10)</f>
        <v>73</v>
      </c>
    </row>
    <row r="12" customFormat="false" ht="15" hidden="false" customHeight="false" outlineLevel="0" collapsed="false">
      <c r="B12" s="17" t="s">
        <v>662</v>
      </c>
      <c r="C12" s="21" t="n">
        <f aca="false">COUNTIF(Prospection!$S$2:$S$300,"Embauche / positif")</f>
        <v>0</v>
      </c>
    </row>
    <row r="14" customFormat="false" ht="15" hidden="false" customHeight="false" outlineLevel="0" collapsed="false">
      <c r="B14" s="16" t="s">
        <v>663</v>
      </c>
      <c r="C14" s="16" t="s">
        <v>653</v>
      </c>
      <c r="D14" s="16" t="s">
        <v>664</v>
      </c>
      <c r="F14" s="16" t="s">
        <v>665</v>
      </c>
      <c r="G14" s="16" t="s">
        <v>653</v>
      </c>
    </row>
    <row r="15" customFormat="false" ht="15" hidden="false" customHeight="false" outlineLevel="0" collapsed="false">
      <c r="B15" s="17" t="s">
        <v>94</v>
      </c>
      <c r="C15" s="17" t="n">
        <f aca="false">COUNTIF(Prospection!$S$2:$S$300,B15)</f>
        <v>73</v>
      </c>
      <c r="D15" s="18" t="n">
        <f aca="false">IF($C$5=0,0,C15/$C$5)</f>
        <v>1</v>
      </c>
      <c r="F15" s="17" t="s">
        <v>666</v>
      </c>
      <c r="G15" s="17" t="n">
        <f aca="false">COUNTIF(Prospection!$P$2:$P$300,1)</f>
        <v>18</v>
      </c>
    </row>
    <row r="16" customFormat="false" ht="15" hidden="false" customHeight="false" outlineLevel="0" collapsed="false">
      <c r="B16" s="17" t="s">
        <v>667</v>
      </c>
      <c r="C16" s="17" t="n">
        <f aca="false">COUNTIF(Prospection!$S$2:$S$300,B16)</f>
        <v>0</v>
      </c>
      <c r="D16" s="18" t="n">
        <f aca="false">IF($C$5=0,0,C16/$C$5)</f>
        <v>0</v>
      </c>
      <c r="F16" s="17" t="s">
        <v>668</v>
      </c>
      <c r="G16" s="17" t="n">
        <f aca="false">COUNTIF(Prospection!$P$2:$P$300,2)</f>
        <v>37</v>
      </c>
    </row>
    <row r="17" customFormat="false" ht="15" hidden="false" customHeight="false" outlineLevel="0" collapsed="false">
      <c r="B17" s="17" t="s">
        <v>669</v>
      </c>
      <c r="C17" s="17" t="n">
        <f aca="false">COUNTIF(Prospection!$S$2:$S$300,B17)</f>
        <v>0</v>
      </c>
      <c r="D17" s="18" t="n">
        <f aca="false">IF($C$5=0,0,C17/$C$5)</f>
        <v>0</v>
      </c>
      <c r="F17" s="17" t="s">
        <v>670</v>
      </c>
      <c r="G17" s="17" t="n">
        <f aca="false">COUNTIF(Prospection!$P$2:$P$300,3)</f>
        <v>18</v>
      </c>
    </row>
    <row r="18" customFormat="false" ht="15" hidden="false" customHeight="false" outlineLevel="0" collapsed="false">
      <c r="B18" s="17" t="s">
        <v>671</v>
      </c>
      <c r="C18" s="17" t="n">
        <f aca="false">COUNTIF(Prospection!$S$2:$S$300,B18)</f>
        <v>0</v>
      </c>
      <c r="D18" s="18" t="n">
        <f aca="false">IF($C$5=0,0,C18/$C$5)</f>
        <v>0</v>
      </c>
    </row>
    <row r="19" customFormat="false" ht="15" hidden="false" customHeight="false" outlineLevel="0" collapsed="false">
      <c r="B19" s="17" t="s">
        <v>672</v>
      </c>
      <c r="C19" s="17" t="n">
        <f aca="false">COUNTIF(Prospection!$S$2:$S$300,B19)</f>
        <v>0</v>
      </c>
      <c r="D19" s="18" t="n">
        <f aca="false">IF($C$5=0,0,C19/$C$5)</f>
        <v>0</v>
      </c>
      <c r="F19" s="16" t="s">
        <v>673</v>
      </c>
      <c r="G19" s="16" t="s">
        <v>653</v>
      </c>
    </row>
    <row r="20" customFormat="false" ht="15" hidden="false" customHeight="false" outlineLevel="0" collapsed="false">
      <c r="B20" s="17" t="s">
        <v>674</v>
      </c>
      <c r="C20" s="17" t="n">
        <f aca="false">COUNTIF(Prospection!$S$2:$S$300,B20)</f>
        <v>0</v>
      </c>
      <c r="D20" s="18" t="n">
        <f aca="false">IF($C$5=0,0,C20/$C$5)</f>
        <v>0</v>
      </c>
      <c r="F20" s="17" t="s">
        <v>117</v>
      </c>
      <c r="G20" s="17" t="n">
        <f aca="false">COUNTIF(Prospection!$O$2:$O$300,F20)</f>
        <v>23</v>
      </c>
    </row>
    <row r="21" customFormat="false" ht="15" hidden="false" customHeight="false" outlineLevel="0" collapsed="false">
      <c r="B21" s="17" t="s">
        <v>675</v>
      </c>
      <c r="C21" s="17" t="n">
        <f aca="false">COUNTIF(Prospection!$S$2:$S$300,B21)</f>
        <v>0</v>
      </c>
      <c r="D21" s="18" t="n">
        <f aca="false">IF($C$5=0,0,C21/$C$5)</f>
        <v>0</v>
      </c>
      <c r="F21" s="17" t="s">
        <v>91</v>
      </c>
      <c r="G21" s="17" t="n">
        <f aca="false">COUNTIF(Prospection!$O$2:$O$300,F21)</f>
        <v>19</v>
      </c>
    </row>
    <row r="22" customFormat="false" ht="15" hidden="false" customHeight="false" outlineLevel="0" collapsed="false">
      <c r="B22" s="20" t="s">
        <v>661</v>
      </c>
      <c r="C22" s="20" t="n">
        <f aca="false">SUM(C15:C21)</f>
        <v>73</v>
      </c>
      <c r="D22" s="22" t="n">
        <f aca="false">SUM(D15:D21)</f>
        <v>1</v>
      </c>
      <c r="F22" s="17" t="s">
        <v>105</v>
      </c>
      <c r="G22" s="17" t="n">
        <f aca="false">COUNTIF(Prospection!$O$2:$O$300,F22)</f>
        <v>13</v>
      </c>
    </row>
    <row r="23" customFormat="false" ht="15" hidden="false" customHeight="false" outlineLevel="0" collapsed="false">
      <c r="F23" s="17" t="s">
        <v>246</v>
      </c>
      <c r="G23" s="17" t="n">
        <f aca="false">COUNTIF(Prospection!$O$2:$O$300,F23)</f>
        <v>5</v>
      </c>
    </row>
    <row r="24" customFormat="false" ht="15" hidden="false" customHeight="false" outlineLevel="0" collapsed="false">
      <c r="F24" s="17" t="s">
        <v>151</v>
      </c>
      <c r="G24" s="17" t="n">
        <f aca="false">COUNTIF(Prospection!$O$2:$O$300,F24)</f>
        <v>8</v>
      </c>
    </row>
    <row r="25" customFormat="false" ht="15" hidden="false" customHeight="false" outlineLevel="0" collapsed="false">
      <c r="F25" s="17" t="s">
        <v>264</v>
      </c>
      <c r="G25" s="17" t="n">
        <f aca="false">COUNTIF(Prospection!$O$2:$O$300,F25)</f>
        <v>5</v>
      </c>
    </row>
    <row r="27" customFormat="false" ht="15" hidden="false" customHeight="false" outlineLevel="0" collapsed="false">
      <c r="F27" s="23" t="s">
        <v>676</v>
      </c>
      <c r="G27" s="24" t="n">
        <f aca="true">TODAY()</f>
        <v>46295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60"/>
    <col collapsed="false" customWidth="true" hidden="false" outlineLevel="0" max="4" min="4" style="0" width="50"/>
    <col collapsed="false" customWidth="true" hidden="false" outlineLevel="0" max="5" min="5" style="0" width="42"/>
    <col collapsed="false" customWidth="true" hidden="false" outlineLevel="0" max="6" min="6" style="0" width="40"/>
    <col collapsed="false" customWidth="true" hidden="false" outlineLevel="0" max="7" min="7" style="0" width="32"/>
    <col collapsed="false" customWidth="true" hidden="false" outlineLevel="0" max="8" min="8" style="0" width="40"/>
    <col collapsed="false" customWidth="true" hidden="false" outlineLevel="0" max="9" min="9" style="0" width="14"/>
    <col collapsed="false" customWidth="true" hidden="false" outlineLevel="0" max="10" min="10" style="0" width="30"/>
  </cols>
  <sheetData>
    <row r="1" customFormat="false" ht="31.5" hidden="false" customHeight="true" outlineLevel="0" collapsed="false">
      <c r="A1" s="9" t="s">
        <v>677</v>
      </c>
      <c r="B1" s="9" t="s">
        <v>678</v>
      </c>
      <c r="C1" s="9" t="s">
        <v>679</v>
      </c>
      <c r="D1" s="9" t="s">
        <v>680</v>
      </c>
      <c r="E1" s="9" t="s">
        <v>681</v>
      </c>
      <c r="F1" s="9" t="s">
        <v>682</v>
      </c>
      <c r="G1" s="9" t="s">
        <v>683</v>
      </c>
      <c r="H1" s="9" t="s">
        <v>71</v>
      </c>
      <c r="I1" s="10" t="s">
        <v>684</v>
      </c>
      <c r="J1" s="10" t="s">
        <v>685</v>
      </c>
    </row>
    <row r="2" customFormat="false" ht="64.5" hidden="false" customHeight="true" outlineLevel="0" collapsed="false">
      <c r="A2" s="11" t="s">
        <v>686</v>
      </c>
      <c r="B2" s="5" t="s">
        <v>687</v>
      </c>
      <c r="C2" s="6" t="s">
        <v>688</v>
      </c>
      <c r="D2" s="6" t="s">
        <v>689</v>
      </c>
      <c r="E2" s="6" t="s">
        <v>690</v>
      </c>
      <c r="F2" s="6" t="s">
        <v>691</v>
      </c>
      <c r="G2" s="6" t="s">
        <v>104</v>
      </c>
      <c r="H2" s="13" t="s">
        <v>692</v>
      </c>
      <c r="I2" s="14" t="s">
        <v>693</v>
      </c>
      <c r="J2" s="14"/>
    </row>
    <row r="3" customFormat="false" ht="64.5" hidden="false" customHeight="true" outlineLevel="0" collapsed="false">
      <c r="A3" s="11" t="s">
        <v>694</v>
      </c>
      <c r="B3" s="5" t="s">
        <v>695</v>
      </c>
      <c r="C3" s="6" t="s">
        <v>696</v>
      </c>
      <c r="D3" s="6" t="s">
        <v>697</v>
      </c>
      <c r="E3" s="6" t="s">
        <v>698</v>
      </c>
      <c r="F3" s="6" t="s">
        <v>699</v>
      </c>
      <c r="G3" s="6" t="s">
        <v>700</v>
      </c>
      <c r="H3" s="13" t="s">
        <v>701</v>
      </c>
      <c r="I3" s="14" t="s">
        <v>693</v>
      </c>
      <c r="J3" s="14"/>
    </row>
    <row r="4" customFormat="false" ht="78" hidden="false" customHeight="true" outlineLevel="0" collapsed="false">
      <c r="A4" s="11" t="s">
        <v>702</v>
      </c>
      <c r="B4" s="5" t="s">
        <v>703</v>
      </c>
      <c r="C4" s="6" t="s">
        <v>704</v>
      </c>
      <c r="D4" s="6" t="s">
        <v>705</v>
      </c>
      <c r="E4" s="6" t="s">
        <v>706</v>
      </c>
      <c r="F4" s="6" t="s">
        <v>707</v>
      </c>
      <c r="G4" s="6" t="s">
        <v>708</v>
      </c>
      <c r="H4" s="13" t="s">
        <v>709</v>
      </c>
      <c r="I4" s="14" t="s">
        <v>693</v>
      </c>
      <c r="J4" s="14"/>
    </row>
    <row r="5" customFormat="false" ht="90.75" hidden="false" customHeight="true" outlineLevel="0" collapsed="false">
      <c r="A5" s="11" t="s">
        <v>710</v>
      </c>
      <c r="B5" s="5" t="s">
        <v>711</v>
      </c>
      <c r="C5" s="6" t="s">
        <v>712</v>
      </c>
      <c r="D5" s="6" t="s">
        <v>713</v>
      </c>
      <c r="E5" s="6" t="s">
        <v>714</v>
      </c>
      <c r="F5" s="6" t="s">
        <v>715</v>
      </c>
      <c r="G5" s="6" t="s">
        <v>716</v>
      </c>
      <c r="H5" s="13" t="s">
        <v>717</v>
      </c>
      <c r="I5" s="14" t="s">
        <v>693</v>
      </c>
      <c r="J5" s="14"/>
    </row>
    <row r="6" customFormat="false" ht="90.75" hidden="false" customHeight="true" outlineLevel="0" collapsed="false">
      <c r="A6" s="11" t="s">
        <v>718</v>
      </c>
      <c r="B6" s="5" t="s">
        <v>719</v>
      </c>
      <c r="C6" s="6" t="s">
        <v>720</v>
      </c>
      <c r="D6" s="6" t="s">
        <v>721</v>
      </c>
      <c r="E6" s="6" t="s">
        <v>722</v>
      </c>
      <c r="F6" s="6" t="s">
        <v>723</v>
      </c>
      <c r="G6" s="6" t="s">
        <v>724</v>
      </c>
      <c r="H6" s="13" t="s">
        <v>725</v>
      </c>
      <c r="I6" s="14" t="s">
        <v>693</v>
      </c>
      <c r="J6" s="14"/>
    </row>
    <row r="7" customFormat="false" ht="78" hidden="false" customHeight="true" outlineLevel="0" collapsed="false">
      <c r="A7" s="11" t="s">
        <v>726</v>
      </c>
      <c r="B7" s="5" t="s">
        <v>727</v>
      </c>
      <c r="C7" s="6" t="s">
        <v>728</v>
      </c>
      <c r="D7" s="6" t="s">
        <v>729</v>
      </c>
      <c r="E7" s="6" t="s">
        <v>730</v>
      </c>
      <c r="F7" s="6" t="s">
        <v>104</v>
      </c>
      <c r="G7" s="6" t="s">
        <v>104</v>
      </c>
      <c r="H7" s="13" t="s">
        <v>731</v>
      </c>
      <c r="I7" s="14" t="s">
        <v>693</v>
      </c>
      <c r="J7" s="14"/>
    </row>
    <row r="8" customFormat="false" ht="90.75" hidden="false" customHeight="true" outlineLevel="0" collapsed="false">
      <c r="A8" s="11" t="s">
        <v>732</v>
      </c>
      <c r="B8" s="5" t="s">
        <v>733</v>
      </c>
      <c r="C8" s="6" t="s">
        <v>734</v>
      </c>
      <c r="D8" s="6" t="s">
        <v>735</v>
      </c>
      <c r="E8" s="6" t="s">
        <v>736</v>
      </c>
      <c r="F8" s="6" t="s">
        <v>737</v>
      </c>
      <c r="G8" s="6" t="s">
        <v>104</v>
      </c>
      <c r="H8" s="13" t="s">
        <v>738</v>
      </c>
      <c r="I8" s="14" t="s">
        <v>693</v>
      </c>
      <c r="J8" s="14"/>
    </row>
    <row r="9" customFormat="false" ht="78" hidden="false" customHeight="true" outlineLevel="0" collapsed="false">
      <c r="A9" s="11" t="s">
        <v>739</v>
      </c>
      <c r="B9" s="5" t="s">
        <v>740</v>
      </c>
      <c r="C9" s="6" t="s">
        <v>741</v>
      </c>
      <c r="D9" s="6" t="s">
        <v>742</v>
      </c>
      <c r="E9" s="6" t="s">
        <v>743</v>
      </c>
      <c r="F9" s="6" t="s">
        <v>744</v>
      </c>
      <c r="G9" s="6" t="s">
        <v>745</v>
      </c>
      <c r="H9" s="13" t="s">
        <v>746</v>
      </c>
      <c r="I9" s="14" t="s">
        <v>693</v>
      </c>
      <c r="J9" s="14"/>
    </row>
    <row r="10" customFormat="false" ht="90.75" hidden="false" customHeight="true" outlineLevel="0" collapsed="false">
      <c r="A10" s="11" t="s">
        <v>747</v>
      </c>
      <c r="B10" s="5" t="s">
        <v>748</v>
      </c>
      <c r="C10" s="6" t="s">
        <v>749</v>
      </c>
      <c r="D10" s="6" t="s">
        <v>750</v>
      </c>
      <c r="E10" s="6" t="s">
        <v>751</v>
      </c>
      <c r="F10" s="6" t="s">
        <v>752</v>
      </c>
      <c r="G10" s="6" t="s">
        <v>753</v>
      </c>
      <c r="H10" s="13" t="s">
        <v>754</v>
      </c>
      <c r="I10" s="14" t="s">
        <v>693</v>
      </c>
      <c r="J10" s="14"/>
    </row>
    <row r="11" customFormat="false" ht="78" hidden="false" customHeight="true" outlineLevel="0" collapsed="false">
      <c r="A11" s="11" t="s">
        <v>755</v>
      </c>
      <c r="B11" s="5" t="s">
        <v>756</v>
      </c>
      <c r="C11" s="6" t="s">
        <v>757</v>
      </c>
      <c r="D11" s="6" t="s">
        <v>758</v>
      </c>
      <c r="E11" s="6" t="s">
        <v>759</v>
      </c>
      <c r="F11" s="6" t="s">
        <v>760</v>
      </c>
      <c r="G11" s="6" t="s">
        <v>761</v>
      </c>
      <c r="H11" s="13" t="s">
        <v>762</v>
      </c>
      <c r="I11" s="14" t="s">
        <v>693</v>
      </c>
      <c r="J11" s="14"/>
    </row>
  </sheetData>
  <conditionalFormatting sqref="I2:I11">
    <cfRule type="cellIs" priority="2" operator="equal" aboveAverage="0" equalAverage="0" bottom="0" percent="0" rank="0" text="" dxfId="14">
      <formula>"Oui"</formula>
    </cfRule>
    <cfRule type="cellIs" priority="3" operator="equal" aboveAverage="0" equalAverage="0" bottom="0" percent="0" rank="0" text="" dxfId="12">
      <formula>"En cours"</formula>
    </cfRule>
  </conditionalFormatting>
  <dataValidations count="1">
    <dataValidation allowBlank="true" errorStyle="stop" operator="between" showDropDown="false" showErrorMessage="false" showInputMessage="false" sqref="I2:I11" type="list">
      <formula1>"Oui,En cours,Non"</formula1>
      <formula2>0</formula2>
    </dataValidation>
  </dataValidations>
  <hyperlinks>
    <hyperlink ref="H2" r:id="rId1" display="https://bourgogne-franche-comte.dreets.gouv.fr/Dispositif-de-reconnaissance-des-diplomes-paramedicaux"/>
    <hyperlink ref="H3" r:id="rId2" display="https://echosante.info/authentification-des-diplomes-le-minsante-opte-pour-un-code-barre/"/>
    <hyperlink ref="H4" r:id="rId3" display="https://www.service-public.gouv.fr/particuliers/vosdroits/R38515"/>
    <hyperlink ref="H5" r:id="rId4" display="https://www.croix-rouge.fr/formation-professionnelle/agent-des-services-hospitaliers-ash-renfort-aux-aides-soignants"/>
    <hyperlink ref="H6" r:id="rId5" display="https://www.service-public.gouv.fr/particuliers/vosdroits/F2728"/>
    <hyperlink ref="H7" r:id="rId6" display="https://www.entreprises-occitanie.com/actualites/occitanie-35-metiers-en-tension-dans-la-nouvelle-liste-nationale"/>
    <hyperlink ref="H8" r:id="rId7" display="https://code.travail.gouv.fr/code-du-travail/r5221-2"/>
    <hyperlink ref="H9" r:id="rId8" display="https://www.service-public.gouv.fr/particuliers/vosdroits/F16053"/>
    <hyperlink ref="H10" r:id="rId9" display="https://vae.gouv.fr"/>
    <hyperlink ref="H11" r:id="rId10" display="https://www.anfh.fr/actualites/deas-et-deap-nouvelles-modifications-des-conditions-d-acces-aux-forma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2" min="2" style="0" width="20"/>
    <col collapsed="false" customWidth="true" hidden="false" outlineLevel="0" max="3" min="3" style="0" width="44"/>
    <col collapsed="false" customWidth="true" hidden="false" outlineLevel="0" max="4" min="4" style="0" width="24"/>
    <col collapsed="false" customWidth="true" hidden="false" outlineLevel="0" max="5" min="5" style="0" width="36"/>
    <col collapsed="false" customWidth="true" hidden="false" outlineLevel="0" max="6" min="6" style="0" width="44"/>
    <col collapsed="false" customWidth="true" hidden="false" outlineLevel="0" max="7" min="7" style="0" width="40"/>
    <col collapsed="false" customWidth="true" hidden="false" outlineLevel="0" max="8" min="8" style="0" width="22"/>
    <col collapsed="false" customWidth="true" hidden="false" outlineLevel="0" max="9" min="9" style="0" width="55"/>
    <col collapsed="false" customWidth="true" hidden="false" outlineLevel="0" max="10" min="10" style="0" width="30"/>
  </cols>
  <sheetData>
    <row r="1" customFormat="false" ht="31.5" hidden="false" customHeight="true" outlineLevel="0" collapsed="false">
      <c r="A1" s="9" t="s">
        <v>763</v>
      </c>
      <c r="B1" s="9" t="s">
        <v>764</v>
      </c>
      <c r="C1" s="9" t="s">
        <v>60</v>
      </c>
      <c r="D1" s="9" t="s">
        <v>64</v>
      </c>
      <c r="E1" s="9" t="s">
        <v>765</v>
      </c>
      <c r="F1" s="9" t="s">
        <v>766</v>
      </c>
      <c r="G1" s="9" t="s">
        <v>767</v>
      </c>
      <c r="H1" s="9" t="s">
        <v>768</v>
      </c>
      <c r="I1" s="9" t="s">
        <v>70</v>
      </c>
      <c r="J1" s="10" t="s">
        <v>769</v>
      </c>
    </row>
    <row r="2" customFormat="false" ht="39.75" hidden="false" customHeight="true" outlineLevel="0" collapsed="false">
      <c r="A2" s="5" t="s">
        <v>770</v>
      </c>
      <c r="B2" s="6" t="s">
        <v>771</v>
      </c>
      <c r="C2" s="6" t="s">
        <v>772</v>
      </c>
      <c r="D2" s="6" t="s">
        <v>773</v>
      </c>
      <c r="E2" s="6" t="s">
        <v>774</v>
      </c>
      <c r="F2" s="13" t="s">
        <v>775</v>
      </c>
      <c r="G2" s="6" t="s">
        <v>776</v>
      </c>
      <c r="H2" s="6" t="s">
        <v>777</v>
      </c>
      <c r="I2" s="6" t="s">
        <v>778</v>
      </c>
      <c r="J2" s="25"/>
    </row>
    <row r="3" customFormat="false" ht="39.75" hidden="false" customHeight="true" outlineLevel="0" collapsed="false">
      <c r="A3" s="5" t="s">
        <v>779</v>
      </c>
      <c r="B3" s="6" t="s">
        <v>780</v>
      </c>
      <c r="C3" s="6" t="s">
        <v>781</v>
      </c>
      <c r="D3" s="6" t="s">
        <v>782</v>
      </c>
      <c r="E3" s="6" t="s">
        <v>783</v>
      </c>
      <c r="F3" s="13" t="s">
        <v>784</v>
      </c>
      <c r="G3" s="6" t="s">
        <v>785</v>
      </c>
      <c r="H3" s="6" t="s">
        <v>786</v>
      </c>
      <c r="I3" s="6" t="s">
        <v>787</v>
      </c>
      <c r="J3" s="25"/>
    </row>
    <row r="4" customFormat="false" ht="39.75" hidden="false" customHeight="true" outlineLevel="0" collapsed="false">
      <c r="A4" s="5" t="s">
        <v>788</v>
      </c>
      <c r="B4" s="6" t="s">
        <v>780</v>
      </c>
      <c r="C4" s="6" t="s">
        <v>789</v>
      </c>
      <c r="D4" s="6" t="s">
        <v>790</v>
      </c>
      <c r="E4" s="6" t="s">
        <v>791</v>
      </c>
      <c r="F4" s="13" t="s">
        <v>792</v>
      </c>
      <c r="G4" s="6" t="s">
        <v>793</v>
      </c>
      <c r="H4" s="6" t="s">
        <v>89</v>
      </c>
      <c r="I4" s="6" t="s">
        <v>794</v>
      </c>
      <c r="J4" s="25"/>
    </row>
    <row r="5" customFormat="false" ht="39.75" hidden="false" customHeight="true" outlineLevel="0" collapsed="false">
      <c r="A5" s="5" t="s">
        <v>795</v>
      </c>
      <c r="B5" s="6" t="s">
        <v>796</v>
      </c>
      <c r="C5" s="6" t="s">
        <v>797</v>
      </c>
      <c r="D5" s="6" t="s">
        <v>798</v>
      </c>
      <c r="E5" s="6" t="s">
        <v>799</v>
      </c>
      <c r="F5" s="6" t="s">
        <v>89</v>
      </c>
      <c r="G5" s="6" t="s">
        <v>800</v>
      </c>
      <c r="H5" s="6" t="s">
        <v>801</v>
      </c>
      <c r="I5" s="6" t="s">
        <v>802</v>
      </c>
      <c r="J5" s="25"/>
    </row>
    <row r="6" customFormat="false" ht="39.75" hidden="false" customHeight="true" outlineLevel="0" collapsed="false">
      <c r="A6" s="5" t="s">
        <v>803</v>
      </c>
      <c r="B6" s="6" t="s">
        <v>804</v>
      </c>
      <c r="C6" s="6" t="s">
        <v>805</v>
      </c>
      <c r="D6" s="6" t="s">
        <v>806</v>
      </c>
      <c r="E6" s="6" t="s">
        <v>807</v>
      </c>
      <c r="F6" s="6" t="s">
        <v>89</v>
      </c>
      <c r="G6" s="6" t="s">
        <v>808</v>
      </c>
      <c r="H6" s="6" t="s">
        <v>809</v>
      </c>
      <c r="I6" s="6" t="s">
        <v>810</v>
      </c>
      <c r="J6" s="25"/>
    </row>
    <row r="8" customFormat="false" ht="15" hidden="false" customHeight="false" outlineLevel="0" collapsed="false">
      <c r="A8" s="26" t="s">
        <v>811</v>
      </c>
    </row>
    <row r="9" customFormat="false" ht="18" hidden="false" customHeight="true" outlineLevel="0" collapsed="false">
      <c r="A9" s="27" t="s">
        <v>812</v>
      </c>
      <c r="B9" s="27"/>
      <c r="C9" s="27"/>
      <c r="D9" s="27"/>
      <c r="E9" s="27"/>
      <c r="F9" s="27"/>
      <c r="G9" s="27"/>
      <c r="H9" s="27"/>
      <c r="I9" s="27"/>
    </row>
    <row r="10" customFormat="false" ht="18" hidden="false" customHeight="true" outlineLevel="0" collapsed="false">
      <c r="A10" s="27" t="s">
        <v>813</v>
      </c>
      <c r="B10" s="27"/>
      <c r="C10" s="27"/>
      <c r="D10" s="27"/>
      <c r="E10" s="27"/>
      <c r="F10" s="27"/>
      <c r="G10" s="27"/>
      <c r="H10" s="27"/>
      <c r="I10" s="27"/>
    </row>
    <row r="11" customFormat="false" ht="18" hidden="false" customHeight="true" outlineLevel="0" collapsed="false">
      <c r="A11" s="27" t="s">
        <v>814</v>
      </c>
      <c r="B11" s="27"/>
      <c r="C11" s="27"/>
      <c r="D11" s="27"/>
      <c r="E11" s="27"/>
      <c r="F11" s="27"/>
      <c r="G11" s="27"/>
      <c r="H11" s="27"/>
      <c r="I11" s="27"/>
    </row>
    <row r="12" customFormat="false" ht="18" hidden="false" customHeight="true" outlineLevel="0" collapsed="false">
      <c r="A12" s="27" t="s">
        <v>815</v>
      </c>
      <c r="B12" s="27"/>
      <c r="C12" s="27"/>
      <c r="D12" s="27"/>
      <c r="E12" s="27"/>
      <c r="F12" s="27"/>
      <c r="G12" s="27"/>
      <c r="H12" s="27"/>
      <c r="I12" s="27"/>
    </row>
    <row r="13" customFormat="false" ht="18" hidden="false" customHeight="true" outlineLevel="0" collapsed="false">
      <c r="A13" s="27" t="s">
        <v>816</v>
      </c>
      <c r="B13" s="27"/>
      <c r="C13" s="27"/>
      <c r="D13" s="27"/>
      <c r="E13" s="27"/>
      <c r="F13" s="27"/>
      <c r="G13" s="27"/>
      <c r="H13" s="27"/>
      <c r="I13" s="27"/>
    </row>
  </sheetData>
  <mergeCells count="5">
    <mergeCell ref="A9:I9"/>
    <mergeCell ref="A10:I10"/>
    <mergeCell ref="A11:I11"/>
    <mergeCell ref="A12:I12"/>
    <mergeCell ref="A13:I13"/>
  </mergeCells>
  <hyperlinks>
    <hyperlink ref="F2" r:id="rId1" display="https://ecoles-instituts.chu-toulouse.fr/concours-et-selections/ifas/"/>
    <hyperlink ref="F3" r:id="rId2" display="https://www.croix-rouge.fr/formation-professionnelle/aide-soignant-toulouse"/>
    <hyperlink ref="F4" r:id="rId3" display="https://www.ifrass.fr/pole-sante/diplome-detat-daide-soignant-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3" min="2" style="0" width="44"/>
    <col collapsed="false" customWidth="true" hidden="false" outlineLevel="0" max="4" min="4" style="0" width="30"/>
    <col collapsed="false" customWidth="true" hidden="false" outlineLevel="0" max="6" min="5" style="0" width="55"/>
    <col collapsed="false" customWidth="true" hidden="false" outlineLevel="0" max="7" min="7" style="0" width="30"/>
  </cols>
  <sheetData>
    <row r="1" customFormat="false" ht="31.5" hidden="false" customHeight="true" outlineLevel="0" collapsed="false">
      <c r="A1" s="9" t="s">
        <v>817</v>
      </c>
      <c r="B1" s="9" t="s">
        <v>818</v>
      </c>
      <c r="C1" s="9" t="s">
        <v>60</v>
      </c>
      <c r="D1" s="9" t="s">
        <v>64</v>
      </c>
      <c r="E1" s="9" t="s">
        <v>819</v>
      </c>
      <c r="F1" s="9" t="s">
        <v>70</v>
      </c>
      <c r="G1" s="10" t="s">
        <v>820</v>
      </c>
    </row>
    <row r="2" customFormat="false" ht="30" hidden="false" customHeight="true" outlineLevel="0" collapsed="false">
      <c r="A2" s="5" t="s">
        <v>821</v>
      </c>
      <c r="B2" s="6" t="s">
        <v>822</v>
      </c>
      <c r="C2" s="6" t="s">
        <v>823</v>
      </c>
      <c r="D2" s="6" t="s">
        <v>824</v>
      </c>
      <c r="E2" s="6" t="s">
        <v>825</v>
      </c>
      <c r="F2" s="6" t="s">
        <v>826</v>
      </c>
      <c r="G2" s="25"/>
    </row>
    <row r="3" customFormat="false" ht="30" hidden="false" customHeight="true" outlineLevel="0" collapsed="false">
      <c r="A3" s="5" t="s">
        <v>827</v>
      </c>
      <c r="B3" s="6" t="s">
        <v>828</v>
      </c>
      <c r="C3" s="6" t="s">
        <v>829</v>
      </c>
      <c r="D3" s="6" t="s">
        <v>830</v>
      </c>
      <c r="E3" s="6" t="s">
        <v>831</v>
      </c>
      <c r="F3" s="6" t="s">
        <v>832</v>
      </c>
      <c r="G3" s="25"/>
    </row>
    <row r="4" customFormat="false" ht="39" hidden="false" customHeight="true" outlineLevel="0" collapsed="false">
      <c r="A4" s="5" t="s">
        <v>833</v>
      </c>
      <c r="B4" s="6" t="s">
        <v>834</v>
      </c>
      <c r="C4" s="6" t="s">
        <v>835</v>
      </c>
      <c r="D4" s="6" t="s">
        <v>836</v>
      </c>
      <c r="E4" s="6" t="s">
        <v>837</v>
      </c>
      <c r="F4" s="6" t="s">
        <v>838</v>
      </c>
      <c r="G4" s="25"/>
    </row>
    <row r="5" customFormat="false" ht="39" hidden="false" customHeight="true" outlineLevel="0" collapsed="false">
      <c r="A5" s="5" t="s">
        <v>839</v>
      </c>
      <c r="B5" s="6" t="s">
        <v>840</v>
      </c>
      <c r="C5" s="6" t="s">
        <v>841</v>
      </c>
      <c r="D5" s="6" t="s">
        <v>842</v>
      </c>
      <c r="E5" s="6" t="s">
        <v>843</v>
      </c>
      <c r="F5" s="6" t="s">
        <v>844</v>
      </c>
      <c r="G5" s="25"/>
    </row>
    <row r="6" customFormat="false" ht="30" hidden="false" customHeight="true" outlineLevel="0" collapsed="false">
      <c r="A6" s="5" t="s">
        <v>845</v>
      </c>
      <c r="B6" s="6" t="s">
        <v>846</v>
      </c>
      <c r="C6" s="6" t="s">
        <v>847</v>
      </c>
      <c r="D6" s="6" t="s">
        <v>848</v>
      </c>
      <c r="E6" s="6" t="s">
        <v>849</v>
      </c>
      <c r="F6" s="6" t="s">
        <v>850</v>
      </c>
      <c r="G6" s="25"/>
    </row>
    <row r="7" customFormat="false" ht="30" hidden="false" customHeight="true" outlineLevel="0" collapsed="false">
      <c r="A7" s="5" t="s">
        <v>851</v>
      </c>
      <c r="B7" s="6" t="s">
        <v>852</v>
      </c>
      <c r="C7" s="6" t="s">
        <v>853</v>
      </c>
      <c r="D7" s="6" t="s">
        <v>854</v>
      </c>
      <c r="E7" s="6" t="s">
        <v>855</v>
      </c>
      <c r="F7" s="6" t="s">
        <v>856</v>
      </c>
      <c r="G7" s="25"/>
    </row>
    <row r="8" customFormat="false" ht="30" hidden="false" customHeight="true" outlineLevel="0" collapsed="false">
      <c r="A8" s="5" t="s">
        <v>857</v>
      </c>
      <c r="B8" s="6" t="s">
        <v>858</v>
      </c>
      <c r="C8" s="6" t="s">
        <v>859</v>
      </c>
      <c r="D8" s="6" t="s">
        <v>860</v>
      </c>
      <c r="E8" s="6" t="s">
        <v>861</v>
      </c>
      <c r="F8" s="6" t="s">
        <v>862</v>
      </c>
      <c r="G8" s="25"/>
    </row>
    <row r="9" customFormat="false" ht="30" hidden="false" customHeight="true" outlineLevel="0" collapsed="false">
      <c r="A9" s="5" t="s">
        <v>863</v>
      </c>
      <c r="B9" s="6" t="s">
        <v>864</v>
      </c>
      <c r="C9" s="6" t="s">
        <v>865</v>
      </c>
      <c r="D9" s="6" t="s">
        <v>866</v>
      </c>
      <c r="E9" s="6" t="s">
        <v>867</v>
      </c>
      <c r="F9" s="6" t="s">
        <v>868</v>
      </c>
      <c r="G9" s="25"/>
    </row>
    <row r="10" customFormat="false" ht="30" hidden="false" customHeight="true" outlineLevel="0" collapsed="false">
      <c r="A10" s="5" t="s">
        <v>869</v>
      </c>
      <c r="B10" s="6" t="s">
        <v>870</v>
      </c>
      <c r="C10" s="6" t="s">
        <v>871</v>
      </c>
      <c r="D10" s="6" t="s">
        <v>872</v>
      </c>
      <c r="E10" s="6" t="s">
        <v>89</v>
      </c>
      <c r="F10" s="6" t="s">
        <v>104</v>
      </c>
      <c r="G10" s="25"/>
    </row>
    <row r="11" customFormat="false" ht="30" hidden="false" customHeight="true" outlineLevel="0" collapsed="false">
      <c r="A11" s="5" t="s">
        <v>873</v>
      </c>
      <c r="B11" s="6" t="s">
        <v>874</v>
      </c>
      <c r="C11" s="6" t="s">
        <v>829</v>
      </c>
      <c r="D11" s="6" t="s">
        <v>104</v>
      </c>
      <c r="E11" s="6" t="s">
        <v>754</v>
      </c>
      <c r="F11" s="6" t="s">
        <v>875</v>
      </c>
      <c r="G11" s="25"/>
    </row>
    <row r="12" customFormat="false" ht="39" hidden="false" customHeight="true" outlineLevel="0" collapsed="false">
      <c r="A12" s="5" t="s">
        <v>876</v>
      </c>
      <c r="B12" s="6" t="s">
        <v>877</v>
      </c>
      <c r="C12" s="6" t="s">
        <v>829</v>
      </c>
      <c r="D12" s="6" t="s">
        <v>104</v>
      </c>
      <c r="E12" s="6" t="s">
        <v>878</v>
      </c>
      <c r="F12" s="6" t="s">
        <v>879</v>
      </c>
      <c r="G12" s="25"/>
    </row>
    <row r="13" customFormat="false" ht="30" hidden="false" customHeight="true" outlineLevel="0" collapsed="false">
      <c r="A13" s="5" t="s">
        <v>880</v>
      </c>
      <c r="B13" s="6" t="s">
        <v>881</v>
      </c>
      <c r="C13" s="6" t="s">
        <v>829</v>
      </c>
      <c r="D13" s="6" t="s">
        <v>104</v>
      </c>
      <c r="E13" s="6" t="s">
        <v>709</v>
      </c>
      <c r="F13" s="6" t="s">
        <v>882</v>
      </c>
      <c r="G13" s="25"/>
    </row>
    <row r="14" customFormat="false" ht="30" hidden="false" customHeight="true" outlineLevel="0" collapsed="false">
      <c r="A14" s="5" t="s">
        <v>883</v>
      </c>
      <c r="B14" s="6" t="s">
        <v>884</v>
      </c>
      <c r="C14" s="6" t="s">
        <v>885</v>
      </c>
      <c r="D14" s="6" t="s">
        <v>89</v>
      </c>
      <c r="E14" s="6" t="s">
        <v>89</v>
      </c>
      <c r="F14" s="6" t="s">
        <v>886</v>
      </c>
      <c r="G14" s="25"/>
    </row>
    <row r="15" customFormat="false" ht="30" hidden="false" customHeight="true" outlineLevel="0" collapsed="false">
      <c r="A15" s="5" t="s">
        <v>887</v>
      </c>
      <c r="B15" s="6" t="s">
        <v>888</v>
      </c>
      <c r="C15" s="6" t="s">
        <v>829</v>
      </c>
      <c r="D15" s="6" t="s">
        <v>104</v>
      </c>
      <c r="E15" s="6" t="s">
        <v>889</v>
      </c>
      <c r="F15" s="6" t="s">
        <v>890</v>
      </c>
      <c r="G15"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30"/>
  </cols>
  <sheetData>
    <row r="1" customFormat="false" ht="17.35" hidden="false" customHeight="false" outlineLevel="0" collapsed="false">
      <c r="B1" s="1" t="s">
        <v>891</v>
      </c>
    </row>
    <row r="2" customFormat="false" ht="39.75" hidden="false" customHeight="true" outlineLevel="0" collapsed="false">
      <c r="B2" s="28" t="s">
        <v>892</v>
      </c>
    </row>
    <row r="4" customFormat="false" ht="19.5" hidden="false" customHeight="true" outlineLevel="0" collapsed="false">
      <c r="B4" s="29" t="s">
        <v>893</v>
      </c>
    </row>
    <row r="5" customFormat="false" ht="337.5" hidden="false" customHeight="true" outlineLevel="0" collapsed="false">
      <c r="B5" s="6" t="s">
        <v>894</v>
      </c>
    </row>
    <row r="7" customFormat="false" ht="19.5" hidden="false" customHeight="true" outlineLevel="0" collapsed="false">
      <c r="B7" s="29" t="s">
        <v>895</v>
      </c>
    </row>
    <row r="8" customFormat="false" ht="256.5" hidden="false" customHeight="true" outlineLevel="0" collapsed="false">
      <c r="B8" s="6" t="s">
        <v>896</v>
      </c>
    </row>
    <row r="10" customFormat="false" ht="19.5" hidden="false" customHeight="true" outlineLevel="0" collapsed="false">
      <c r="B10" s="29" t="s">
        <v>897</v>
      </c>
    </row>
    <row r="11" customFormat="false" ht="189" hidden="false" customHeight="true" outlineLevel="0" collapsed="false">
      <c r="B11" s="6" t="s">
        <v>898</v>
      </c>
    </row>
    <row r="13" customFormat="false" ht="19.5" hidden="false" customHeight="true" outlineLevel="0" collapsed="false">
      <c r="B13" s="29" t="s">
        <v>899</v>
      </c>
    </row>
    <row r="14" customFormat="false" ht="310.5" hidden="false" customHeight="true" outlineLevel="0" collapsed="false">
      <c r="B14" s="6" t="s">
        <v>900</v>
      </c>
    </row>
    <row r="16" customFormat="false" ht="19.5" hidden="false" customHeight="true" outlineLevel="0" collapsed="false">
      <c r="B16" s="29" t="s">
        <v>901</v>
      </c>
    </row>
    <row r="17" customFormat="false" ht="243" hidden="false" customHeight="true" outlineLevel="0" collapsed="false">
      <c r="B17" s="6" t="s">
        <v>902</v>
      </c>
    </row>
    <row r="19" customFormat="false" ht="19.5" hidden="false" customHeight="true" outlineLevel="0" collapsed="false">
      <c r="B19" s="29" t="s">
        <v>903</v>
      </c>
    </row>
    <row r="20" customFormat="false" ht="189" hidden="false" customHeight="true" outlineLevel="0" collapsed="false">
      <c r="B20" s="6" t="s">
        <v>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2026-09-30T17:46:06Z</dcterms:created>
  <dc:creator>openpyxl</dc:creator>
  <dc:description/>
  <dc:language>en-US</dc:language>
  <cp:lastModifiedBy/>
  <dcterms:modified xsi:type="dcterms:W3CDTF">2026-09-30T17:46:07Z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