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ion" sheetId="1" state="visible" r:id="rId3"/>
    <sheet name="Synthèse" sheetId="2" state="visible" r:id="rId4"/>
    <sheet name="Aide" sheetId="3" state="visible" r:id="rId5"/>
  </sheets>
  <definedNames>
    <definedName function="false" hidden="false" localSheetId="0" name="_xlnm.Print_Titles" vbProcedure="false">Prospection!$1:$1</definedName>
    <definedName function="false" hidden="true" localSheetId="0" name="_xlnm._FilterDatabase" vbProcedure="false">Prospection!$A$1:$M$885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<sst xmlns="http://schemas.openxmlformats.org/spreadsheetml/2006/main" count="5032" uniqueCount="1875">
  <si>
    <t xml:space="preserve">N°</t>
  </si>
  <si>
    <t xml:space="preserve">Restaurant</t>
  </si>
  <si>
    <t xml:space="preserve">Type de cuisine</t>
  </si>
  <si>
    <t xml:space="preserve">Adresse</t>
  </si>
  <si>
    <t xml:space="preserve">Ville</t>
  </si>
  <si>
    <t xml:space="preserve">Téléphone</t>
  </si>
  <si>
    <t xml:space="preserve">Statut</t>
  </si>
  <si>
    <t xml:space="preserve">Date 1er contact</t>
  </si>
  <si>
    <t xml:space="preserve">Interlocuteur</t>
  </si>
  <si>
    <t xml:space="preserve">Prochaine action</t>
  </si>
  <si>
    <t xml:space="preserve">Date de relance</t>
  </si>
  <si>
    <t xml:space="preserve">Commentaires</t>
  </si>
  <si>
    <t xml:space="preserve">Carte</t>
  </si>
  <si>
    <t xml:space="preserve">450° par Pizzeria d'Alexis</t>
  </si>
  <si>
    <t xml:space="preserve">Pizza, Italienne</t>
  </si>
  <si>
    <t xml:space="preserve">Toulouse</t>
  </si>
  <si>
    <t xml:space="preserve">À contacter</t>
  </si>
  <si>
    <t xml:space="preserve">Voir la carte</t>
  </si>
  <si>
    <t xml:space="preserve">@Pizza Plana</t>
  </si>
  <si>
    <t xml:space="preserve">Pizza</t>
  </si>
  <si>
    <t xml:space="preserve">108 Rue Louis Plana</t>
  </si>
  <si>
    <t xml:space="preserve">A Mesa de Carole</t>
  </si>
  <si>
    <t xml:space="preserve">Portugaise</t>
  </si>
  <si>
    <t xml:space="preserve">44 Avenue Antoine de Saint-Exupéry</t>
  </si>
  <si>
    <t xml:space="preserve">07 55 45 03 34</t>
  </si>
  <si>
    <t xml:space="preserve">A Taula</t>
  </si>
  <si>
    <t xml:space="preserve">Tapas</t>
  </si>
  <si>
    <t xml:space="preserve">11 Rue Malcousinat</t>
  </si>
  <si>
    <t xml:space="preserve">07 69 47 85 86</t>
  </si>
  <si>
    <t xml:space="preserve">A.mar</t>
  </si>
  <si>
    <t xml:space="preserve">Fruits de mer</t>
  </si>
  <si>
    <t xml:space="preserve">Abuelo</t>
  </si>
  <si>
    <t xml:space="preserve">Méditerranéenne</t>
  </si>
  <si>
    <t xml:space="preserve">05 61 41 68 18</t>
  </si>
  <si>
    <t xml:space="preserve">Abyssinia</t>
  </si>
  <si>
    <t xml:space="preserve">Éthiopienne</t>
  </si>
  <si>
    <t xml:space="preserve">07 68 84 85 21</t>
  </si>
  <si>
    <t xml:space="preserve">Acte 2</t>
  </si>
  <si>
    <t xml:space="preserve">Française, Gastronomique</t>
  </si>
  <si>
    <t xml:space="preserve">Adana grill</t>
  </si>
  <si>
    <t xml:space="preserve">Turque</t>
  </si>
  <si>
    <t xml:space="preserve">16 Avenue de Larrieu-Thibaud</t>
  </si>
  <si>
    <t xml:space="preserve">05 31 47 30 59</t>
  </si>
  <si>
    <t xml:space="preserve">African Queen</t>
  </si>
  <si>
    <t xml:space="preserve">Africaine</t>
  </si>
  <si>
    <t xml:space="preserve">Agapes</t>
  </si>
  <si>
    <t xml:space="preserve">Gastronomique</t>
  </si>
  <si>
    <t xml:space="preserve">05 61 99 30 31</t>
  </si>
  <si>
    <t xml:space="preserve">Agora</t>
  </si>
  <si>
    <t xml:space="preserve">07 56 83 59 00</t>
  </si>
  <si>
    <t xml:space="preserve">Aiko</t>
  </si>
  <si>
    <t xml:space="preserve">Japonaise</t>
  </si>
  <si>
    <t xml:space="preserve">09 83 50 22 75</t>
  </si>
  <si>
    <t xml:space="preserve">Aishi Ramen</t>
  </si>
  <si>
    <t xml:space="preserve">Japonaise, Ramen</t>
  </si>
  <si>
    <t xml:space="preserve">16 Rue Léon Gambetta</t>
  </si>
  <si>
    <t xml:space="preserve">Alice Pizza</t>
  </si>
  <si>
    <t xml:space="preserve">05 34 57 84 65</t>
  </si>
  <si>
    <t xml:space="preserve">Amore Mia</t>
  </si>
  <si>
    <t xml:space="preserve">Italienne, Française</t>
  </si>
  <si>
    <t xml:space="preserve">09 60 06 35 12</t>
  </si>
  <si>
    <t xml:space="preserve">An Nam</t>
  </si>
  <si>
    <t xml:space="preserve">Vietnamienne</t>
  </si>
  <si>
    <t xml:space="preserve">Andiamo</t>
  </si>
  <si>
    <t xml:space="preserve">Italienne</t>
  </si>
  <si>
    <t xml:space="preserve">2 Avenue Paul Séjourné</t>
  </si>
  <si>
    <t xml:space="preserve">06 61 04 83 99</t>
  </si>
  <si>
    <t xml:space="preserve">Andochine</t>
  </si>
  <si>
    <t xml:space="preserve">28 Rue des Polinaires</t>
  </si>
  <si>
    <t xml:space="preserve">05 36 89 89 34</t>
  </si>
  <si>
    <t xml:space="preserve">Antho et Rita</t>
  </si>
  <si>
    <t xml:space="preserve">63 Allées Charles de Fitte</t>
  </si>
  <si>
    <t xml:space="preserve">06 74 32 68 00</t>
  </si>
  <si>
    <t xml:space="preserve">Antica Salumeria</t>
  </si>
  <si>
    <t xml:space="preserve">Aozai</t>
  </si>
  <si>
    <t xml:space="preserve">Thaïlandaise</t>
  </si>
  <si>
    <t xml:space="preserve">Armenian Bakery</t>
  </si>
  <si>
    <t xml:space="preserve">Arménienne</t>
  </si>
  <si>
    <t xml:space="preserve">74 Allées Jean Jaurès</t>
  </si>
  <si>
    <t xml:space="preserve">Artigiano</t>
  </si>
  <si>
    <t xml:space="preserve">Asia Village</t>
  </si>
  <si>
    <t xml:space="preserve">Asiatique</t>
  </si>
  <si>
    <t xml:space="preserve">05 61 57 94 45</t>
  </si>
  <si>
    <t xml:space="preserve">Assoiffés</t>
  </si>
  <si>
    <t xml:space="preserve">Française</t>
  </si>
  <si>
    <t xml:space="preserve">Au Bon Graillou</t>
  </si>
  <si>
    <t xml:space="preserve">05 61 21 80 19</t>
  </si>
  <si>
    <t xml:space="preserve">Au Buron</t>
  </si>
  <si>
    <t xml:space="preserve">Régionale / terroir</t>
  </si>
  <si>
    <t xml:space="preserve">05 61 22 14 65</t>
  </si>
  <si>
    <t xml:space="preserve">Au Comptoir</t>
  </si>
  <si>
    <t xml:space="preserve">Au cœur de Tunis</t>
  </si>
  <si>
    <t xml:space="preserve">32 Allées Charles de Fitte</t>
  </si>
  <si>
    <t xml:space="preserve">Au Gascon</t>
  </si>
  <si>
    <t xml:space="preserve">Française, Régionale / terroir</t>
  </si>
  <si>
    <t xml:space="preserve">05 61 21 67 16</t>
  </si>
  <si>
    <t xml:space="preserve">Au Gourmet Vietnam</t>
  </si>
  <si>
    <t xml:space="preserve">Vietnamienne, Asiatique</t>
  </si>
  <si>
    <t xml:space="preserve">05 32 98 64 76</t>
  </si>
  <si>
    <t xml:space="preserve">Au Jardin des Thés</t>
  </si>
  <si>
    <t xml:space="preserve">Au Pois Gourmand</t>
  </si>
  <si>
    <t xml:space="preserve">3 Rue Émile Heybrard</t>
  </si>
  <si>
    <t xml:space="preserve">05 34 36 42 00</t>
  </si>
  <si>
    <t xml:space="preserve">Au Vieux Pékin</t>
  </si>
  <si>
    <t xml:space="preserve">Chinoise</t>
  </si>
  <si>
    <t xml:space="preserve">09 83 52 51 50</t>
  </si>
  <si>
    <t xml:space="preserve">Autour de Pizz'</t>
  </si>
  <si>
    <t xml:space="preserve">1 Rue de Carcassonne</t>
  </si>
  <si>
    <t xml:space="preserve">05 61 80 28 62</t>
  </si>
  <si>
    <t xml:space="preserve">Aux 3 Elephants</t>
  </si>
  <si>
    <t xml:space="preserve">Aux Délices D'Ailleurs</t>
  </si>
  <si>
    <t xml:space="preserve">2 Rue Paul Rocache</t>
  </si>
  <si>
    <t xml:space="preserve">05 61 44 16 56</t>
  </si>
  <si>
    <t xml:space="preserve">Aux Pieds Sous La Table</t>
  </si>
  <si>
    <t xml:space="preserve">05 67 11 01 72</t>
  </si>
  <si>
    <t xml:space="preserve">Avem Grill</t>
  </si>
  <si>
    <t xml:space="preserve">Poulet</t>
  </si>
  <si>
    <t xml:space="preserve">açai</t>
  </si>
  <si>
    <t xml:space="preserve">Poké, Salades, Sandwicherie, Smoothies</t>
  </si>
  <si>
    <t xml:space="preserve">20 Rue d'Aubuisson</t>
  </si>
  <si>
    <t xml:space="preserve">B06</t>
  </si>
  <si>
    <t xml:space="preserve">16 Rue Paulin Talabot</t>
  </si>
  <si>
    <t xml:space="preserve">Baan Siam</t>
  </si>
  <si>
    <t xml:space="preserve">Baba canteen</t>
  </si>
  <si>
    <t xml:space="preserve">Libanaise</t>
  </si>
  <si>
    <t xml:space="preserve">Banh mi</t>
  </si>
  <si>
    <t xml:space="preserve">Asiatique, Vietnamienne</t>
  </si>
  <si>
    <t xml:space="preserve">09 86 42 26 69</t>
  </si>
  <si>
    <t xml:space="preserve">Bao House</t>
  </si>
  <si>
    <t xml:space="preserve">Bar à la Une</t>
  </si>
  <si>
    <t xml:space="preserve">1 Chemin Cassaing</t>
  </si>
  <si>
    <t xml:space="preserve">05 34 25 78 94</t>
  </si>
  <si>
    <t xml:space="preserve">Barbaque</t>
  </si>
  <si>
    <t xml:space="preserve">Barricot</t>
  </si>
  <si>
    <t xml:space="preserve">Produits locaux</t>
  </si>
  <si>
    <t xml:space="preserve">05 61 11 09 38</t>
  </si>
  <si>
    <t xml:space="preserve">Basso Com'pôtes</t>
  </si>
  <si>
    <t xml:space="preserve">17 Paulin Talabot</t>
  </si>
  <si>
    <t xml:space="preserve">06 35 22 19 64</t>
  </si>
  <si>
    <t xml:space="preserve">Becco</t>
  </si>
  <si>
    <t xml:space="preserve">Beldi Fusion</t>
  </si>
  <si>
    <t xml:space="preserve">Marocaine</t>
  </si>
  <si>
    <t xml:space="preserve">43 Avenue de Muret</t>
  </si>
  <si>
    <t xml:space="preserve">06 75 30 96 49</t>
  </si>
  <si>
    <t xml:space="preserve">Bellini</t>
  </si>
  <si>
    <t xml:space="preserve">Italienne, Pizza</t>
  </si>
  <si>
    <t xml:space="preserve">05 61 21 34 08</t>
  </si>
  <si>
    <t xml:space="preserve">Bellocq</t>
  </si>
  <si>
    <t xml:space="preserve">05 61 21 24 87</t>
  </si>
  <si>
    <t xml:space="preserve">Bep Chay</t>
  </si>
  <si>
    <t xml:space="preserve">05 61 32 02 72</t>
  </si>
  <si>
    <t xml:space="preserve">Best wok &amp; poke</t>
  </si>
  <si>
    <t xml:space="preserve">Biergarten Purpan</t>
  </si>
  <si>
    <t xml:space="preserve">Bimi Sushi &amp; poke ball</t>
  </si>
  <si>
    <t xml:space="preserve">Sushi</t>
  </si>
  <si>
    <t xml:space="preserve">05 32 98 64 07</t>
  </si>
  <si>
    <t xml:space="preserve">Binaire</t>
  </si>
  <si>
    <t xml:space="preserve">41 Avenue Jules Julien</t>
  </si>
  <si>
    <t xml:space="preserve">05 61 25 25 89</t>
  </si>
  <si>
    <t xml:space="preserve">Bistro des Carmes</t>
  </si>
  <si>
    <t xml:space="preserve">05 62 17 70 14</t>
  </si>
  <si>
    <t xml:space="preserve">Bistro Garonne</t>
  </si>
  <si>
    <t xml:space="preserve">Bistro Régent</t>
  </si>
  <si>
    <t xml:space="preserve">Grill / viandes, Française</t>
  </si>
  <si>
    <t xml:space="preserve">2 Place Marcel Bouilloux-Lafont</t>
  </si>
  <si>
    <t xml:space="preserve">05 62 75 60 12</t>
  </si>
  <si>
    <t xml:space="preserve">Bistrot August</t>
  </si>
  <si>
    <t xml:space="preserve">Bistrot de l'Etoile</t>
  </si>
  <si>
    <t xml:space="preserve">05 61 63 13 43</t>
  </si>
  <si>
    <t xml:space="preserve">Bistrot Galien</t>
  </si>
  <si>
    <t xml:space="preserve">6 Place Dominique Martin Dupuy</t>
  </si>
  <si>
    <t xml:space="preserve">05 61 80 22 23</t>
  </si>
  <si>
    <t xml:space="preserve">Blanquette</t>
  </si>
  <si>
    <t xml:space="preserve">Blok Resto</t>
  </si>
  <si>
    <t xml:space="preserve">Pâtes, Pizza, Poisson, Tapas, Salades, Barbecue</t>
  </si>
  <si>
    <t xml:space="preserve">2 Rue René Cornemont</t>
  </si>
  <si>
    <t xml:space="preserve">05 34 65 60 91</t>
  </si>
  <si>
    <t xml:space="preserve">Bocados</t>
  </si>
  <si>
    <t xml:space="preserve">Tapas, Espagnole</t>
  </si>
  <si>
    <t xml:space="preserve">Boli Cafe</t>
  </si>
  <si>
    <t xml:space="preserve">Coréenne</t>
  </si>
  <si>
    <t xml:space="preserve">09 50 30 81 41</t>
  </si>
  <si>
    <t xml:space="preserve">Bonbonne</t>
  </si>
  <si>
    <t xml:space="preserve">05 62 85 22 62</t>
  </si>
  <si>
    <t xml:space="preserve">Bongkok Bol</t>
  </si>
  <si>
    <t xml:space="preserve">221 Avenue de Fronton</t>
  </si>
  <si>
    <t xml:space="preserve">09 50 55 34 32</t>
  </si>
  <si>
    <t xml:space="preserve">Borriquito Loco</t>
  </si>
  <si>
    <t xml:space="preserve">Rue des Paradoux</t>
  </si>
  <si>
    <t xml:space="preserve">05 61 25 34 54</t>
  </si>
  <si>
    <t xml:space="preserve">Bossa Nova</t>
  </si>
  <si>
    <t xml:space="preserve">Brésilienne</t>
  </si>
  <si>
    <t xml:space="preserve">1 bis Rue du May</t>
  </si>
  <si>
    <t xml:space="preserve">05 67 68 64 79</t>
  </si>
  <si>
    <t xml:space="preserve">Boulangerie Patisserie</t>
  </si>
  <si>
    <t xml:space="preserve">Boulevard 36</t>
  </si>
  <si>
    <t xml:space="preserve">Bowling de Gramont</t>
  </si>
  <si>
    <t xml:space="preserve">05 61 26 18 67</t>
  </si>
  <si>
    <t xml:space="preserve">Brasserie des Beaux-Arts</t>
  </si>
  <si>
    <t xml:space="preserve">05 61 21 12 12</t>
  </si>
  <si>
    <t xml:space="preserve">Brasserie du Fauboug Saint-Simon</t>
  </si>
  <si>
    <t xml:space="preserve">Brasserie Le Capoul</t>
  </si>
  <si>
    <t xml:space="preserve">13 Place du Président Wilson</t>
  </si>
  <si>
    <t xml:space="preserve">05 61 21 08 27</t>
  </si>
  <si>
    <t xml:space="preserve">Brasserie Les Frangins</t>
  </si>
  <si>
    <t xml:space="preserve">7 Chemin des Silos</t>
  </si>
  <si>
    <t xml:space="preserve">05 67 16 66 47</t>
  </si>
  <si>
    <t xml:space="preserve">Brasserie Toulousaine</t>
  </si>
  <si>
    <t xml:space="preserve">Brasserie</t>
  </si>
  <si>
    <t xml:space="preserve">Buffet Himalaya</t>
  </si>
  <si>
    <t xml:space="preserve">Burger'n'Co St Aubin</t>
  </si>
  <si>
    <t xml:space="preserve">Burger</t>
  </si>
  <si>
    <t xml:space="preserve">07 56 79 72 16</t>
  </si>
  <si>
    <t xml:space="preserve">Byblos</t>
  </si>
  <si>
    <t xml:space="preserve">6 Place du Président Wilson</t>
  </si>
  <si>
    <t xml:space="preserve">05 31 22 06 07</t>
  </si>
  <si>
    <t xml:space="preserve">Bàcaro</t>
  </si>
  <si>
    <t xml:space="preserve">06 84 58 30 80</t>
  </si>
  <si>
    <t xml:space="preserve">Bâtiment 49 - Restaurant</t>
  </si>
  <si>
    <t xml:space="preserve">Bâtiment T</t>
  </si>
  <si>
    <t xml:space="preserve">Bûn Viêt</t>
  </si>
  <si>
    <t xml:space="preserve">10 Place Occitane</t>
  </si>
  <si>
    <t xml:space="preserve">05 62 30 98 55</t>
  </si>
  <si>
    <t xml:space="preserve">Cafet’ Arum</t>
  </si>
  <si>
    <t xml:space="preserve">Sandwicherie, Salades</t>
  </si>
  <si>
    <t xml:space="preserve">5 Allée Antonio Machado</t>
  </si>
  <si>
    <t xml:space="preserve">Café Baronie</t>
  </si>
  <si>
    <t xml:space="preserve">Café Chouchou</t>
  </si>
  <si>
    <t xml:space="preserve">09 70 38 62 21</t>
  </si>
  <si>
    <t xml:space="preserve">Café de la Bourse</t>
  </si>
  <si>
    <t xml:space="preserve">Française, Libanaise</t>
  </si>
  <si>
    <t xml:space="preserve">Café Francis</t>
  </si>
  <si>
    <t xml:space="preserve">181 avenue des états unis</t>
  </si>
  <si>
    <t xml:space="preserve">05 61 47 02 09</t>
  </si>
  <si>
    <t xml:space="preserve">Café Italien</t>
  </si>
  <si>
    <t xml:space="preserve">05 61 25 08 63</t>
  </si>
  <si>
    <t xml:space="preserve">Café Manine</t>
  </si>
  <si>
    <t xml:space="preserve">17 Place Roguet</t>
  </si>
  <si>
    <t xml:space="preserve">09 52 48 94 08</t>
  </si>
  <si>
    <t xml:space="preserve">Café Maurice</t>
  </si>
  <si>
    <t xml:space="preserve">Café Oz</t>
  </si>
  <si>
    <t xml:space="preserve">1 Rue Gabriel Péri</t>
  </si>
  <si>
    <t xml:space="preserve">05 34 67 55 38</t>
  </si>
  <si>
    <t xml:space="preserve">Café Triplette</t>
  </si>
  <si>
    <t xml:space="preserve">7 Place Saint-Sernin</t>
  </si>
  <si>
    <t xml:space="preserve">05 34 66 87 54</t>
  </si>
  <si>
    <t xml:space="preserve">Café à la Une</t>
  </si>
  <si>
    <t xml:space="preserve">05 61 58 43 24</t>
  </si>
  <si>
    <t xml:space="preserve">Café-Restaurant culturel occitan La Topina</t>
  </si>
  <si>
    <t xml:space="preserve">Place Lange</t>
  </si>
  <si>
    <t xml:space="preserve">06 15 32 34 73</t>
  </si>
  <si>
    <t xml:space="preserve">Cama'Or</t>
  </si>
  <si>
    <t xml:space="preserve">05 31 61 35 66</t>
  </si>
  <si>
    <t xml:space="preserve">Camille's</t>
  </si>
  <si>
    <t xml:space="preserve">Petit-déjeuner, Brunch</t>
  </si>
  <si>
    <t xml:space="preserve">Caminito</t>
  </si>
  <si>
    <t xml:space="preserve">Argentine</t>
  </si>
  <si>
    <t xml:space="preserve">3 Rue des Gestes</t>
  </si>
  <si>
    <t xml:space="preserve">05 61 23 51 74</t>
  </si>
  <si>
    <t xml:space="preserve">Campagne</t>
  </si>
  <si>
    <t xml:space="preserve">05 62 17 05 92</t>
  </si>
  <si>
    <t xml:space="preserve">Cantine &amp; Gamelle</t>
  </si>
  <si>
    <t xml:space="preserve">14 Rue Claude-Marie Perroud</t>
  </si>
  <si>
    <t xml:space="preserve">05 61 16 67 22</t>
  </si>
  <si>
    <t xml:space="preserve">Cantine de Fred</t>
  </si>
  <si>
    <t xml:space="preserve">Française, Internationale</t>
  </si>
  <si>
    <t xml:space="preserve">Cantine Mirail</t>
  </si>
  <si>
    <t xml:space="preserve">Caracas</t>
  </si>
  <si>
    <t xml:space="preserve">Vénézuélienne, Sud-américaine</t>
  </si>
  <si>
    <t xml:space="preserve">9 Avenue de Castres</t>
  </si>
  <si>
    <t xml:space="preserve">05 67 00 68 04</t>
  </si>
  <si>
    <t xml:space="preserve">Carné - comptoir à viandes</t>
  </si>
  <si>
    <t xml:space="preserve">Basque</t>
  </si>
  <si>
    <t xml:space="preserve">Carthel</t>
  </si>
  <si>
    <t xml:space="preserve">Française, Cocktails, Tapas, Brunch</t>
  </si>
  <si>
    <t xml:space="preserve">05 62 12 90 97</t>
  </si>
  <si>
    <t xml:space="preserve">Casa Bomba</t>
  </si>
  <si>
    <t xml:space="preserve">Casa Dupuy</t>
  </si>
  <si>
    <t xml:space="preserve">Internationale</t>
  </si>
  <si>
    <t xml:space="preserve">Casa Natachou</t>
  </si>
  <si>
    <t xml:space="preserve">Antillaise</t>
  </si>
  <si>
    <t xml:space="preserve">05 62 88 04 26</t>
  </si>
  <si>
    <t xml:space="preserve">Catxo</t>
  </si>
  <si>
    <t xml:space="preserve">05 61 32 17 89</t>
  </si>
  <si>
    <t xml:space="preserve">Champêtre</t>
  </si>
  <si>
    <t xml:space="preserve">Chef Chuan</t>
  </si>
  <si>
    <t xml:space="preserve">Sichuanaise, Chinoise</t>
  </si>
  <si>
    <t xml:space="preserve">05 61 51 97 29</t>
  </si>
  <si>
    <t xml:space="preserve">Chez Alex</t>
  </si>
  <si>
    <t xml:space="preserve">Pizza, Poulet</t>
  </si>
  <si>
    <t xml:space="preserve">Chez Attila</t>
  </si>
  <si>
    <t xml:space="preserve">05 61 29 83 59</t>
  </si>
  <si>
    <t xml:space="preserve">Chez Bobonne</t>
  </si>
  <si>
    <t xml:space="preserve">05 61 13 70 02</t>
  </si>
  <si>
    <t xml:space="preserve">Chez Carmen</t>
  </si>
  <si>
    <t xml:space="preserve">14 Avenue Maurice Hauriou</t>
  </si>
  <si>
    <t xml:space="preserve">05 61 42 04 95</t>
  </si>
  <si>
    <t xml:space="preserve">Chez Casi</t>
  </si>
  <si>
    <t xml:space="preserve">05 61 12 04 48</t>
  </si>
  <si>
    <t xml:space="preserve">Chez Ernest</t>
  </si>
  <si>
    <t xml:space="preserve">Chez Gardel</t>
  </si>
  <si>
    <t xml:space="preserve">Chez Hippolyte</t>
  </si>
  <si>
    <t xml:space="preserve">Chez Histor</t>
  </si>
  <si>
    <t xml:space="preserve">27 Rue des Paradoux</t>
  </si>
  <si>
    <t xml:space="preserve">06 52 98 29 03</t>
  </si>
  <si>
    <t xml:space="preserve">Chez Hong</t>
  </si>
  <si>
    <t xml:space="preserve">Chez Huguette</t>
  </si>
  <si>
    <t xml:space="preserve">15 Place du Président Wilson</t>
  </si>
  <si>
    <t xml:space="preserve">05 61 23 07 17</t>
  </si>
  <si>
    <t xml:space="preserve">Chez Ines</t>
  </si>
  <si>
    <t xml:space="preserve">09 85 02 12 87</t>
  </si>
  <si>
    <t xml:space="preserve">Chez Ingalls</t>
  </si>
  <si>
    <t xml:space="preserve">164 Route de Revel</t>
  </si>
  <si>
    <t xml:space="preserve">05 62 47 14 71</t>
  </si>
  <si>
    <t xml:space="preserve">Chez Jazz</t>
  </si>
  <si>
    <t xml:space="preserve">07 82 86 13 77</t>
  </si>
  <si>
    <t xml:space="preserve">Chez Jean &amp; Gabi</t>
  </si>
  <si>
    <t xml:space="preserve">07 81 03 59 38</t>
  </si>
  <si>
    <t xml:space="preserve">Chez Jeannot</t>
  </si>
  <si>
    <t xml:space="preserve">1 Rue de Bayard</t>
  </si>
  <si>
    <t xml:space="preserve">05 61 62 43 46</t>
  </si>
  <si>
    <t xml:space="preserve">Chez les Potes</t>
  </si>
  <si>
    <t xml:space="preserve">05 61 47 30 77</t>
  </si>
  <si>
    <t xml:space="preserve">Chez Lilly</t>
  </si>
  <si>
    <t xml:space="preserve">05 31 61 46 31</t>
  </si>
  <si>
    <t xml:space="preserve">Chez Loustic</t>
  </si>
  <si>
    <t xml:space="preserve">Chez Magda</t>
  </si>
  <si>
    <t xml:space="preserve">Chez Marcel</t>
  </si>
  <si>
    <t xml:space="preserve">05 61 12 04 17</t>
  </si>
  <si>
    <t xml:space="preserve">190 Avenue de Castres</t>
  </si>
  <si>
    <t xml:space="preserve">Chez Marco</t>
  </si>
  <si>
    <t xml:space="preserve">Chez Molly</t>
  </si>
  <si>
    <t xml:space="preserve">05 61 20 20 70</t>
  </si>
  <si>
    <t xml:space="preserve">Chez Moustache</t>
  </si>
  <si>
    <t xml:space="preserve">Chez Navarre</t>
  </si>
  <si>
    <t xml:space="preserve">05 62 26 43 06</t>
  </si>
  <si>
    <t xml:space="preserve">Chez Nicô</t>
  </si>
  <si>
    <t xml:space="preserve">Chez nous les Libanais</t>
  </si>
  <si>
    <t xml:space="preserve">07 67 03 96 03</t>
  </si>
  <si>
    <t xml:space="preserve">Chez Nòu</t>
  </si>
  <si>
    <t xml:space="preserve">Chez riz</t>
  </si>
  <si>
    <t xml:space="preserve">45 Rue Saint-Charles</t>
  </si>
  <si>
    <t xml:space="preserve">Chez Rosa</t>
  </si>
  <si>
    <t xml:space="preserve">05 61 55 05 12</t>
  </si>
  <si>
    <t xml:space="preserve">Chez Rosine</t>
  </si>
  <si>
    <t xml:space="preserve">Espagnole</t>
  </si>
  <si>
    <t xml:space="preserve">07 78 12 00 64</t>
  </si>
  <si>
    <t xml:space="preserve">Chez Teta</t>
  </si>
  <si>
    <t xml:space="preserve">05 32 98 71 79</t>
  </si>
  <si>
    <t xml:space="preserve">Chez Tran</t>
  </si>
  <si>
    <t xml:space="preserve">05 61 61 03 74</t>
  </si>
  <si>
    <t xml:space="preserve">Chiant Mai</t>
  </si>
  <si>
    <t xml:space="preserve">Chick'n'Beef</t>
  </si>
  <si>
    <t xml:space="preserve">ChongQing</t>
  </si>
  <si>
    <t xml:space="preserve">05 61 99 61 29</t>
  </si>
  <si>
    <t xml:space="preserve">Chou Doux</t>
  </si>
  <si>
    <t xml:space="preserve">Chut Guinguette</t>
  </si>
  <si>
    <t xml:space="preserve">06 25 23 61 65</t>
  </si>
  <si>
    <t xml:space="preserve">Chéri Chéri</t>
  </si>
  <si>
    <t xml:space="preserve">3 Rue Labéda</t>
  </si>
  <si>
    <t xml:space="preserve">Chô Chaï</t>
  </si>
  <si>
    <t xml:space="preserve">Chợ Vỉa Hè</t>
  </si>
  <si>
    <t xml:space="preserve">05 62 85 83 92</t>
  </si>
  <si>
    <t xml:space="preserve">Cockpit</t>
  </si>
  <si>
    <t xml:space="preserve">174 Route de Bayonne</t>
  </si>
  <si>
    <t xml:space="preserve">Combustible</t>
  </si>
  <si>
    <t xml:space="preserve">Comme en Asie</t>
  </si>
  <si>
    <t xml:space="preserve">Complices</t>
  </si>
  <si>
    <t xml:space="preserve">Comptoir Gueuleton</t>
  </si>
  <si>
    <t xml:space="preserve">9 Rue Jacques Cujas</t>
  </si>
  <si>
    <t xml:space="preserve">Couleur d'Italie</t>
  </si>
  <si>
    <t xml:space="preserve">10 Rue du Général Giraud</t>
  </si>
  <si>
    <t xml:space="preserve">Coup de Bambou</t>
  </si>
  <si>
    <t xml:space="preserve">Crep'zz and co</t>
  </si>
  <si>
    <t xml:space="preserve">34 Avenue de Grande Bretagne</t>
  </si>
  <si>
    <t xml:space="preserve">Croustille</t>
  </si>
  <si>
    <t xml:space="preserve">Crêp'eat</t>
  </si>
  <si>
    <t xml:space="preserve">Crêperie, Salades, Gaufres</t>
  </si>
  <si>
    <t xml:space="preserve">05 61 21 06 51</t>
  </si>
  <si>
    <t xml:space="preserve">Crêperie de l'Écluse</t>
  </si>
  <si>
    <t xml:space="preserve">7 Allée de Brienne</t>
  </si>
  <si>
    <t xml:space="preserve">05 61 12 46 45</t>
  </si>
  <si>
    <t xml:space="preserve">Crêperie Saint-Georges</t>
  </si>
  <si>
    <t xml:space="preserve">Crêperie</t>
  </si>
  <si>
    <t xml:space="preserve">Cucina Semplice</t>
  </si>
  <si>
    <t xml:space="preserve">05 34 33 77 36</t>
  </si>
  <si>
    <t xml:space="preserve">Curry Café</t>
  </si>
  <si>
    <t xml:space="preserve">Indienne</t>
  </si>
  <si>
    <t xml:space="preserve">22 Rue Saint-Rome</t>
  </si>
  <si>
    <t xml:space="preserve">05 61 23 77 34</t>
  </si>
  <si>
    <t xml:space="preserve">Cécile</t>
  </si>
  <si>
    <t xml:space="preserve">05 34 25 75 65</t>
  </si>
  <si>
    <t xml:space="preserve">Côté d'Oc</t>
  </si>
  <si>
    <t xml:space="preserve">2 Rue des Filatiers</t>
  </si>
  <si>
    <t xml:space="preserve">Côté Garonne</t>
  </si>
  <si>
    <t xml:space="preserve">8 Avenue Maurice Hauriou</t>
  </si>
  <si>
    <t xml:space="preserve">05 61 25 42 86</t>
  </si>
  <si>
    <t xml:space="preserve">Cœur d'Amande</t>
  </si>
  <si>
    <t xml:space="preserve">05 34 42 97 15</t>
  </si>
  <si>
    <t xml:space="preserve">Daily Sushi</t>
  </si>
  <si>
    <t xml:space="preserve">109</t>
  </si>
  <si>
    <t xml:space="preserve">Dans le noir</t>
  </si>
  <si>
    <t xml:space="preserve">05 61 10 23 40</t>
  </si>
  <si>
    <t xml:space="preserve">Dar Diaf</t>
  </si>
  <si>
    <t xml:space="preserve">05 61 53 57 69</t>
  </si>
  <si>
    <t xml:space="preserve">Dee Dee Thai Sushi</t>
  </si>
  <si>
    <t xml:space="preserve">09 72 86 37 42</t>
  </si>
  <si>
    <t xml:space="preserve">Delicosy</t>
  </si>
  <si>
    <t xml:space="preserve">Burger, Sandwicherie</t>
  </si>
  <si>
    <t xml:space="preserve">87 Boulevard de Suisse</t>
  </si>
  <si>
    <t xml:space="preserve">06 13 17 91 14</t>
  </si>
  <si>
    <t xml:space="preserve">Dicapo</t>
  </si>
  <si>
    <t xml:space="preserve">1 Place Marcel Bouilloux-Lafont</t>
  </si>
  <si>
    <t xml:space="preserve">05 61 62 72 67</t>
  </si>
  <si>
    <t xml:space="preserve">Didier Daurat</t>
  </si>
  <si>
    <t xml:space="preserve">Doma</t>
  </si>
  <si>
    <t xml:space="preserve">Gastronomique, Française</t>
  </si>
  <si>
    <t xml:space="preserve">05 61 38 33 17</t>
  </si>
  <si>
    <t xml:space="preserve">Don Pancho</t>
  </si>
  <si>
    <t xml:space="preserve">Don Vincenzo</t>
  </si>
  <si>
    <t xml:space="preserve">9 Rue Perchepinte</t>
  </si>
  <si>
    <t xml:space="preserve">07 68 71 13 15</t>
  </si>
  <si>
    <t xml:space="preserve">Du Plaisir à la toque</t>
  </si>
  <si>
    <t xml:space="preserve">9 Rue des Blanchers</t>
  </si>
  <si>
    <t xml:space="preserve">05 61 21 88 94</t>
  </si>
  <si>
    <t xml:space="preserve">DUMBO</t>
  </si>
  <si>
    <t xml:space="preserve">Pizza, Régionale / terroir, Japonaise, Burger</t>
  </si>
  <si>
    <t xml:space="preserve">55 Avenue Louis Breguet</t>
  </si>
  <si>
    <t xml:space="preserve">05 32 60 03 97</t>
  </si>
  <si>
    <t xml:space="preserve">Délice Saïgon</t>
  </si>
  <si>
    <t xml:space="preserve">2 Passage de Vérone</t>
  </si>
  <si>
    <t xml:space="preserve">05 34 26 35 21</t>
  </si>
  <si>
    <t xml:space="preserve">E-Car</t>
  </si>
  <si>
    <t xml:space="preserve">Eat salad</t>
  </si>
  <si>
    <t xml:space="preserve">Salades</t>
  </si>
  <si>
    <t xml:space="preserve">2 Rue Paul Mériel</t>
  </si>
  <si>
    <t xml:space="preserve">Eat Sushi</t>
  </si>
  <si>
    <t xml:space="preserve">Sushi, Japonaise</t>
  </si>
  <si>
    <t xml:space="preserve">05 34 46 27 59</t>
  </si>
  <si>
    <t xml:space="preserve">Echo</t>
  </si>
  <si>
    <t xml:space="preserve">05 17 82 92 60</t>
  </si>
  <si>
    <t xml:space="preserve">Eklo Toulouse</t>
  </si>
  <si>
    <t xml:space="preserve">05 82 95 92 31</t>
  </si>
  <si>
    <t xml:space="preserve">EL bodegon</t>
  </si>
  <si>
    <t xml:space="preserve">09 74 73 52 34</t>
  </si>
  <si>
    <t xml:space="preserve">El Chivito</t>
  </si>
  <si>
    <t xml:space="preserve">Argentine, Mexicaine</t>
  </si>
  <si>
    <t xml:space="preserve">05 82 75 80 11</t>
  </si>
  <si>
    <t xml:space="preserve">El Dayaa</t>
  </si>
  <si>
    <t xml:space="preserve">05 61 12 22 00</t>
  </si>
  <si>
    <t xml:space="preserve">EL huacatay</t>
  </si>
  <si>
    <t xml:space="preserve">Péruvienne</t>
  </si>
  <si>
    <t xml:space="preserve">El Pescador</t>
  </si>
  <si>
    <t xml:space="preserve">05 62 27 59 99</t>
  </si>
  <si>
    <t xml:space="preserve">El Rincón Chileno</t>
  </si>
  <si>
    <t xml:space="preserve">Chilienne</t>
  </si>
  <si>
    <t xml:space="preserve">05 61 42 09 33</t>
  </si>
  <si>
    <t xml:space="preserve">Elissar</t>
  </si>
  <si>
    <t xml:space="preserve">Entre côtes et vins</t>
  </si>
  <si>
    <t xml:space="preserve">Grill / viandes</t>
  </si>
  <si>
    <t xml:space="preserve">Epicuria Pizza</t>
  </si>
  <si>
    <t xml:space="preserve">2</t>
  </si>
  <si>
    <t xml:space="preserve">05 34 57 98 65</t>
  </si>
  <si>
    <t xml:space="preserve">Escale des Saveurs</t>
  </si>
  <si>
    <t xml:space="preserve">07 63 00 31 31</t>
  </si>
  <si>
    <t xml:space="preserve">Faire Sens</t>
  </si>
  <si>
    <t xml:space="preserve">06 71 56 77 46</t>
  </si>
  <si>
    <t xml:space="preserve">Fanfare</t>
  </si>
  <si>
    <t xml:space="preserve">Fast and Pizza</t>
  </si>
  <si>
    <t xml:space="preserve">1 Rue Roland Garros</t>
  </si>
  <si>
    <t xml:space="preserve">09 83 67 22 82</t>
  </si>
  <si>
    <t xml:space="preserve">FATY Délices</t>
  </si>
  <si>
    <t xml:space="preserve">Couscous, Pâtisserie</t>
  </si>
  <si>
    <t xml:space="preserve">05 61 48 74 03</t>
  </si>
  <si>
    <t xml:space="preserve">FFC</t>
  </si>
  <si>
    <t xml:space="preserve">75 Boulevard Lascrosses</t>
  </si>
  <si>
    <t xml:space="preserve">Flow House</t>
  </si>
  <si>
    <t xml:space="preserve">Salades, Produits locaux, Burger</t>
  </si>
  <si>
    <t xml:space="preserve">4 bis Avenue Frédéric Estèbe</t>
  </si>
  <si>
    <t xml:space="preserve">05 61 75 89 63</t>
  </si>
  <si>
    <t xml:space="preserve">Flunch</t>
  </si>
  <si>
    <t xml:space="preserve">36-54 Route de Bayonne</t>
  </si>
  <si>
    <t xml:space="preserve">05 61 31 80 60</t>
  </si>
  <si>
    <t xml:space="preserve">05 61 48 29 42</t>
  </si>
  <si>
    <t xml:space="preserve">Fogo</t>
  </si>
  <si>
    <t xml:space="preserve">05 61 83 65 14</t>
  </si>
  <si>
    <t xml:space="preserve">Food land</t>
  </si>
  <si>
    <t xml:space="preserve">32 Grande Rue Saint-Michel</t>
  </si>
  <si>
    <t xml:space="preserve">Fouk-Yien</t>
  </si>
  <si>
    <t xml:space="preserve">Fouquet's</t>
  </si>
  <si>
    <t xml:space="preserve">18 Chemin de la Loge</t>
  </si>
  <si>
    <t xml:space="preserve">05 61 33 37 77</t>
  </si>
  <si>
    <t xml:space="preserve">Francesca</t>
  </si>
  <si>
    <t xml:space="preserve">05 62 48 12 98</t>
  </si>
  <si>
    <t xml:space="preserve">Fufu</t>
  </si>
  <si>
    <t xml:space="preserve">32 Rue Sainte-Ursule</t>
  </si>
  <si>
    <t xml:space="preserve">05 62 17 74 46</t>
  </si>
  <si>
    <t xml:space="preserve">Furahaa</t>
  </si>
  <si>
    <t xml:space="preserve">Garçon Sauvage</t>
  </si>
  <si>
    <t xml:space="preserve">05 62 48 41 18</t>
  </si>
  <si>
    <t xml:space="preserve">Gaïa</t>
  </si>
  <si>
    <t xml:space="preserve">09 80 80 78 58</t>
  </si>
  <si>
    <t xml:space="preserve">Gina</t>
  </si>
  <si>
    <t xml:space="preserve">1 Rue Pharaon</t>
  </si>
  <si>
    <t xml:space="preserve">05 62 26 40 12</t>
  </si>
  <si>
    <t xml:space="preserve">Gourmets d'Asie</t>
  </si>
  <si>
    <t xml:space="preserve">Gram’s</t>
  </si>
  <si>
    <t xml:space="preserve">Grand Père</t>
  </si>
  <si>
    <t xml:space="preserve">Afghane</t>
  </si>
  <si>
    <t xml:space="preserve">Grec &amp; co.</t>
  </si>
  <si>
    <t xml:space="preserve">05 34 51 57 06</t>
  </si>
  <si>
    <t xml:space="preserve">Green sur mesure</t>
  </si>
  <si>
    <t xml:space="preserve">Pizza, Sandwicherie, Salades, Poké</t>
  </si>
  <si>
    <t xml:space="preserve">Gruppomino</t>
  </si>
  <si>
    <t xml:space="preserve">04 20 97 10 97</t>
  </si>
  <si>
    <t xml:space="preserve">Guapo</t>
  </si>
  <si>
    <t xml:space="preserve">4 Rue Labéda</t>
  </si>
  <si>
    <t xml:space="preserve">Guayoyo</t>
  </si>
  <si>
    <t xml:space="preserve">Latino-américaine</t>
  </si>
  <si>
    <t xml:space="preserve">19 Rue du Général Jean Compans</t>
  </si>
  <si>
    <t xml:space="preserve">09 73 64 43 90</t>
  </si>
  <si>
    <t xml:space="preserve">Gueuleton</t>
  </si>
  <si>
    <t xml:space="preserve">09 83 34 03 50</t>
  </si>
  <si>
    <t xml:space="preserve">Guo Guo Ji</t>
  </si>
  <si>
    <t xml:space="preserve">Chinoise, Fondue chinoise</t>
  </si>
  <si>
    <t xml:space="preserve">09 82 72 72 72</t>
  </si>
  <si>
    <t xml:space="preserve">Gusto Napoli</t>
  </si>
  <si>
    <t xml:space="preserve">2 Rue de Grenoble</t>
  </si>
  <si>
    <t xml:space="preserve">05 34 24 09 49</t>
  </si>
  <si>
    <t xml:space="preserve">Gusto Pizza</t>
  </si>
  <si>
    <t xml:space="preserve">07 69 51 96 82</t>
  </si>
  <si>
    <t xml:space="preserve">Hao Zai</t>
  </si>
  <si>
    <t xml:space="preserve">Haozaï</t>
  </si>
  <si>
    <t xml:space="preserve">05 61 57 15 54</t>
  </si>
  <si>
    <t xml:space="preserve">Hello Ravioli</t>
  </si>
  <si>
    <t xml:space="preserve">05 61 23 41 40</t>
  </si>
  <si>
    <t xml:space="preserve">Himari Sushi</t>
  </si>
  <si>
    <t xml:space="preserve">Sushi, Asiatique</t>
  </si>
  <si>
    <t xml:space="preserve">05 61 49 22 75</t>
  </si>
  <si>
    <t xml:space="preserve">Himari Sushi Saint-Cyprien</t>
  </si>
  <si>
    <t xml:space="preserve">05 61 43 71 17</t>
  </si>
  <si>
    <t xml:space="preserve">Hinodé</t>
  </si>
  <si>
    <t xml:space="preserve">05 61 21 51 26</t>
  </si>
  <si>
    <t xml:space="preserve">Hippopotamus</t>
  </si>
  <si>
    <t xml:space="preserve">05 62 30 36 60</t>
  </si>
  <si>
    <t xml:space="preserve">Hito</t>
  </si>
  <si>
    <t xml:space="preserve">05 61 22 42 92</t>
  </si>
  <si>
    <t xml:space="preserve">Hop Seng</t>
  </si>
  <si>
    <t xml:space="preserve">17 Rue Denfert Rochereau</t>
  </si>
  <si>
    <t xml:space="preserve">05 61 63 91 14</t>
  </si>
  <si>
    <t xml:space="preserve">Hope</t>
  </si>
  <si>
    <t xml:space="preserve">Pâtes</t>
  </si>
  <si>
    <t xml:space="preserve">Hortus</t>
  </si>
  <si>
    <t xml:space="preserve">17 Rue Croix-Baragnon</t>
  </si>
  <si>
    <t xml:space="preserve">Huong Viet</t>
  </si>
  <si>
    <t xml:space="preserve">2 bis Impasse André Marestan</t>
  </si>
  <si>
    <t xml:space="preserve">05 62 85 76 78</t>
  </si>
  <si>
    <t xml:space="preserve">Iris Saveur d'Orient</t>
  </si>
  <si>
    <t xml:space="preserve">Orientale</t>
  </si>
  <si>
    <t xml:space="preserve">15 Barrière de Lombez</t>
  </si>
  <si>
    <t xml:space="preserve">Italia Pizza</t>
  </si>
  <si>
    <t xml:space="preserve">09 80 55 50 71</t>
  </si>
  <si>
    <t xml:space="preserve">Italian Pizzeria Venezia</t>
  </si>
  <si>
    <t xml:space="preserve">05 61 47 22 48</t>
  </si>
  <si>
    <t xml:space="preserve">Italian's Pizza</t>
  </si>
  <si>
    <t xml:space="preserve">05 34 56 66 52</t>
  </si>
  <si>
    <t xml:space="preserve">Izakaya Iori</t>
  </si>
  <si>
    <t xml:space="preserve">05 61 28 02 47</t>
  </si>
  <si>
    <t xml:space="preserve">Izmir Grill</t>
  </si>
  <si>
    <t xml:space="preserve">J&amp;K Sushi/Thaï</t>
  </si>
  <si>
    <t xml:space="preserve">J'Go</t>
  </si>
  <si>
    <t xml:space="preserve">05 61 23 02 03</t>
  </si>
  <si>
    <t xml:space="preserve">Japoyaki</t>
  </si>
  <si>
    <t xml:space="preserve">05 61 13 68 69</t>
  </si>
  <si>
    <t xml:space="preserve">JEM</t>
  </si>
  <si>
    <t xml:space="preserve">05 34 56 89 74</t>
  </si>
  <si>
    <t xml:space="preserve">Jiao Zi Guan</t>
  </si>
  <si>
    <t xml:space="preserve">Asiatique, Dim sum, Raviolis, Nouilles</t>
  </si>
  <si>
    <t xml:space="preserve">13 Rue du Rempart Villeneuve</t>
  </si>
  <si>
    <t xml:space="preserve">05 34 24 20 89</t>
  </si>
  <si>
    <t xml:space="preserve">Jifu Fondue Asiatique</t>
  </si>
  <si>
    <t xml:space="preserve">09 86 53 41 58</t>
  </si>
  <si>
    <t xml:space="preserve">Jipoonthai</t>
  </si>
  <si>
    <t xml:space="preserve">Japonaise, Thaïlandaise</t>
  </si>
  <si>
    <t xml:space="preserve">05 61 11 22 67</t>
  </si>
  <si>
    <t xml:space="preserve">Joshore Road</t>
  </si>
  <si>
    <t xml:space="preserve">09 75 31 60 69</t>
  </si>
  <si>
    <t xml:space="preserve">Jour de marché</t>
  </si>
  <si>
    <t xml:space="preserve">Juguem</t>
  </si>
  <si>
    <t xml:space="preserve">Japonaise, Traditionnelle</t>
  </si>
  <si>
    <t xml:space="preserve">6 bis Impasse Baour-Lormian</t>
  </si>
  <si>
    <t xml:space="preserve">05 34 24 20 33</t>
  </si>
  <si>
    <t xml:space="preserve">Jumbo</t>
  </si>
  <si>
    <t xml:space="preserve">61 Avenue Maurice Bourgès-Maunoury</t>
  </si>
  <si>
    <t xml:space="preserve">05 34 52 21 13</t>
  </si>
  <si>
    <t xml:space="preserve">Kaiten by Tokami</t>
  </si>
  <si>
    <t xml:space="preserve">05 34 30 29 37</t>
  </si>
  <si>
    <t xml:space="preserve">KALM</t>
  </si>
  <si>
    <t xml:space="preserve">Kashmir</t>
  </si>
  <si>
    <t xml:space="preserve">05 61 59 89 79</t>
  </si>
  <si>
    <t xml:space="preserve">Kashmir et Safran</t>
  </si>
  <si>
    <t xml:space="preserve">05 61 63 69 45</t>
  </si>
  <si>
    <t xml:space="preserve">KAWOK</t>
  </si>
  <si>
    <t xml:space="preserve">Kimato Sushi</t>
  </si>
  <si>
    <t xml:space="preserve">King Fat</t>
  </si>
  <si>
    <t xml:space="preserve">Kiyoshi</t>
  </si>
  <si>
    <t xml:space="preserve">10 Rue Jean Palaprat</t>
  </si>
  <si>
    <t xml:space="preserve">06 65 92 89 26</t>
  </si>
  <si>
    <t xml:space="preserve">Koboon</t>
  </si>
  <si>
    <t xml:space="preserve">Thaïlandaise, Asiatique</t>
  </si>
  <si>
    <t xml:space="preserve">41 Boulevard André Netwiller</t>
  </si>
  <si>
    <t xml:space="preserve">05 61 07 10 05</t>
  </si>
  <si>
    <t xml:space="preserve">Kong-Bap</t>
  </si>
  <si>
    <t xml:space="preserve">06 50 70 69 57</t>
  </si>
  <si>
    <t xml:space="preserve">Kouang-Wa</t>
  </si>
  <si>
    <t xml:space="preserve">Kumo</t>
  </si>
  <si>
    <t xml:space="preserve">05 61 21 62 90</t>
  </si>
  <si>
    <t xml:space="preserve">L'Air de Famille</t>
  </si>
  <si>
    <t xml:space="preserve">6 Rue Jules Chalande</t>
  </si>
  <si>
    <t xml:space="preserve">05 67 06 54 08</t>
  </si>
  <si>
    <t xml:space="preserve">L'Alouette</t>
  </si>
  <si>
    <t xml:space="preserve">05 62 89 13 96</t>
  </si>
  <si>
    <t xml:space="preserve">L'Amoura Pizza</t>
  </si>
  <si>
    <t xml:space="preserve">05 61 49 01 01</t>
  </si>
  <si>
    <t xml:space="preserve">L'Annexe Café</t>
  </si>
  <si>
    <t xml:space="preserve">L'Annexe de la Braisière</t>
  </si>
  <si>
    <t xml:space="preserve">L'Antica</t>
  </si>
  <si>
    <t xml:space="preserve">Pizza, Salades</t>
  </si>
  <si>
    <t xml:space="preserve">44 Rue du Général Jean Compans</t>
  </si>
  <si>
    <t xml:space="preserve">09 81 31 01 02</t>
  </si>
  <si>
    <t xml:space="preserve">L'Antica Pizzeria</t>
  </si>
  <si>
    <t xml:space="preserve">9 Avenue Maurice Bourgès-Maunoury</t>
  </si>
  <si>
    <t xml:space="preserve">09 83 43 20 81</t>
  </si>
  <si>
    <t xml:space="preserve">L'Aperozza</t>
  </si>
  <si>
    <t xml:space="preserve">L'Arbre à Sushi</t>
  </si>
  <si>
    <t xml:space="preserve">09 82 45 91 97</t>
  </si>
  <si>
    <t xml:space="preserve">L'arrosoir</t>
  </si>
  <si>
    <t xml:space="preserve">L'Arum (restaurant universitaire)</t>
  </si>
  <si>
    <t xml:space="preserve">L'Atelier de l'Écharpe</t>
  </si>
  <si>
    <t xml:space="preserve">8 Rue de l'Écharpe</t>
  </si>
  <si>
    <t xml:space="preserve">05 34 30 93 35</t>
  </si>
  <si>
    <t xml:space="preserve">L'atelier des Chefs</t>
  </si>
  <si>
    <t xml:space="preserve">L'Atelier des Plats</t>
  </si>
  <si>
    <t xml:space="preserve">L'Atelier du Pêcheur savoyard</t>
  </si>
  <si>
    <t xml:space="preserve">Fruits de mer, Fondue</t>
  </si>
  <si>
    <t xml:space="preserve">L'Atrium Restaurant</t>
  </si>
  <si>
    <t xml:space="preserve">L'auberge Nazareth</t>
  </si>
  <si>
    <t xml:space="preserve">L'Aubrac</t>
  </si>
  <si>
    <t xml:space="preserve">05 61 62 98 08</t>
  </si>
  <si>
    <t xml:space="preserve">L'Emulation Nautique</t>
  </si>
  <si>
    <t xml:space="preserve">05 61 25 34 95</t>
  </si>
  <si>
    <t xml:space="preserve">L'Entrecôte</t>
  </si>
  <si>
    <t xml:space="preserve">05 61 21 87 18</t>
  </si>
  <si>
    <t xml:space="preserve">L'Ergot</t>
  </si>
  <si>
    <t xml:space="preserve">L'Esquina</t>
  </si>
  <si>
    <t xml:space="preserve">Argentine, Mexicaine, Péruvienne</t>
  </si>
  <si>
    <t xml:space="preserve">L'Impériale</t>
  </si>
  <si>
    <t xml:space="preserve">05 61 12 33 10</t>
  </si>
  <si>
    <t xml:space="preserve">L'Instinct</t>
  </si>
  <si>
    <t xml:space="preserve">L'Italien</t>
  </si>
  <si>
    <t xml:space="preserve">Italienne, Sandwicherie</t>
  </si>
  <si>
    <t xml:space="preserve">1 bis Rue du Pont Saint-Pierre</t>
  </si>
  <si>
    <t xml:space="preserve">09 88 00 02 61</t>
  </si>
  <si>
    <t xml:space="preserve">L'Occitalie</t>
  </si>
  <si>
    <t xml:space="preserve">7 Place Sainte-Scarbes</t>
  </si>
  <si>
    <t xml:space="preserve">05 61 53 20 60</t>
  </si>
  <si>
    <t xml:space="preserve">L'Os à Moëlle</t>
  </si>
  <si>
    <t xml:space="preserve">05 61 63 19 30</t>
  </si>
  <si>
    <t xml:space="preserve">L'Écluse</t>
  </si>
  <si>
    <t xml:space="preserve">06 07 77 96 72</t>
  </si>
  <si>
    <t xml:space="preserve">L'Écorce</t>
  </si>
  <si>
    <t xml:space="preserve">05 34 30 47 99</t>
  </si>
  <si>
    <t xml:space="preserve">L'Élite</t>
  </si>
  <si>
    <t xml:space="preserve">L'Émulsion</t>
  </si>
  <si>
    <t xml:space="preserve">05 61 53 11 15</t>
  </si>
  <si>
    <t xml:space="preserve">L'étoile d'Oran</t>
  </si>
  <si>
    <t xml:space="preserve">Algérienne, Orientale</t>
  </si>
  <si>
    <t xml:space="preserve">07 51 02 79 35</t>
  </si>
  <si>
    <t xml:space="preserve">La Dalle Cultur’elle</t>
  </si>
  <si>
    <t xml:space="preserve">Cafétéria, Pâtisserie, Salon de thé</t>
  </si>
  <si>
    <t xml:space="preserve">La Belle Famille</t>
  </si>
  <si>
    <t xml:space="preserve">La Belle Saison</t>
  </si>
  <si>
    <t xml:space="preserve">05 61 23 26 87</t>
  </si>
  <si>
    <t xml:space="preserve">La Binocle</t>
  </si>
  <si>
    <t xml:space="preserve">10 Rue Alexandre Fourtanier</t>
  </si>
  <si>
    <t xml:space="preserve">05 61 29 84 21</t>
  </si>
  <si>
    <t xml:space="preserve">La Bonita</t>
  </si>
  <si>
    <t xml:space="preserve">La Bouche Gourmande</t>
  </si>
  <si>
    <t xml:space="preserve">1 Rue Labouche</t>
  </si>
  <si>
    <t xml:space="preserve">La Braisière</t>
  </si>
  <si>
    <t xml:space="preserve">Française, Régionale / terroir, Poisson</t>
  </si>
  <si>
    <t xml:space="preserve">42 Rue Pharaon</t>
  </si>
  <si>
    <t xml:space="preserve">05 61 52 37 13</t>
  </si>
  <si>
    <t xml:space="preserve">La Brasserie de Jean</t>
  </si>
  <si>
    <t xml:space="preserve">La Bringuerie</t>
  </si>
  <si>
    <t xml:space="preserve">06 49 74 66 51</t>
  </si>
  <si>
    <t xml:space="preserve">La Cabane</t>
  </si>
  <si>
    <t xml:space="preserve">37 Avenue de Grande Bretagne</t>
  </si>
  <si>
    <t xml:space="preserve">05 61 15 53 56</t>
  </si>
  <si>
    <t xml:space="preserve">La Cabane M. Georges</t>
  </si>
  <si>
    <t xml:space="preserve">La Cantine d'Horace</t>
  </si>
  <si>
    <t xml:space="preserve">Barbecue</t>
  </si>
  <si>
    <t xml:space="preserve">39 Chemin de Virebent</t>
  </si>
  <si>
    <t xml:space="preserve">05 61 50 76 98</t>
  </si>
  <si>
    <t xml:space="preserve">La Cantine du Busca</t>
  </si>
  <si>
    <t xml:space="preserve">La Cave se rebiffe</t>
  </si>
  <si>
    <t xml:space="preserve">07 69 64 50 99</t>
  </si>
  <si>
    <t xml:space="preserve">La Cendrée</t>
  </si>
  <si>
    <t xml:space="preserve">05 61 25 76 97</t>
  </si>
  <si>
    <t xml:space="preserve">La Centrale</t>
  </si>
  <si>
    <t xml:space="preserve">05 61 73 82 31</t>
  </si>
  <si>
    <t xml:space="preserve">La Compagnie Française</t>
  </si>
  <si>
    <t xml:space="preserve">05 31 61 56 16</t>
  </si>
  <si>
    <t xml:space="preserve">La Conserverie</t>
  </si>
  <si>
    <t xml:space="preserve">05 61 53 32 08</t>
  </si>
  <si>
    <t xml:space="preserve">La Couleur du Renard</t>
  </si>
  <si>
    <t xml:space="preserve">10 Boulevard Riquet</t>
  </si>
  <si>
    <t xml:space="preserve">La Criée des Gourmands</t>
  </si>
  <si>
    <t xml:space="preserve">05 34 30 04 10</t>
  </si>
  <si>
    <t xml:space="preserve">La cuisine de Jean</t>
  </si>
  <si>
    <t xml:space="preserve">18 Avenue Albert Bedouce</t>
  </si>
  <si>
    <t xml:space="preserve">05 61 25 90 76</t>
  </si>
  <si>
    <t xml:space="preserve">La Cuisine de Kiné</t>
  </si>
  <si>
    <t xml:space="preserve">Sénégalaise</t>
  </si>
  <si>
    <t xml:space="preserve">La Cuisine Vietnamienne</t>
  </si>
  <si>
    <t xml:space="preserve">2 Esplanade Jean Cassou</t>
  </si>
  <si>
    <t xml:space="preserve">06 99 65 67 89</t>
  </si>
  <si>
    <t xml:space="preserve">La Cuisine à Mémé</t>
  </si>
  <si>
    <t xml:space="preserve">La Cuistoloc</t>
  </si>
  <si>
    <t xml:space="preserve">Familiale</t>
  </si>
  <si>
    <t xml:space="preserve">7 Boulevard Lascrosses</t>
  </si>
  <si>
    <t xml:space="preserve">La Côte de Boeuf</t>
  </si>
  <si>
    <t xml:space="preserve">05 61 21 19 61</t>
  </si>
  <si>
    <t xml:space="preserve">La Fabric</t>
  </si>
  <si>
    <t xml:space="preserve">9 Place du Capitole</t>
  </si>
  <si>
    <t xml:space="preserve">05 61 38 40 62</t>
  </si>
  <si>
    <t xml:space="preserve">La Fabriq du Burger</t>
  </si>
  <si>
    <t xml:space="preserve">29 Avenue de Lavaur</t>
  </si>
  <si>
    <t xml:space="preserve">05 61 23 79 19</t>
  </si>
  <si>
    <t xml:space="preserve">La Faim des Haricots</t>
  </si>
  <si>
    <t xml:space="preserve">05 61 22 49 25</t>
  </si>
  <si>
    <t xml:space="preserve">La Flambée</t>
  </si>
  <si>
    <t xml:space="preserve">La Fleur de Mai</t>
  </si>
  <si>
    <t xml:space="preserve">La Galinette</t>
  </si>
  <si>
    <t xml:space="preserve">La Gazette</t>
  </si>
  <si>
    <t xml:space="preserve">05 61 21 15 81</t>
  </si>
  <si>
    <t xml:space="preserve">La Gaîté!</t>
  </si>
  <si>
    <t xml:space="preserve">31 Rue d'Embarthe</t>
  </si>
  <si>
    <t xml:space="preserve">La Gina Ristorante</t>
  </si>
  <si>
    <t xml:space="preserve">La Gouaille</t>
  </si>
  <si>
    <t xml:space="preserve">05 61 25 65 66</t>
  </si>
  <si>
    <t xml:space="preserve">La Gourmandine</t>
  </si>
  <si>
    <t xml:space="preserve">Régionale / terroir, Burger</t>
  </si>
  <si>
    <t xml:space="preserve">05 34 41 13 67</t>
  </si>
  <si>
    <t xml:space="preserve">05 61 22 78 84</t>
  </si>
  <si>
    <t xml:space="preserve">La Grange</t>
  </si>
  <si>
    <t xml:space="preserve">05 32 53 72 98</t>
  </si>
  <si>
    <t xml:space="preserve">La Grilladele</t>
  </si>
  <si>
    <t xml:space="preserve">La Kasbah</t>
  </si>
  <si>
    <t xml:space="preserve">05 61 23 55 06</t>
  </si>
  <si>
    <t xml:space="preserve">La Loge</t>
  </si>
  <si>
    <t xml:space="preserve">La Madeleine de Proust</t>
  </si>
  <si>
    <t xml:space="preserve">La Maison d'à côté</t>
  </si>
  <si>
    <t xml:space="preserve">Internationale, Française</t>
  </si>
  <si>
    <t xml:space="preserve">45 Rue Jean de Pins</t>
  </si>
  <si>
    <t xml:space="preserve">05 62 48 56 68</t>
  </si>
  <si>
    <t xml:space="preserve">La Maison des Nems</t>
  </si>
  <si>
    <t xml:space="preserve">05 61 21 67 52</t>
  </si>
  <si>
    <t xml:space="preserve">La Mare Aux Canards</t>
  </si>
  <si>
    <t xml:space="preserve">05 61 23 81 58</t>
  </si>
  <si>
    <t xml:space="preserve">La Mariposa</t>
  </si>
  <si>
    <t xml:space="preserve">La Marmite</t>
  </si>
  <si>
    <t xml:space="preserve">35 Rue des Trente-Six Ponts</t>
  </si>
  <si>
    <t xml:space="preserve">La Mesa de Lola</t>
  </si>
  <si>
    <t xml:space="preserve">23 Rue du Général Jean Compans</t>
  </si>
  <si>
    <t xml:space="preserve">05 61 26 03 04</t>
  </si>
  <si>
    <t xml:space="preserve">La Meunière</t>
  </si>
  <si>
    <t xml:space="preserve">La Mignardise</t>
  </si>
  <si>
    <t xml:space="preserve">05 61 23 31 47</t>
  </si>
  <si>
    <t xml:space="preserve">La Milonga</t>
  </si>
  <si>
    <t xml:space="preserve">05 62 72 82 58</t>
  </si>
  <si>
    <t xml:space="preserve">La Mounède</t>
  </si>
  <si>
    <t xml:space="preserve">1 Rue Claude-Marie Perroud</t>
  </si>
  <si>
    <t xml:space="preserve">05 32 11 19 08</t>
  </si>
  <si>
    <t xml:space="preserve">La Muraille d'Or</t>
  </si>
  <si>
    <t xml:space="preserve">05 61 21 15 52</t>
  </si>
  <si>
    <t xml:space="preserve">La Noria</t>
  </si>
  <si>
    <t xml:space="preserve">26 Avenue Maurice Bourgès-Maunoury</t>
  </si>
  <si>
    <t xml:space="preserve">09 51 96 09 18</t>
  </si>
  <si>
    <t xml:space="preserve">La P'tite Gouaille</t>
  </si>
  <si>
    <t xml:space="preserve">05 61 23 91 90</t>
  </si>
  <si>
    <t xml:space="preserve">La Palmeraie</t>
  </si>
  <si>
    <t xml:space="preserve">1 Avenue de Fondeyre</t>
  </si>
  <si>
    <t xml:space="preserve">09 63 64 36 85</t>
  </si>
  <si>
    <t xml:space="preserve">La Paniolade</t>
  </si>
  <si>
    <t xml:space="preserve">146 Boulevard de Suisse</t>
  </si>
  <si>
    <t xml:space="preserve">05 61 13 00 72</t>
  </si>
  <si>
    <t xml:space="preserve">La Pastasciutta</t>
  </si>
  <si>
    <t xml:space="preserve">Pizza, Pâtes</t>
  </si>
  <si>
    <t xml:space="preserve">05 61 62 69 39</t>
  </si>
  <si>
    <t xml:space="preserve">La Pecora Nera</t>
  </si>
  <si>
    <t xml:space="preserve">4 Rue Valentina Terechkova</t>
  </si>
  <si>
    <t xml:space="preserve">05 61 73 42 41</t>
  </si>
  <si>
    <t xml:space="preserve">La Pergola</t>
  </si>
  <si>
    <t xml:space="preserve">05 61 49 29 10</t>
  </si>
  <si>
    <t xml:space="preserve">La perle des Antilles</t>
  </si>
  <si>
    <t xml:space="preserve">La Perse Restaurant</t>
  </si>
  <si>
    <t xml:space="preserve">Persane</t>
  </si>
  <si>
    <t xml:space="preserve">4 Place Arnaud Bernard</t>
  </si>
  <si>
    <t xml:space="preserve">05 61 21 56 18</t>
  </si>
  <si>
    <t xml:space="preserve">La petite cantine</t>
  </si>
  <si>
    <t xml:space="preserve">85 Rue Gabriel Péri</t>
  </si>
  <si>
    <t xml:space="preserve">La Petite Italie</t>
  </si>
  <si>
    <t xml:space="preserve">18 Avenue de la Gloire</t>
  </si>
  <si>
    <t xml:space="preserve">09 83 25 22 51</t>
  </si>
  <si>
    <t xml:space="preserve">La Petite Robe Noire</t>
  </si>
  <si>
    <t xml:space="preserve">32 Rue Pierre Paul Riquet</t>
  </si>
  <si>
    <t xml:space="preserve">05 32 10 80 50</t>
  </si>
  <si>
    <t xml:space="preserve">La Pizzeria</t>
  </si>
  <si>
    <t xml:space="preserve">05 62 16 06 60</t>
  </si>
  <si>
    <t xml:space="preserve">La raffinerie des copains</t>
  </si>
  <si>
    <t xml:space="preserve">Traditionnelle</t>
  </si>
  <si>
    <t xml:space="preserve">161 Avenue Jean Chaubet</t>
  </si>
  <si>
    <t xml:space="preserve">09 67 09 30 86</t>
  </si>
  <si>
    <t xml:space="preserve">La Rajasthani</t>
  </si>
  <si>
    <t xml:space="preserve">05 62 27 08 91</t>
  </si>
  <si>
    <t xml:space="preserve">La Romantica</t>
  </si>
  <si>
    <t xml:space="preserve">05 61 47 79 79</t>
  </si>
  <si>
    <t xml:space="preserve">La Romarine</t>
  </si>
  <si>
    <t xml:space="preserve">La Rosa Negra</t>
  </si>
  <si>
    <t xml:space="preserve">05 34 33 25 82</t>
  </si>
  <si>
    <t xml:space="preserve">La Rosa Negra "Côté Barcelone"</t>
  </si>
  <si>
    <t xml:space="preserve">05 61 22 19 62</t>
  </si>
  <si>
    <t xml:space="preserve">La rosa negra "côté Saint-Cyprien"</t>
  </si>
  <si>
    <t xml:space="preserve">5 Place Jean Diébold</t>
  </si>
  <si>
    <t xml:space="preserve">La Rosa Negra côté Cancha</t>
  </si>
  <si>
    <t xml:space="preserve">05 34 42 13 02</t>
  </si>
  <si>
    <t xml:space="preserve">La Réserve</t>
  </si>
  <si>
    <t xml:space="preserve">Pizza, Française</t>
  </si>
  <si>
    <t xml:space="preserve">05 61 21 84 00</t>
  </si>
  <si>
    <t xml:space="preserve">La Sandia</t>
  </si>
  <si>
    <t xml:space="preserve">Mexicaine</t>
  </si>
  <si>
    <t xml:space="preserve">8 Rue Jean Palaprat</t>
  </si>
  <si>
    <t xml:space="preserve">05 61 63 19 23</t>
  </si>
  <si>
    <t xml:space="preserve">La Santine</t>
  </si>
  <si>
    <t xml:space="preserve">Régionale / terroir, Française</t>
  </si>
  <si>
    <t xml:space="preserve">05 61 21 86 18</t>
  </si>
  <si>
    <t xml:space="preserve">La Sauterelle</t>
  </si>
  <si>
    <t xml:space="preserve">09 83 65 18 21</t>
  </si>
  <si>
    <t xml:space="preserve">La Sen</t>
  </si>
  <si>
    <t xml:space="preserve">La soupe au caillou</t>
  </si>
  <si>
    <t xml:space="preserve">15 Rue Charles Gounod</t>
  </si>
  <si>
    <t xml:space="preserve">05 62 72 81 46</t>
  </si>
  <si>
    <t xml:space="preserve">La Source du Nil</t>
  </si>
  <si>
    <t xml:space="preserve">La Table d'Ariane</t>
  </si>
  <si>
    <t xml:space="preserve">La Table d'Emile &amp; Fernand</t>
  </si>
  <si>
    <t xml:space="preserve">05 62 80 48 94</t>
  </si>
  <si>
    <t xml:space="preserve">La Tantina de la Playa</t>
  </si>
  <si>
    <t xml:space="preserve">59 Avenue Antoine de Saint-Exupéry</t>
  </si>
  <si>
    <t xml:space="preserve">05 61 54 59 59</t>
  </si>
  <si>
    <t xml:space="preserve">La Taqueria</t>
  </si>
  <si>
    <t xml:space="preserve">Mexicaine, Tapas</t>
  </si>
  <si>
    <t xml:space="preserve">05 34 43 81 13</t>
  </si>
  <si>
    <t xml:space="preserve">La Taqueria Toulouse</t>
  </si>
  <si>
    <t xml:space="preserve">Mexicaine, Tacos</t>
  </si>
  <si>
    <t xml:space="preserve">06 19 04 36 05</t>
  </si>
  <si>
    <t xml:space="preserve">La Toulousaine de Restauration</t>
  </si>
  <si>
    <t xml:space="preserve">La Verrière</t>
  </si>
  <si>
    <t xml:space="preserve">05 61 47 28 35</t>
  </si>
  <si>
    <t xml:space="preserve">La Villa</t>
  </si>
  <si>
    <t xml:space="preserve">La Villa Clapotis</t>
  </si>
  <si>
    <t xml:space="preserve">Poisson</t>
  </si>
  <si>
    <t xml:space="preserve">05 61 75 86 58</t>
  </si>
  <si>
    <t xml:space="preserve">La Villa des Oliviers</t>
  </si>
  <si>
    <t xml:space="preserve">Lady Sushi</t>
  </si>
  <si>
    <t xml:space="preserve">Lamama</t>
  </si>
  <si>
    <t xml:space="preserve">Salon de thé, Salades, Brunch, Pâtisserie, Sandwicherie</t>
  </si>
  <si>
    <t xml:space="preserve">3 Rue Louise Weiss</t>
  </si>
  <si>
    <t xml:space="preserve">06 66 18 68 01</t>
  </si>
  <si>
    <t xml:space="preserve">Las Tapas Locas</t>
  </si>
  <si>
    <t xml:space="preserve">2 Rue des Trois Journées</t>
  </si>
  <si>
    <t xml:space="preserve">Le 101</t>
  </si>
  <si>
    <t xml:space="preserve">101 Route d'Agde</t>
  </si>
  <si>
    <t xml:space="preserve">05 34 44 00 69</t>
  </si>
  <si>
    <t xml:space="preserve">Le 224</t>
  </si>
  <si>
    <t xml:space="preserve">Africaine, Grill / viandes</t>
  </si>
  <si>
    <t xml:space="preserve">06 05 62 62 18 / 07 67 71 67 61</t>
  </si>
  <si>
    <t xml:space="preserve">Le 4uatre</t>
  </si>
  <si>
    <t xml:space="preserve">4 Avenue Crampel</t>
  </si>
  <si>
    <t xml:space="preserve">05 61 14 15 92</t>
  </si>
  <si>
    <t xml:space="preserve">Le Bangalore</t>
  </si>
  <si>
    <t xml:space="preserve">05 61 63 71 40 / 06 51 82 55 64</t>
  </si>
  <si>
    <t xml:space="preserve">Le Baratie</t>
  </si>
  <si>
    <t xml:space="preserve">39 Boulevard des Récollets</t>
  </si>
  <si>
    <t xml:space="preserve">05 67 06 32 34</t>
  </si>
  <si>
    <t xml:space="preserve">Le Bateau Lavoir</t>
  </si>
  <si>
    <t xml:space="preserve">05 67 06 28 04</t>
  </si>
  <si>
    <t xml:space="preserve">Le Bidule</t>
  </si>
  <si>
    <t xml:space="preserve">Burger, Tapas, Française</t>
  </si>
  <si>
    <t xml:space="preserve">30 Avenue Jean Dagnaux</t>
  </si>
  <si>
    <t xml:space="preserve">05 61 21 61 29</t>
  </si>
  <si>
    <t xml:space="preserve">Le Biergarten Saint Michel</t>
  </si>
  <si>
    <t xml:space="preserve">Allemande</t>
  </si>
  <si>
    <t xml:space="preserve">05 61 73 83 77</t>
  </si>
  <si>
    <t xml:space="preserve">Le Bistronum</t>
  </si>
  <si>
    <t xml:space="preserve">Bistrot</t>
  </si>
  <si>
    <t xml:space="preserve">2 Rond-Point de Madame de Mondonville</t>
  </si>
  <si>
    <t xml:space="preserve">06 88 13 90 81</t>
  </si>
  <si>
    <t xml:space="preserve">Le Bistroquet à la Une</t>
  </si>
  <si>
    <t xml:space="preserve">10 Rue Labéda</t>
  </si>
  <si>
    <t xml:space="preserve">Le bistrot d'Hercule</t>
  </si>
  <si>
    <t xml:space="preserve">05 61 23 12 20</t>
  </si>
  <si>
    <t xml:space="preserve">Le bistrot du Port</t>
  </si>
  <si>
    <t xml:space="preserve">Le Bistrot Libanais</t>
  </si>
  <si>
    <t xml:space="preserve">05 31 54 30 17</t>
  </si>
  <si>
    <t xml:space="preserve">Le Bombay</t>
  </si>
  <si>
    <t xml:space="preserve">05 61 23 06 90</t>
  </si>
  <si>
    <t xml:space="preserve">Le Bon Saint-Simon</t>
  </si>
  <si>
    <t xml:space="preserve">Le Bouillon Capitole</t>
  </si>
  <si>
    <t xml:space="preserve">05 61 21 37 03</t>
  </si>
  <si>
    <t xml:space="preserve">Le Boulis</t>
  </si>
  <si>
    <t xml:space="preserve">142 Rue de Négreneys</t>
  </si>
  <si>
    <t xml:space="preserve">05 61 57 42 12</t>
  </si>
  <si>
    <t xml:space="preserve">Le Bristol</t>
  </si>
  <si>
    <t xml:space="preserve">Le Buffet du Grand Marché</t>
  </si>
  <si>
    <t xml:space="preserve">Le Bus 111</t>
  </si>
  <si>
    <t xml:space="preserve">111 Avenue de Lespinet</t>
  </si>
  <si>
    <t xml:space="preserve">09 80 34 21 05</t>
  </si>
  <si>
    <t xml:space="preserve">Le Cabanon</t>
  </si>
  <si>
    <t xml:space="preserve">05 61 23 64 71</t>
  </si>
  <si>
    <t xml:space="preserve">Le café du midi</t>
  </si>
  <si>
    <t xml:space="preserve">Le Cantou</t>
  </si>
  <si>
    <t xml:space="preserve">98 Rue Velasquez</t>
  </si>
  <si>
    <t xml:space="preserve">05 61 49 20 21</t>
  </si>
  <si>
    <t xml:space="preserve">Le Carré Gourmand</t>
  </si>
  <si>
    <t xml:space="preserve">05 61 11 48 72</t>
  </si>
  <si>
    <t xml:space="preserve">Le Chai Saint-Sauveur</t>
  </si>
  <si>
    <t xml:space="preserve">Le Chalet</t>
  </si>
  <si>
    <t xml:space="preserve">Le Chef du Burger</t>
  </si>
  <si>
    <t xml:space="preserve">Le Chevillard</t>
  </si>
  <si>
    <t xml:space="preserve">Grill / viandes, Française, Coffee shop, Produits locaux, Friture, Bols de bœuf, Diner américain</t>
  </si>
  <si>
    <t xml:space="preserve">05 61 21 32 02</t>
  </si>
  <si>
    <t xml:space="preserve">Le coin des producteurs</t>
  </si>
  <si>
    <t xml:space="preserve">Régionale / terroir, Produits locaux</t>
  </si>
  <si>
    <t xml:space="preserve">33 Avenue de Larrieu</t>
  </si>
  <si>
    <t xml:space="preserve">05 61 76 53 88</t>
  </si>
  <si>
    <t xml:space="preserve">Le Colombier</t>
  </si>
  <si>
    <t xml:space="preserve">Le Comptoir du Rex</t>
  </si>
  <si>
    <t xml:space="preserve">05 61 21 82 72</t>
  </si>
  <si>
    <t xml:space="preserve">Le Comptoir Gourmand</t>
  </si>
  <si>
    <t xml:space="preserve">05 62 57 97 78</t>
  </si>
  <si>
    <t xml:space="preserve">Le Comptoir Italien</t>
  </si>
  <si>
    <t xml:space="preserve">05 32 02 54 67</t>
  </si>
  <si>
    <t xml:space="preserve">Le Comptoir à Pizzas</t>
  </si>
  <si>
    <t xml:space="preserve">05 62 86 24 94</t>
  </si>
  <si>
    <t xml:space="preserve">Le Coq en Pâte</t>
  </si>
  <si>
    <t xml:space="preserve">05 32 02 43 39</t>
  </si>
  <si>
    <t xml:space="preserve">Le Coup de fourchette</t>
  </si>
  <si>
    <t xml:space="preserve">15 Avenue de Larrieu</t>
  </si>
  <si>
    <t xml:space="preserve">05 62 87 99 50</t>
  </si>
  <si>
    <t xml:space="preserve">Le Court Circuit</t>
  </si>
  <si>
    <t xml:space="preserve">4 Rue Réclusane</t>
  </si>
  <si>
    <t xml:space="preserve">09 87 73 66 07</t>
  </si>
  <si>
    <t xml:space="preserve">Le Cri de la Truffe</t>
  </si>
  <si>
    <t xml:space="preserve">05 61 14 25 35</t>
  </si>
  <si>
    <t xml:space="preserve">Le Cénacle</t>
  </si>
  <si>
    <t xml:space="preserve">46 Rue des Couteliers</t>
  </si>
  <si>
    <t xml:space="preserve">Le d'Artagnan</t>
  </si>
  <si>
    <t xml:space="preserve">60 Boulevard de Suisse</t>
  </si>
  <si>
    <t xml:space="preserve">05 61 13 42 37</t>
  </si>
  <si>
    <t xml:space="preserve">Le Dahu</t>
  </si>
  <si>
    <t xml:space="preserve">05 61 13 73 13</t>
  </si>
  <si>
    <t xml:space="preserve">Le Dakar</t>
  </si>
  <si>
    <t xml:space="preserve">Le Dynastie</t>
  </si>
  <si>
    <t xml:space="preserve">Chinoise, Japonaise, Asiatique, Sushi, Buffet</t>
  </si>
  <si>
    <t xml:space="preserve">05 61 48 21 46</t>
  </si>
  <si>
    <t xml:space="preserve">Le Déclic</t>
  </si>
  <si>
    <t xml:space="preserve">Crêperie, Tapas</t>
  </si>
  <si>
    <t xml:space="preserve">09 75 66 36 97</t>
  </si>
  <si>
    <t xml:space="preserve">Le Faubourg</t>
  </si>
  <si>
    <t xml:space="preserve">17 Rue Paul Charrier</t>
  </si>
  <si>
    <t xml:space="preserve">Le Fifteen</t>
  </si>
  <si>
    <t xml:space="preserve">Le Galuchat</t>
  </si>
  <si>
    <t xml:space="preserve">40 Rue des Lois</t>
  </si>
  <si>
    <t xml:space="preserve">05 61 29 02 99</t>
  </si>
  <si>
    <t xml:space="preserve">Le Gandhi</t>
  </si>
  <si>
    <t xml:space="preserve">06 43 01 46 77</t>
  </si>
  <si>
    <t xml:space="preserve">Le Genty Magre</t>
  </si>
  <si>
    <t xml:space="preserve">05 61 21 38 60</t>
  </si>
  <si>
    <t xml:space="preserve">Le Goût en Train</t>
  </si>
  <si>
    <t xml:space="preserve">05 62 30 08 08</t>
  </si>
  <si>
    <t xml:space="preserve">Le Grand Café du Stade</t>
  </si>
  <si>
    <t xml:space="preserve">Le Grenier de Pépé</t>
  </si>
  <si>
    <t xml:space="preserve">Régionale / terroir, Crêperie</t>
  </si>
  <si>
    <t xml:space="preserve">05 61 20 07 45</t>
  </si>
  <si>
    <t xml:space="preserve">Le Gros Arbre</t>
  </si>
  <si>
    <t xml:space="preserve">07 65 87 29 34</t>
  </si>
  <si>
    <t xml:space="preserve">Le J'Go</t>
  </si>
  <si>
    <t xml:space="preserve">Le Jardin</t>
  </si>
  <si>
    <t xml:space="preserve">05 62 57 83 97</t>
  </si>
  <si>
    <t xml:space="preserve">Le King</t>
  </si>
  <si>
    <t xml:space="preserve">Vietnamienne, Chinoise</t>
  </si>
  <si>
    <t xml:space="preserve">05 61 53 28 25</t>
  </si>
  <si>
    <t xml:space="preserve">Le Kiosque de la Roseraie</t>
  </si>
  <si>
    <t xml:space="preserve">Tartines</t>
  </si>
  <si>
    <t xml:space="preserve">06 47 15 78 22</t>
  </si>
  <si>
    <t xml:space="preserve">Le Ksar</t>
  </si>
  <si>
    <t xml:space="preserve">Marocaine, Méditerranéenne</t>
  </si>
  <si>
    <t xml:space="preserve">7 Rue Perchepinte</t>
  </si>
  <si>
    <t xml:space="preserve">05 61 53 72 20</t>
  </si>
  <si>
    <t xml:space="preserve">Le Kyoto</t>
  </si>
  <si>
    <t xml:space="preserve">Le Louchebem</t>
  </si>
  <si>
    <t xml:space="preserve">05 67 00 51 75</t>
  </si>
  <si>
    <t xml:space="preserve">Le Lusso</t>
  </si>
  <si>
    <t xml:space="preserve">Place du Docteur Joseph Baylac</t>
  </si>
  <si>
    <t xml:space="preserve">le M'BWAFOUÈ</t>
  </si>
  <si>
    <t xml:space="preserve">Le Magret</t>
  </si>
  <si>
    <t xml:space="preserve">05 61 23 21 32</t>
  </si>
  <si>
    <t xml:space="preserve">Le Maharaja</t>
  </si>
  <si>
    <t xml:space="preserve">05 34 30 50 12</t>
  </si>
  <si>
    <t xml:space="preserve">Le Manel</t>
  </si>
  <si>
    <t xml:space="preserve">Le maraîcher dans son assiette</t>
  </si>
  <si>
    <t xml:space="preserve">05 82 74 34 05</t>
  </si>
  <si>
    <t xml:space="preserve">Le Marocain</t>
  </si>
  <si>
    <t xml:space="preserve">05 61 53 28 01</t>
  </si>
  <si>
    <t xml:space="preserve">Le Marsiglia</t>
  </si>
  <si>
    <t xml:space="preserve">Le Mas De Dardagna</t>
  </si>
  <si>
    <t xml:space="preserve">1 Chemin de Dardagna</t>
  </si>
  <si>
    <t xml:space="preserve">Le Mastroquet</t>
  </si>
  <si>
    <t xml:space="preserve">29</t>
  </si>
  <si>
    <t xml:space="preserve">05 61 55 34 09</t>
  </si>
  <si>
    <t xml:space="preserve">Le May</t>
  </si>
  <si>
    <t xml:space="preserve">05 61 23 98 76</t>
  </si>
  <si>
    <t xml:space="preserve">Le Mayombe</t>
  </si>
  <si>
    <t xml:space="preserve">Le Menhir</t>
  </si>
  <si>
    <t xml:space="preserve">Crêperie, Française</t>
  </si>
  <si>
    <t xml:space="preserve">05 61 80 57 72</t>
  </si>
  <si>
    <t xml:space="preserve">Le Moaï</t>
  </si>
  <si>
    <t xml:space="preserve">35 Allées Jules Guesde</t>
  </si>
  <si>
    <t xml:space="preserve">05 34 31 67 85</t>
  </si>
  <si>
    <t xml:space="preserve">Le monde de jennah</t>
  </si>
  <si>
    <t xml:space="preserve">Marocaine, Burger</t>
  </si>
  <si>
    <t xml:space="preserve">39 Avenue des Minimes</t>
  </si>
  <si>
    <t xml:space="preserve">09 52 28 47 77</t>
  </si>
  <si>
    <t xml:space="preserve">Le monde est à nous</t>
  </si>
  <si>
    <t xml:space="preserve">Le Monica</t>
  </si>
  <si>
    <t xml:space="preserve">5 Rue Jacques Cujas</t>
  </si>
  <si>
    <t xml:space="preserve">05 61 12 10 22</t>
  </si>
  <si>
    <t xml:space="preserve">Le Moulin de Toulouse</t>
  </si>
  <si>
    <t xml:space="preserve">Le Muang Thaï</t>
  </si>
  <si>
    <t xml:space="preserve">136 Rue Achille Viadieu</t>
  </si>
  <si>
    <t xml:space="preserve">09 79 29 33 63</t>
  </si>
  <si>
    <t xml:space="preserve">Le Mékong</t>
  </si>
  <si>
    <t xml:space="preserve">187 Route de Bayonne</t>
  </si>
  <si>
    <t xml:space="preserve">05 34 46 53 27</t>
  </si>
  <si>
    <t xml:space="preserve">Le New Goa</t>
  </si>
  <si>
    <t xml:space="preserve">Le Nez Rouge</t>
  </si>
  <si>
    <t xml:space="preserve">05 61 25 83 42</t>
  </si>
  <si>
    <t xml:space="preserve">Le Noma</t>
  </si>
  <si>
    <t xml:space="preserve">05 61 47 30 40</t>
  </si>
  <si>
    <t xml:space="preserve">Le P'tit Louis</t>
  </si>
  <si>
    <t xml:space="preserve">32 Rue de la République</t>
  </si>
  <si>
    <t xml:space="preserve">09 54 89 74 35</t>
  </si>
  <si>
    <t xml:space="preserve">Le Pacific</t>
  </si>
  <si>
    <t xml:space="preserve">Le Panache</t>
  </si>
  <si>
    <t xml:space="preserve">Le Parisien</t>
  </si>
  <si>
    <t xml:space="preserve">05 61 21 54 12</t>
  </si>
  <si>
    <t xml:space="preserve">Le Patio de Lalande</t>
  </si>
  <si>
    <t xml:space="preserve">Le Pavé des Minimes</t>
  </si>
  <si>
    <t xml:space="preserve">05 61 57 38 02</t>
  </si>
  <si>
    <t xml:space="preserve">Le Perche Pinte</t>
  </si>
  <si>
    <t xml:space="preserve">05 61 53 51 71</t>
  </si>
  <si>
    <t xml:space="preserve">Le Petit Marais</t>
  </si>
  <si>
    <t xml:space="preserve">05 34 33 51 07</t>
  </si>
  <si>
    <t xml:space="preserve">Le petit Salin</t>
  </si>
  <si>
    <t xml:space="preserve">05 61 53 64 44</t>
  </si>
  <si>
    <t xml:space="preserve">Le Petit San Seb</t>
  </si>
  <si>
    <t xml:space="preserve">Espagnole, Tapas</t>
  </si>
  <si>
    <t xml:space="preserve">05 61 62 00 01</t>
  </si>
  <si>
    <t xml:space="preserve">Le Petit Victor</t>
  </si>
  <si>
    <t xml:space="preserve">Le point d'Ogre</t>
  </si>
  <si>
    <t xml:space="preserve">05 61 25 53 54</t>
  </si>
  <si>
    <t xml:space="preserve">Le Pyrénéen</t>
  </si>
  <si>
    <t xml:space="preserve">05 61 23 38 88</t>
  </si>
  <si>
    <t xml:space="preserve">Le Père Léon</t>
  </si>
  <si>
    <t xml:space="preserve">05 61 23 90 95</t>
  </si>
  <si>
    <t xml:space="preserve">Le QG</t>
  </si>
  <si>
    <t xml:space="preserve">Le Quartier Libre</t>
  </si>
  <si>
    <t xml:space="preserve">Tapas, Bistrot</t>
  </si>
  <si>
    <t xml:space="preserve">Le Rajnagar</t>
  </si>
  <si>
    <t xml:space="preserve">4 Rue Alexandre Fourtanier</t>
  </si>
  <si>
    <t xml:space="preserve">Le Refuge des Copains</t>
  </si>
  <si>
    <t xml:space="preserve">Le Refuge Saint Rome</t>
  </si>
  <si>
    <t xml:space="preserve">36 Rue Saint-Rome</t>
  </si>
  <si>
    <t xml:space="preserve">Le Restaurant</t>
  </si>
  <si>
    <t xml:space="preserve">05 67 52 22 68</t>
  </si>
  <si>
    <t xml:space="preserve">Le restaurant sans nom</t>
  </si>
  <si>
    <t xml:space="preserve">09 86 07 86 07</t>
  </si>
  <si>
    <t xml:space="preserve">Le Ripaille</t>
  </si>
  <si>
    <t xml:space="preserve">Le Rocher de la Vierge</t>
  </si>
  <si>
    <t xml:space="preserve">Le Rohtang Pass</t>
  </si>
  <si>
    <t xml:space="preserve">Le Rond de Serviette</t>
  </si>
  <si>
    <t xml:space="preserve">14 Place Olivier</t>
  </si>
  <si>
    <t xml:space="preserve">05 61 42 64 14</t>
  </si>
  <si>
    <t xml:space="preserve">Le RowingClub</t>
  </si>
  <si>
    <t xml:space="preserve">19 Allée Alfred Mayssonnié</t>
  </si>
  <si>
    <t xml:space="preserve">Le Safran</t>
  </si>
  <si>
    <t xml:space="preserve">05 62 27 14 10</t>
  </si>
  <si>
    <t xml:space="preserve">Le Saint Honest</t>
  </si>
  <si>
    <t xml:space="preserve">05 34 65 94 13</t>
  </si>
  <si>
    <t xml:space="preserve">Le Saint-Sauvage</t>
  </si>
  <si>
    <t xml:space="preserve">05 61 23 56 86</t>
  </si>
  <si>
    <t xml:space="preserve">Le Saint-Simon</t>
  </si>
  <si>
    <t xml:space="preserve">Française, Pizza</t>
  </si>
  <si>
    <t xml:space="preserve">05 34 28 01 32</t>
  </si>
  <si>
    <t xml:space="preserve">Le Semiramis</t>
  </si>
  <si>
    <t xml:space="preserve">05 61 23 66 11</t>
  </si>
  <si>
    <t xml:space="preserve">Le Servant</t>
  </si>
  <si>
    <t xml:space="preserve">06 45 02 72 96</t>
  </si>
  <si>
    <t xml:space="preserve">Le Shahi Dhaba</t>
  </si>
  <si>
    <t xml:space="preserve">05 62 52 26 78</t>
  </si>
  <si>
    <t xml:space="preserve">Le Shahrazade</t>
  </si>
  <si>
    <t xml:space="preserve">Le Shaker</t>
  </si>
  <si>
    <t xml:space="preserve">1 Rue Jean Viollis</t>
  </si>
  <si>
    <t xml:space="preserve">05 32 59 20 42</t>
  </si>
  <si>
    <t xml:space="preserve">Le Shaman</t>
  </si>
  <si>
    <t xml:space="preserve">Le Sherpa</t>
  </si>
  <si>
    <t xml:space="preserve">Crêperie, Salon de thé</t>
  </si>
  <si>
    <t xml:space="preserve">05 61 23 89 29</t>
  </si>
  <si>
    <t xml:space="preserve">Le Soulier</t>
  </si>
  <si>
    <t xml:space="preserve">Le St-Exupéry</t>
  </si>
  <si>
    <t xml:space="preserve">Le Sud d'Asie</t>
  </si>
  <si>
    <t xml:space="preserve">Asiatique, Chinoise</t>
  </si>
  <si>
    <t xml:space="preserve">Le Sukhothaï</t>
  </si>
  <si>
    <t xml:space="preserve">05 61 62 84 70</t>
  </si>
  <si>
    <t xml:space="preserve">Le Temps des Vendanges</t>
  </si>
  <si>
    <t xml:space="preserve">05 61 42 94 66</t>
  </si>
  <si>
    <t xml:space="preserve">Le Toec</t>
  </si>
  <si>
    <t xml:space="preserve">05 61 23 33 41</t>
  </si>
  <si>
    <t xml:space="preserve">Le Troquet Garonne</t>
  </si>
  <si>
    <t xml:space="preserve">05 34 53 32 98</t>
  </si>
  <si>
    <t xml:space="preserve">Le Vacarmes</t>
  </si>
  <si>
    <t xml:space="preserve">05 82 74 62 71</t>
  </si>
  <si>
    <t xml:space="preserve">Le Versant</t>
  </si>
  <si>
    <t xml:space="preserve">Le Vialou</t>
  </si>
  <si>
    <t xml:space="preserve">Le Victoria</t>
  </si>
  <si>
    <t xml:space="preserve">Le Viet Nam</t>
  </si>
  <si>
    <t xml:space="preserve">Le Zinc</t>
  </si>
  <si>
    <t xml:space="preserve">05 61 23 64 65</t>
  </si>
  <si>
    <t xml:space="preserve">Lee In</t>
  </si>
  <si>
    <t xml:space="preserve">Leriche de Saveurs</t>
  </si>
  <si>
    <t xml:space="preserve">09 82 52 86 55</t>
  </si>
  <si>
    <t xml:space="preserve">Les 2 Font la Paire</t>
  </si>
  <si>
    <t xml:space="preserve">05 82 75 78 66</t>
  </si>
  <si>
    <t xml:space="preserve">Les 4 petits cochons</t>
  </si>
  <si>
    <t xml:space="preserve">Avenue de Lardenne</t>
  </si>
  <si>
    <t xml:space="preserve">Les Arcades</t>
  </si>
  <si>
    <t xml:space="preserve">Les Brochettes</t>
  </si>
  <si>
    <t xml:space="preserve">Les Burgers de Colette</t>
  </si>
  <si>
    <t xml:space="preserve">Les Caves de la Maréchale</t>
  </si>
  <si>
    <t xml:space="preserve">05 61 23 89 88</t>
  </si>
  <si>
    <t xml:space="preserve">Les chimères</t>
  </si>
  <si>
    <t xml:space="preserve">Les copains d'abord</t>
  </si>
  <si>
    <t xml:space="preserve">05 40 25 15 44</t>
  </si>
  <si>
    <t xml:space="preserve">Les Crêpes de Benoît</t>
  </si>
  <si>
    <t xml:space="preserve">05 61 55 33 56</t>
  </si>
  <si>
    <t xml:space="preserve">Les délices de Léna</t>
  </si>
  <si>
    <t xml:space="preserve">10 Avenue Octave Léry</t>
  </si>
  <si>
    <t xml:space="preserve">05 34 33 83 74</t>
  </si>
  <si>
    <t xml:space="preserve">Les Eaux Vives</t>
  </si>
  <si>
    <t xml:space="preserve">Fruits de mer, Gastronomique</t>
  </si>
  <si>
    <t xml:space="preserve">05 61 46 13 10</t>
  </si>
  <si>
    <t xml:space="preserve">Les Enfants Terribles...</t>
  </si>
  <si>
    <t xml:space="preserve">05 62 26 47 73</t>
  </si>
  <si>
    <t xml:space="preserve">Les Etoiles d'Asie</t>
  </si>
  <si>
    <t xml:space="preserve">Avenue du Mirail</t>
  </si>
  <si>
    <t xml:space="preserve">Les filous</t>
  </si>
  <si>
    <t xml:space="preserve">Grecque</t>
  </si>
  <si>
    <t xml:space="preserve">18 Rue d'Aubuisson</t>
  </si>
  <si>
    <t xml:space="preserve">05 34 66 86 57</t>
  </si>
  <si>
    <t xml:space="preserve">Les Fines Gueules</t>
  </si>
  <si>
    <t xml:space="preserve">Les Folles Saisons</t>
  </si>
  <si>
    <t xml:space="preserve">Les Fondues de la Daurade</t>
  </si>
  <si>
    <t xml:space="preserve">05 61 12 04 04</t>
  </si>
  <si>
    <t xml:space="preserve">Les Galopins</t>
  </si>
  <si>
    <t xml:space="preserve">05 62 26 27 14</t>
  </si>
  <si>
    <t xml:space="preserve">Les Halles d'Adrien</t>
  </si>
  <si>
    <t xml:space="preserve">05 34 56 59 46</t>
  </si>
  <si>
    <t xml:space="preserve">Les Halles de la Cité</t>
  </si>
  <si>
    <t xml:space="preserve">Les Halles de la Transition</t>
  </si>
  <si>
    <t xml:space="preserve">Les Illustres</t>
  </si>
  <si>
    <t xml:space="preserve">9</t>
  </si>
  <si>
    <t xml:space="preserve">Les Impulsifs</t>
  </si>
  <si>
    <t xml:space="preserve">09 87 37 74 92</t>
  </si>
  <si>
    <t xml:space="preserve">Les Jardins d'Elyssa</t>
  </si>
  <si>
    <t xml:space="preserve">Tunisienne</t>
  </si>
  <si>
    <t xml:space="preserve">Les Jardins de Candie</t>
  </si>
  <si>
    <t xml:space="preserve">05 61 30 51 40</t>
  </si>
  <si>
    <t xml:space="preserve">Les Jardins de l'Olympe</t>
  </si>
  <si>
    <t xml:space="preserve">200 Route de Blagnac</t>
  </si>
  <si>
    <t xml:space="preserve">05 61 57 02 86</t>
  </si>
  <si>
    <t xml:space="preserve">Les Jardins de l'Opéra</t>
  </si>
  <si>
    <t xml:space="preserve">05 61 23 07 76</t>
  </si>
  <si>
    <t xml:space="preserve">Les Jardins de la Cépière</t>
  </si>
  <si>
    <t xml:space="preserve">30 Chemin des Courses</t>
  </si>
  <si>
    <t xml:space="preserve">09 80 75 39 29</t>
  </si>
  <si>
    <t xml:space="preserve">Les Marronniers</t>
  </si>
  <si>
    <t xml:space="preserve">Les Mascareignes</t>
  </si>
  <si>
    <t xml:space="preserve">Antillaise, Créole, Réunionnaise</t>
  </si>
  <si>
    <t xml:space="preserve">05 61 22 60 12</t>
  </si>
  <si>
    <t xml:space="preserve">Les Munitionnettes</t>
  </si>
  <si>
    <t xml:space="preserve">169 Avenue de Grande Bretagne</t>
  </si>
  <si>
    <t xml:space="preserve">09 71 39 25 15</t>
  </si>
  <si>
    <t xml:space="preserve">Les Passionnés</t>
  </si>
  <si>
    <t xml:space="preserve">31B Allée de Brienne</t>
  </si>
  <si>
    <t xml:space="preserve">05 61 13 99 06</t>
  </si>
  <si>
    <t xml:space="preserve">Les petites marguerites</t>
  </si>
  <si>
    <t xml:space="preserve">Les Petits Crus</t>
  </si>
  <si>
    <t xml:space="preserve">17 Rue des Couteliers</t>
  </si>
  <si>
    <t xml:space="preserve">09 87 73 58 59</t>
  </si>
  <si>
    <t xml:space="preserve">Les Planeurs</t>
  </si>
  <si>
    <t xml:space="preserve">Japonaise, Française</t>
  </si>
  <si>
    <t xml:space="preserve">09 86 51 56 95</t>
  </si>
  <si>
    <t xml:space="preserve">Les Quatre Saisons</t>
  </si>
  <si>
    <t xml:space="preserve">05 61 52 33 62</t>
  </si>
  <si>
    <t xml:space="preserve">Les Saveurs De L'inde</t>
  </si>
  <si>
    <t xml:space="preserve">Les Thermes</t>
  </si>
  <si>
    <t xml:space="preserve">09 54 52 48 19</t>
  </si>
  <si>
    <t xml:space="preserve">Les Thermes Kongfu</t>
  </si>
  <si>
    <t xml:space="preserve">Nouilles, Chinoise</t>
  </si>
  <si>
    <t xml:space="preserve">Les Tilleuls</t>
  </si>
  <si>
    <t xml:space="preserve">Burger, Tapas</t>
  </si>
  <si>
    <t xml:space="preserve">34 Avenue du Cimetière</t>
  </si>
  <si>
    <t xml:space="preserve">Les Tontons Flingueuses</t>
  </si>
  <si>
    <t xml:space="preserve">05 61 32 02 19</t>
  </si>
  <si>
    <t xml:space="preserve">Les Trois Soupes</t>
  </si>
  <si>
    <t xml:space="preserve">Française, Traditionnelle, Soupes</t>
  </si>
  <si>
    <t xml:space="preserve">05 62 17 53 01</t>
  </si>
  <si>
    <t xml:space="preserve">Les Turres</t>
  </si>
  <si>
    <t xml:space="preserve">Les Têtes d'Ail</t>
  </si>
  <si>
    <t xml:space="preserve">05 61 13 40 41</t>
  </si>
  <si>
    <t xml:space="preserve">Lhasa Cafe</t>
  </si>
  <si>
    <t xml:space="preserve">Tibétaine</t>
  </si>
  <si>
    <t xml:space="preserve">Ligot</t>
  </si>
  <si>
    <t xml:space="preserve">Liquides-resto à boire</t>
  </si>
  <si>
    <t xml:space="preserve">Little New-York</t>
  </si>
  <si>
    <t xml:space="preserve">Llum</t>
  </si>
  <si>
    <t xml:space="preserve">7 Rue Saint-Léon</t>
  </si>
  <si>
    <t xml:space="preserve">05 61 53 81 51</t>
  </si>
  <si>
    <t xml:space="preserve">Lo Stivale</t>
  </si>
  <si>
    <t xml:space="preserve">10 Rue des Moulins</t>
  </si>
  <si>
    <t xml:space="preserve">05 62 26 28 19</t>
  </si>
  <si>
    <t xml:space="preserve">Loge 24</t>
  </si>
  <si>
    <t xml:space="preserve">05 61 14 10 07</t>
  </si>
  <si>
    <t xml:space="preserve">Long Quan</t>
  </si>
  <si>
    <t xml:space="preserve">09 54 31 56 64</t>
  </si>
  <si>
    <t xml:space="preserve">Lotus</t>
  </si>
  <si>
    <t xml:space="preserve">L’Assemblée Gourmande</t>
  </si>
  <si>
    <t xml:space="preserve">8 Rue Louis Courtois de Viçose</t>
  </si>
  <si>
    <t xml:space="preserve">05 61 72 69 19</t>
  </si>
  <si>
    <t xml:space="preserve">L’Hippi’curien</t>
  </si>
  <si>
    <t xml:space="preserve">62 Chemin des Courses</t>
  </si>
  <si>
    <t xml:space="preserve">M by Mo Bachir</t>
  </si>
  <si>
    <t xml:space="preserve">09 86 48 97 75</t>
  </si>
  <si>
    <t xml:space="preserve">M&amp;S Pizzeria</t>
  </si>
  <si>
    <t xml:space="preserve">7 Place Commerciale de Jolimont</t>
  </si>
  <si>
    <t xml:space="preserve">05 61 38 11 78</t>
  </si>
  <si>
    <t xml:space="preserve">M. Georges</t>
  </si>
  <si>
    <t xml:space="preserve">09 74 64 09 94</t>
  </si>
  <si>
    <t xml:space="preserve">M03 Restaurant Galaxy</t>
  </si>
  <si>
    <t xml:space="preserve">M04 Beluga</t>
  </si>
  <si>
    <t xml:space="preserve">M21 Concorde</t>
  </si>
  <si>
    <t xml:space="preserve">Ma Biche Sur Le Toit</t>
  </si>
  <si>
    <t xml:space="preserve">4 Rue du Lieutenant-Colonel Pélissier</t>
  </si>
  <si>
    <t xml:space="preserve">05 31 61 56 19</t>
  </si>
  <si>
    <t xml:space="preserve">Ma-Ma Sushi</t>
  </si>
  <si>
    <t xml:space="preserve">05 32 97 81 15</t>
  </si>
  <si>
    <t xml:space="preserve">05 32 59 46 71</t>
  </si>
  <si>
    <t xml:space="preserve">Macarèl</t>
  </si>
  <si>
    <t xml:space="preserve">Madame Baudruche</t>
  </si>
  <si>
    <t xml:space="preserve">06 82 39 99 32</t>
  </si>
  <si>
    <t xml:space="preserve">Mado</t>
  </si>
  <si>
    <t xml:space="preserve">06 14 62 04 47</t>
  </si>
  <si>
    <t xml:space="preserve">Magnum</t>
  </si>
  <si>
    <t xml:space="preserve">5 Rue Perchepinte</t>
  </si>
  <si>
    <t xml:space="preserve">05 62 17 95 48</t>
  </si>
  <si>
    <t xml:space="preserve">Maison Chaya</t>
  </si>
  <si>
    <t xml:space="preserve">Bretonne, Japonaise, Crêperie</t>
  </si>
  <si>
    <t xml:space="preserve">51 Rue des Filatiers</t>
  </si>
  <si>
    <t xml:space="preserve">09 56 14 07 07</t>
  </si>
  <si>
    <t xml:space="preserve">Maison du Cassoulet</t>
  </si>
  <si>
    <t xml:space="preserve">Cassoulet, Française, Régionale / terroir</t>
  </si>
  <si>
    <t xml:space="preserve">05 34 31 68 22</t>
  </si>
  <si>
    <t xml:space="preserve">Maison du Curry</t>
  </si>
  <si>
    <t xml:space="preserve">Maison Samaran</t>
  </si>
  <si>
    <t xml:space="preserve">05 61 21 26 91</t>
  </si>
  <si>
    <t xml:space="preserve">Maison Sarment</t>
  </si>
  <si>
    <t xml:space="preserve">05 61 47 99 64</t>
  </si>
  <si>
    <t xml:space="preserve">Make Sushi</t>
  </si>
  <si>
    <t xml:space="preserve">05 61 47 40 28</t>
  </si>
  <si>
    <t xml:space="preserve">Malayu</t>
  </si>
  <si>
    <t xml:space="preserve">Mama Giorgia</t>
  </si>
  <si>
    <t xml:space="preserve">Mama Shelter</t>
  </si>
  <si>
    <t xml:space="preserve">05 31 50 50 00</t>
  </si>
  <si>
    <t xml:space="preserve">Mamagayo</t>
  </si>
  <si>
    <t xml:space="preserve">05 61 21 50 71</t>
  </si>
  <si>
    <t xml:space="preserve">Mami-Wata</t>
  </si>
  <si>
    <t xml:space="preserve">Africaine, Antillaise</t>
  </si>
  <si>
    <t xml:space="preserve">25 Rue Héliot</t>
  </si>
  <si>
    <t xml:space="preserve">05 61 62 77 04</t>
  </si>
  <si>
    <t xml:space="preserve">Mammouth</t>
  </si>
  <si>
    <t xml:space="preserve">05 61 75 73 27</t>
  </si>
  <si>
    <t xml:space="preserve">Manara</t>
  </si>
  <si>
    <t xml:space="preserve">Manding'Art</t>
  </si>
  <si>
    <t xml:space="preserve">1 Rue du Docteur Paul Pujos</t>
  </si>
  <si>
    <t xml:space="preserve">Manger Autrement</t>
  </si>
  <si>
    <t xml:space="preserve">05 61 32 68 41</t>
  </si>
  <si>
    <t xml:space="preserve">Mantesino</t>
  </si>
  <si>
    <t xml:space="preserve">05 31 54 13 29</t>
  </si>
  <si>
    <t xml:space="preserve">Marcello</t>
  </si>
  <si>
    <t xml:space="preserve">05 67 33 80 19</t>
  </si>
  <si>
    <t xml:space="preserve">05 32 60 43 03</t>
  </si>
  <si>
    <t xml:space="preserve">Marcello Saint-Georges</t>
  </si>
  <si>
    <t xml:space="preserve">05 62 89 41 14</t>
  </si>
  <si>
    <t xml:space="preserve">Marinade &amp; limonade</t>
  </si>
  <si>
    <t xml:space="preserve">Marmites des îles</t>
  </si>
  <si>
    <t xml:space="preserve">Marrakech</t>
  </si>
  <si>
    <t xml:space="preserve">05 61 23 82 52</t>
  </si>
  <si>
    <t xml:space="preserve">Matsuya</t>
  </si>
  <si>
    <t xml:space="preserve">05 34 65 71 24</t>
  </si>
  <si>
    <t xml:space="preserve">Mauna Loa</t>
  </si>
  <si>
    <t xml:space="preserve">Curry, Française</t>
  </si>
  <si>
    <t xml:space="preserve">05 32 59 22 69</t>
  </si>
  <si>
    <t xml:space="preserve">Maya Bay</t>
  </si>
  <si>
    <t xml:space="preserve">05 32 58 19 50</t>
  </si>
  <si>
    <t xml:space="preserve">Mayumi</t>
  </si>
  <si>
    <t xml:space="preserve">Japonaise, Sushi, Livraison, Izakaya</t>
  </si>
  <si>
    <t xml:space="preserve">05 61 31 58 81</t>
  </si>
  <si>
    <t xml:space="preserve">Mazzolina</t>
  </si>
  <si>
    <t xml:space="preserve">Pizza, Sandwicherie, Italienne, Pâtes</t>
  </si>
  <si>
    <t xml:space="preserve">05 61 46 89 24</t>
  </si>
  <si>
    <t xml:space="preserve">Maître Ramen</t>
  </si>
  <si>
    <t xml:space="preserve">Ramen</t>
  </si>
  <si>
    <t xml:space="preserve">Meet The Meat</t>
  </si>
  <si>
    <t xml:space="preserve">05 61 48 50 59</t>
  </si>
  <si>
    <t xml:space="preserve">Memphis</t>
  </si>
  <si>
    <t xml:space="preserve">Américaine</t>
  </si>
  <si>
    <t xml:space="preserve">Metrhotel</t>
  </si>
  <si>
    <t xml:space="preserve">Mexcal</t>
  </si>
  <si>
    <t xml:space="preserve">Tapas, Produits locaux, Coffee shop</t>
  </si>
  <si>
    <t xml:space="preserve">6 Rue Saint-Charles</t>
  </si>
  <si>
    <t xml:space="preserve">09 73 69 29 52</t>
  </si>
  <si>
    <t xml:space="preserve">Miam Mian</t>
  </si>
  <si>
    <t xml:space="preserve">Japonaise, Ramen, Salon de thé</t>
  </si>
  <si>
    <t xml:space="preserve">Michel Sarran</t>
  </si>
  <si>
    <t xml:space="preserve">05 61 12 32 32</t>
  </si>
  <si>
    <t xml:space="preserve">Midi Minuit</t>
  </si>
  <si>
    <t xml:space="preserve">05 61 21 80 70</t>
  </si>
  <si>
    <t xml:space="preserve">Mille et une Pâtes</t>
  </si>
  <si>
    <t xml:space="preserve">05 61 21 97 83</t>
  </si>
  <si>
    <t xml:space="preserve">Ming Ming</t>
  </si>
  <si>
    <t xml:space="preserve">148 Boulevard de Suisse</t>
  </si>
  <si>
    <t xml:space="preserve">Minimum</t>
  </si>
  <si>
    <t xml:space="preserve">05 64 72 09 19</t>
  </si>
  <si>
    <t xml:space="preserve">Ministry of Crabs</t>
  </si>
  <si>
    <t xml:space="preserve">Miss Fish</t>
  </si>
  <si>
    <t xml:space="preserve">Poulet, Poisson, Fish &amp; chips</t>
  </si>
  <si>
    <t xml:space="preserve">05 61 25 49 49</t>
  </si>
  <si>
    <t xml:space="preserve">Mix food</t>
  </si>
  <si>
    <t xml:space="preserve">09 50 38 49 59</t>
  </si>
  <si>
    <t xml:space="preserve">Miya Fondue</t>
  </si>
  <si>
    <t xml:space="preserve">Miyama</t>
  </si>
  <si>
    <t xml:space="preserve">Japonaise, Sushi, Ramen</t>
  </si>
  <si>
    <t xml:space="preserve">Mizuki Ramen</t>
  </si>
  <si>
    <t xml:space="preserve">09 81 44 59 12</t>
  </si>
  <si>
    <t xml:space="preserve">Mme Pompette</t>
  </si>
  <si>
    <t xml:space="preserve">29 Route de Blagnac</t>
  </si>
  <si>
    <t xml:space="preserve">06 08 76 92 07</t>
  </si>
  <si>
    <t xml:space="preserve">Moji</t>
  </si>
  <si>
    <t xml:space="preserve">06 11 71 29 30</t>
  </si>
  <si>
    <t xml:space="preserve">Molette</t>
  </si>
  <si>
    <t xml:space="preserve">05 61 23 81 12</t>
  </si>
  <si>
    <t xml:space="preserve">Momone</t>
  </si>
  <si>
    <t xml:space="preserve">2 Boulevard Lascrosses</t>
  </si>
  <si>
    <t xml:space="preserve">05 32 53 68 57</t>
  </si>
  <si>
    <t xml:space="preserve">Mon petit plaisir gourmet</t>
  </si>
  <si>
    <t xml:space="preserve">Mona Pizza</t>
  </si>
  <si>
    <t xml:space="preserve">9 Rue Louise Weiss</t>
  </si>
  <si>
    <t xml:space="preserve">05 31 51 05 09</t>
  </si>
  <si>
    <t xml:space="preserve">Muay Thaï</t>
  </si>
  <si>
    <t xml:space="preserve">Museau Musette</t>
  </si>
  <si>
    <t xml:space="preserve">88 Boulevard Pierre Semard</t>
  </si>
  <si>
    <t xml:space="preserve">05 61 83 35 12</t>
  </si>
  <si>
    <t xml:space="preserve">My Kebab</t>
  </si>
  <si>
    <t xml:space="preserve">10 Avenue de Muret</t>
  </si>
  <si>
    <t xml:space="preserve">Mère Grand</t>
  </si>
  <si>
    <t xml:space="preserve">05 81 60 11 27</t>
  </si>
  <si>
    <t xml:space="preserve">Món Việt</t>
  </si>
  <si>
    <t xml:space="preserve">40 Rue du Général Jean Compans</t>
  </si>
  <si>
    <t xml:space="preserve">05 61 11 98 57</t>
  </si>
  <si>
    <t xml:space="preserve">N88dles</t>
  </si>
  <si>
    <t xml:space="preserve">Nouilles</t>
  </si>
  <si>
    <t xml:space="preserve">34 Rue de la Colombette</t>
  </si>
  <si>
    <t xml:space="preserve">09 87 07 16 88</t>
  </si>
  <si>
    <t xml:space="preserve">N88dles Capitole</t>
  </si>
  <si>
    <t xml:space="preserve">6 Rue Léon Gambetta</t>
  </si>
  <si>
    <t xml:space="preserve">Nakama Gyudon</t>
  </si>
  <si>
    <t xml:space="preserve">05 34 52 69 59</t>
  </si>
  <si>
    <t xml:space="preserve">Namaste</t>
  </si>
  <si>
    <t xml:space="preserve">05 61 45 46 21</t>
  </si>
  <si>
    <t xml:space="preserve">Naraï Thaï</t>
  </si>
  <si>
    <t xml:space="preserve">05 61 21 30 75</t>
  </si>
  <si>
    <t xml:space="preserve">Native Canteen</t>
  </si>
  <si>
    <t xml:space="preserve">Neo Samouraï</t>
  </si>
  <si>
    <t xml:space="preserve">158 Avenue Jean Chaubet</t>
  </si>
  <si>
    <t xml:space="preserve">09 53 70 69 76</t>
  </si>
  <si>
    <t xml:space="preserve">New Dehli</t>
  </si>
  <si>
    <t xml:space="preserve">New Delhi Palace</t>
  </si>
  <si>
    <t xml:space="preserve">05 62 80 95 29</t>
  </si>
  <si>
    <t xml:space="preserve">Nice Time</t>
  </si>
  <si>
    <t xml:space="preserve">Noodles Spot</t>
  </si>
  <si>
    <t xml:space="preserve">Japonaise, Chinoise</t>
  </si>
  <si>
    <t xml:space="preserve">09 60 38 15 30</t>
  </si>
  <si>
    <t xml:space="preserve">Noshi Sushi</t>
  </si>
  <si>
    <t xml:space="preserve">Noumi's Grill</t>
  </si>
  <si>
    <t xml:space="preserve">Burger, Grill / viandes</t>
  </si>
  <si>
    <t xml:space="preserve">O'bâoli</t>
  </si>
  <si>
    <t xml:space="preserve">Odom</t>
  </si>
  <si>
    <t xml:space="preserve">05 34 59 38 22</t>
  </si>
  <si>
    <t xml:space="preserve">Officina Gusto</t>
  </si>
  <si>
    <t xml:space="preserve">05 64 28 59 86</t>
  </si>
  <si>
    <t xml:space="preserve">Oh Fada</t>
  </si>
  <si>
    <t xml:space="preserve">Oh la vache !</t>
  </si>
  <si>
    <t xml:space="preserve">09 86 24 60 18</t>
  </si>
  <si>
    <t xml:space="preserve">Oishi Ramen</t>
  </si>
  <si>
    <t xml:space="preserve">Ramen, Japonaise, Vietnamienne</t>
  </si>
  <si>
    <t xml:space="preserve">Okaeri</t>
  </si>
  <si>
    <t xml:space="preserve">On'Nador</t>
  </si>
  <si>
    <t xml:space="preserve">Oppa food</t>
  </si>
  <si>
    <t xml:space="preserve">Osaka Fusion Food</t>
  </si>
  <si>
    <t xml:space="preserve">Osmoz'</t>
  </si>
  <si>
    <t xml:space="preserve">Otoya sushi</t>
  </si>
  <si>
    <t xml:space="preserve">05 62 27 25 41</t>
  </si>
  <si>
    <t xml:space="preserve">Pachinee Thaï Street Food</t>
  </si>
  <si>
    <t xml:space="preserve">07 81 41 97 79</t>
  </si>
  <si>
    <t xml:space="preserve">Papi</t>
  </si>
  <si>
    <t xml:space="preserve">9 Rue du Pont Saint-Pierre</t>
  </si>
  <si>
    <t xml:space="preserve">Papilles</t>
  </si>
  <si>
    <t xml:space="preserve">Pastel et Sarrasin</t>
  </si>
  <si>
    <t xml:space="preserve">05 61 23 90 19</t>
  </si>
  <si>
    <t xml:space="preserve">Pat &amp; Pizz</t>
  </si>
  <si>
    <t xml:space="preserve">05 61 34 98 80</t>
  </si>
  <si>
    <t xml:space="preserve">Peppino</t>
  </si>
  <si>
    <t xml:space="preserve">170 Avenue Jean Rieux</t>
  </si>
  <si>
    <t xml:space="preserve">05 34 43 40 47</t>
  </si>
  <si>
    <t xml:space="preserve">Pepponita</t>
  </si>
  <si>
    <t xml:space="preserve">65 Allées Charles de Fitte</t>
  </si>
  <si>
    <t xml:space="preserve">05 61 59 77 11</t>
  </si>
  <si>
    <t xml:space="preserve">Pho Quyên</t>
  </si>
  <si>
    <t xml:space="preserve">05 61 52 69 06</t>
  </si>
  <si>
    <t xml:space="preserve">Phở Lộc Phát</t>
  </si>
  <si>
    <t xml:space="preserve">05 61 47 83 87</t>
  </si>
  <si>
    <t xml:space="preserve">Pitaya</t>
  </si>
  <si>
    <t xml:space="preserve">3</t>
  </si>
  <si>
    <t xml:space="preserve">09 70 18 86 14</t>
  </si>
  <si>
    <t xml:space="preserve">Pititto</t>
  </si>
  <si>
    <t xml:space="preserve">Pizz'Art</t>
  </si>
  <si>
    <t xml:space="preserve">05 61 48 07 86</t>
  </si>
  <si>
    <t xml:space="preserve">Pizz@ Luce</t>
  </si>
  <si>
    <t xml:space="preserve">7 Rue des Trente-Six Ponts</t>
  </si>
  <si>
    <t xml:space="preserve">Pizza Arlequin</t>
  </si>
  <si>
    <t xml:space="preserve">09 62 36 38 97</t>
  </si>
  <si>
    <t xml:space="preserve">Pizza di Mama</t>
  </si>
  <si>
    <t xml:space="preserve">27 Boulevard Pierre et Marie Curie</t>
  </si>
  <si>
    <t xml:space="preserve">05 32 53 78 68</t>
  </si>
  <si>
    <t xml:space="preserve">Pizza du Faubourg</t>
  </si>
  <si>
    <t xml:space="preserve">44 Rue du Faubourg Bonnefoy</t>
  </si>
  <si>
    <t xml:space="preserve">05 61 26 00 00</t>
  </si>
  <si>
    <t xml:space="preserve">Pizza Hut</t>
  </si>
  <si>
    <t xml:space="preserve">Place Roquelaine</t>
  </si>
  <si>
    <t xml:space="preserve">05 61 20 82 08</t>
  </si>
  <si>
    <t xml:space="preserve">05 61 14 14 14</t>
  </si>
  <si>
    <t xml:space="preserve">Pizza Luna Rossa</t>
  </si>
  <si>
    <t xml:space="preserve">06 88 21 51 66</t>
  </si>
  <si>
    <t xml:space="preserve">Pizza Mongelli</t>
  </si>
  <si>
    <t xml:space="preserve">2 Place Auguste-Albert</t>
  </si>
  <si>
    <t xml:space="preserve">05 31 61 48 40</t>
  </si>
  <si>
    <t xml:space="preserve">Pizza Nostra</t>
  </si>
  <si>
    <t xml:space="preserve">Pizza Zio</t>
  </si>
  <si>
    <t xml:space="preserve">05 62 21 17 00</t>
  </si>
  <si>
    <t xml:space="preserve">Pizzaliano</t>
  </si>
  <si>
    <t xml:space="preserve">05 32 59 15 61</t>
  </si>
  <si>
    <t xml:space="preserve">Pizzas à emporter</t>
  </si>
  <si>
    <t xml:space="preserve">05 82 06 18 13</t>
  </si>
  <si>
    <t xml:space="preserve">Pizze e Basta Cosi</t>
  </si>
  <si>
    <t xml:space="preserve">17 Rue Caraman</t>
  </si>
  <si>
    <t xml:space="preserve">05 62 80 99 31</t>
  </si>
  <si>
    <t xml:space="preserve">Pizzeria Bambino</t>
  </si>
  <si>
    <t xml:space="preserve">05 61 22 91 60</t>
  </si>
  <si>
    <t xml:space="preserve">Pizzeria d'Alexis</t>
  </si>
  <si>
    <t xml:space="preserve">09 53 90 36 55</t>
  </si>
  <si>
    <t xml:space="preserve">Pizzeria Di Nando</t>
  </si>
  <si>
    <t xml:space="preserve">05 61 62 21 91 / 06 26 88 39 02</t>
  </si>
  <si>
    <t xml:space="preserve">Pizzéria Belfort</t>
  </si>
  <si>
    <t xml:space="preserve">PL Pizza Léo</t>
  </si>
  <si>
    <t xml:space="preserve">Plat'O Gourmand</t>
  </si>
  <si>
    <t xml:space="preserve">Burger, Française, Sandwicherie</t>
  </si>
  <si>
    <t xml:space="preserve">6 Allée Paul Harris</t>
  </si>
  <si>
    <t xml:space="preserve">05 61 99 91 19</t>
  </si>
  <si>
    <t xml:space="preserve">Poketeria</t>
  </si>
  <si>
    <t xml:space="preserve">Poké</t>
  </si>
  <si>
    <t xml:space="preserve">05 61 57 31 01</t>
  </si>
  <si>
    <t xml:space="preserve">Poké Lab</t>
  </si>
  <si>
    <t xml:space="preserve">Hawaïenne, Poké</t>
  </si>
  <si>
    <t xml:space="preserve">05 61 39 29 58</t>
  </si>
  <si>
    <t xml:space="preserve">Potiche</t>
  </si>
  <si>
    <t xml:space="preserve">Française, Grill / viandes</t>
  </si>
  <si>
    <t xml:space="preserve">50 Avenue d'Italie</t>
  </si>
  <si>
    <t xml:space="preserve">05 34 51 57 20</t>
  </si>
  <si>
    <t xml:space="preserve">Prima bonheur</t>
  </si>
  <si>
    <t xml:space="preserve">Prima Circus</t>
  </si>
  <si>
    <t xml:space="preserve">05 61 41 08 19</t>
  </si>
  <si>
    <t xml:space="preserve">Prima Fabbrica</t>
  </si>
  <si>
    <t xml:space="preserve">05 31 48 61 28</t>
  </si>
  <si>
    <t xml:space="preserve">Prima Lova</t>
  </si>
  <si>
    <t xml:space="preserve">05 67 68 77 19</t>
  </si>
  <si>
    <t xml:space="preserve">Proteine Eat</t>
  </si>
  <si>
    <t xml:space="preserve">14 Rue Marie-Louise Dissard</t>
  </si>
  <si>
    <t xml:space="preserve">05 61 11 87 99</t>
  </si>
  <si>
    <t xml:space="preserve">Protéine Eat</t>
  </si>
  <si>
    <t xml:space="preserve">Burger, Pizza, Crêperie</t>
  </si>
  <si>
    <t xml:space="preserve">PY-R</t>
  </si>
  <si>
    <t xml:space="preserve">05 61 25 51 52</t>
  </si>
  <si>
    <t xml:space="preserve">Pépère</t>
  </si>
  <si>
    <t xml:space="preserve">05 61 12 34 91</t>
  </si>
  <si>
    <t xml:space="preserve">Quán Phở 83</t>
  </si>
  <si>
    <t xml:space="preserve">07 82 09 92 68</t>
  </si>
  <si>
    <t xml:space="preserve">Rajasthan Villa</t>
  </si>
  <si>
    <t xml:space="preserve">4 Rue de l'Esquile</t>
  </si>
  <si>
    <t xml:space="preserve">05 34 44 91 91</t>
  </si>
  <si>
    <t xml:space="preserve">Ramones</t>
  </si>
  <si>
    <t xml:space="preserve">Bistrot, Tapas</t>
  </si>
  <si>
    <t xml:space="preserve">Ravigote</t>
  </si>
  <si>
    <t xml:space="preserve">09 52 24 36 97</t>
  </si>
  <si>
    <t xml:space="preserve">Redstar Pizza</t>
  </si>
  <si>
    <t xml:space="preserve">Reflets</t>
  </si>
  <si>
    <t xml:space="preserve">06 20 87 36 57</t>
  </si>
  <si>
    <t xml:space="preserve">Restaurant Chez Nicole</t>
  </si>
  <si>
    <t xml:space="preserve">Africaine, Française</t>
  </si>
  <si>
    <t xml:space="preserve">05 34 53 23 02</t>
  </si>
  <si>
    <t xml:space="preserve">Restaurant CNRS</t>
  </si>
  <si>
    <t xml:space="preserve">Restaurant de l'Ayguette</t>
  </si>
  <si>
    <t xml:space="preserve">Chemin de la Fronde</t>
  </si>
  <si>
    <t xml:space="preserve">Restaurant L'Hémicycle</t>
  </si>
  <si>
    <t xml:space="preserve">Restaurant Loubnane</t>
  </si>
  <si>
    <t xml:space="preserve">Restaurant Mordus</t>
  </si>
  <si>
    <t xml:space="preserve">90 Rue Saint-Roch</t>
  </si>
  <si>
    <t xml:space="preserve">05 67 33 34 99</t>
  </si>
  <si>
    <t xml:space="preserve">Restaurant Papillons</t>
  </si>
  <si>
    <t xml:space="preserve">Asiatique, Sushi</t>
  </si>
  <si>
    <t xml:space="preserve">33 Route de Bayonne</t>
  </si>
  <si>
    <t xml:space="preserve">05 61 61 23 23</t>
  </si>
  <si>
    <t xml:space="preserve">Restaurant Universitaire de l'Arsenal</t>
  </si>
  <si>
    <t xml:space="preserve">Restaurant Universitaire ENSEEIHT</t>
  </si>
  <si>
    <t xml:space="preserve">Restaurant Émile</t>
  </si>
  <si>
    <t xml:space="preserve">Régionale / terroir, Bistrot</t>
  </si>
  <si>
    <t xml:space="preserve">13 Place Saint-Georges</t>
  </si>
  <si>
    <t xml:space="preserve">05 61 21 05 56</t>
  </si>
  <si>
    <t xml:space="preserve">Resto U' Envt</t>
  </si>
  <si>
    <t xml:space="preserve">23 Chemin des Capelles</t>
  </si>
  <si>
    <t xml:space="preserve">05 34 39 06 13</t>
  </si>
  <si>
    <t xml:space="preserve">Resto U' Insa</t>
  </si>
  <si>
    <t xml:space="preserve">Resto U' Le Canal</t>
  </si>
  <si>
    <t xml:space="preserve">585 Cours Rosalind Franklin</t>
  </si>
  <si>
    <t xml:space="preserve">05 62 25 62 19</t>
  </si>
  <si>
    <t xml:space="preserve">Resto U' Le Théorème</t>
  </si>
  <si>
    <t xml:space="preserve">05 62 25 62 09</t>
  </si>
  <si>
    <t xml:space="preserve">Resto U' Médecine</t>
  </si>
  <si>
    <t xml:space="preserve">Riviera Tolosa</t>
  </si>
  <si>
    <t xml:space="preserve">12 Place de la Daurade</t>
  </si>
  <si>
    <t xml:space="preserve">Roll &amp; Bowl</t>
  </si>
  <si>
    <t xml:space="preserve">Royal Buffet</t>
  </si>
  <si>
    <t xml:space="preserve">Asiatique, Wok, Japonaise, Chinoise, Régionale / terroir</t>
  </si>
  <si>
    <t xml:space="preserve">2 Avenue d'Atlanta</t>
  </si>
  <si>
    <t xml:space="preserve">312 Avenue des États-Unis</t>
  </si>
  <si>
    <t xml:space="preserve">05 62 26 58 58</t>
  </si>
  <si>
    <t xml:space="preserve">Asiatique, Française</t>
  </si>
  <si>
    <t xml:space="preserve">281 Route d'Espagne</t>
  </si>
  <si>
    <t xml:space="preserve">05 62 48 24 50</t>
  </si>
  <si>
    <t xml:space="preserve">Rue de Vietnam</t>
  </si>
  <si>
    <t xml:space="preserve">15 Avenue de la Gloire</t>
  </si>
  <si>
    <t xml:space="preserve">Sagué</t>
  </si>
  <si>
    <t xml:space="preserve">Saignant</t>
  </si>
  <si>
    <t xml:space="preserve">05 34 57 46 91</t>
  </si>
  <si>
    <t xml:space="preserve">SAJ &amp; Co.</t>
  </si>
  <si>
    <t xml:space="preserve">Sakuraya</t>
  </si>
  <si>
    <t xml:space="preserve">05 61 99 25 28</t>
  </si>
  <si>
    <t xml:space="preserve">Santosha</t>
  </si>
  <si>
    <t xml:space="preserve">09 87 19 79 86</t>
  </si>
  <si>
    <t xml:space="preserve">Sapiens</t>
  </si>
  <si>
    <t xml:space="preserve">07 68 28 91 69</t>
  </si>
  <si>
    <t xml:space="preserve">Sapori di italia</t>
  </si>
  <si>
    <t xml:space="preserve">Sarbacane</t>
  </si>
  <si>
    <t xml:space="preserve">06 49 52 94 93</t>
  </si>
  <si>
    <t xml:space="preserve">Sashimi Food</t>
  </si>
  <si>
    <t xml:space="preserve">Japonaise, Sushi</t>
  </si>
  <si>
    <t xml:space="preserve">06 28 23 98 10</t>
  </si>
  <si>
    <t xml:space="preserve">Saveur d'Asie Express</t>
  </si>
  <si>
    <t xml:space="preserve">4 Rue de la République</t>
  </si>
  <si>
    <t xml:space="preserve">05 61 42 66 41</t>
  </si>
  <si>
    <t xml:space="preserve">Saveurs Basilic</t>
  </si>
  <si>
    <t xml:space="preserve">Saveurs de l'Everest</t>
  </si>
  <si>
    <t xml:space="preserve">Saveurs du Mékong</t>
  </si>
  <si>
    <t xml:space="preserve">Sept</t>
  </si>
  <si>
    <t xml:space="preserve">Seven Bistro</t>
  </si>
  <si>
    <t xml:space="preserve">334 Avenue de Grande Bretagne</t>
  </si>
  <si>
    <t xml:space="preserve">05 82 95 15 55</t>
  </si>
  <si>
    <t xml:space="preserve">Shalizar</t>
  </si>
  <si>
    <t xml:space="preserve">100 Rue Achille Viadieu</t>
  </si>
  <si>
    <t xml:space="preserve">05 61 32 69 55</t>
  </si>
  <si>
    <t xml:space="preserve">Sham</t>
  </si>
  <si>
    <t xml:space="preserve">Libanaise, Orientale</t>
  </si>
  <si>
    <t xml:space="preserve">shin ya ramen</t>
  </si>
  <si>
    <t xml:space="preserve">Vacant (fermé ?)</t>
  </si>
  <si>
    <t xml:space="preserve">Shin-Ya Ramen</t>
  </si>
  <si>
    <t xml:space="preserve">68 Rue Lancefoc</t>
  </si>
  <si>
    <t xml:space="preserve">Si ma cantine m'était contée</t>
  </si>
  <si>
    <t xml:space="preserve">2 Chemin des Izards</t>
  </si>
  <si>
    <t xml:space="preserve">Signorizza</t>
  </si>
  <si>
    <t xml:space="preserve">2 Avenue Hermes</t>
  </si>
  <si>
    <t xml:space="preserve">06 75 10 84 51</t>
  </si>
  <si>
    <t xml:space="preserve">Silex &amp; Fourchette</t>
  </si>
  <si>
    <t xml:space="preserve">Paléo</t>
  </si>
  <si>
    <t xml:space="preserve">07 61 25 65 72</t>
  </si>
  <si>
    <t xml:space="preserve">Sixta</t>
  </si>
  <si>
    <t xml:space="preserve">09 54 52 92 67</t>
  </si>
  <si>
    <t xml:space="preserve">Sixty Two</t>
  </si>
  <si>
    <t xml:space="preserve">05 34 25 28 82</t>
  </si>
  <si>
    <t xml:space="preserve">So Delice</t>
  </si>
  <si>
    <t xml:space="preserve">So'Salad</t>
  </si>
  <si>
    <t xml:space="preserve">Sodexo</t>
  </si>
  <si>
    <t xml:space="preserve">105 Avenue du Général Eisenhower</t>
  </si>
  <si>
    <t xml:space="preserve">Soleil d'Istanbul</t>
  </si>
  <si>
    <t xml:space="preserve">Solides</t>
  </si>
  <si>
    <t xml:space="preserve">05 61 53 34 88</t>
  </si>
  <si>
    <t xml:space="preserve">Solyles</t>
  </si>
  <si>
    <t xml:space="preserve">1 Place Pierre Mendes France</t>
  </si>
  <si>
    <t xml:space="preserve">Sorami Burger</t>
  </si>
  <si>
    <t xml:space="preserve">05 67 68 74 79</t>
  </si>
  <si>
    <t xml:space="preserve">Soul Kitchen</t>
  </si>
  <si>
    <t xml:space="preserve">59 Avenue Maurice Bourgès-Maunoury</t>
  </si>
  <si>
    <t xml:space="preserve">07 52 08 14 49</t>
  </si>
  <si>
    <t xml:space="preserve">Source</t>
  </si>
  <si>
    <t xml:space="preserve">64 Avenue Antoine de Saint-Exupéry</t>
  </si>
  <si>
    <t xml:space="preserve">05 34 42 10 68</t>
  </si>
  <si>
    <t xml:space="preserve">Spicchizzi</t>
  </si>
  <si>
    <t xml:space="preserve">Spice Palatte</t>
  </si>
  <si>
    <t xml:space="preserve">Spritzza</t>
  </si>
  <si>
    <t xml:space="preserve">05 82 75 49 91</t>
  </si>
  <si>
    <t xml:space="preserve">Standard</t>
  </si>
  <si>
    <t xml:space="preserve">Supernova</t>
  </si>
  <si>
    <t xml:space="preserve">10 Bertrand de Born</t>
  </si>
  <si>
    <t xml:space="preserve">Susanoo</t>
  </si>
  <si>
    <t xml:space="preserve">4 Rue Charles de Rémusat</t>
  </si>
  <si>
    <t xml:space="preserve">05 62 27 03 14</t>
  </si>
  <si>
    <t xml:space="preserve">Sushi Avenue</t>
  </si>
  <si>
    <t xml:space="preserve">Sushi Kare House</t>
  </si>
  <si>
    <t xml:space="preserve">07 82 76 33 07</t>
  </si>
  <si>
    <t xml:space="preserve">Sushi Kinjo</t>
  </si>
  <si>
    <t xml:space="preserve">Sushi N Wok</t>
  </si>
  <si>
    <t xml:space="preserve">Asiatique, Japonaise</t>
  </si>
  <si>
    <t xml:space="preserve">SushiYaki</t>
  </si>
  <si>
    <t xml:space="preserve">05 61 12 00 60</t>
  </si>
  <si>
    <t xml:space="preserve">S com Saj</t>
  </si>
  <si>
    <t xml:space="preserve">Séoul</t>
  </si>
  <si>
    <t xml:space="preserve">05 62 16 10 88</t>
  </si>
  <si>
    <t xml:space="preserve">Tante Margit</t>
  </si>
  <si>
    <t xml:space="preserve">Norvégienne</t>
  </si>
  <si>
    <t xml:space="preserve">05 61 55 01 25</t>
  </si>
  <si>
    <t xml:space="preserve">Tempête</t>
  </si>
  <si>
    <t xml:space="preserve">Terra Tolosa</t>
  </si>
  <si>
    <t xml:space="preserve">2 Rue Tolosane</t>
  </si>
  <si>
    <t xml:space="preserve">05 62 26 39 64</t>
  </si>
  <si>
    <t xml:space="preserve">Thai-Thai Sushi</t>
  </si>
  <si>
    <t xml:space="preserve">Sushi, Thaïlandaise</t>
  </si>
  <si>
    <t xml:space="preserve">05 62 86 79 38</t>
  </si>
  <si>
    <t xml:space="preserve">Thaï Food</t>
  </si>
  <si>
    <t xml:space="preserve">The Fusion bar</t>
  </si>
  <si>
    <t xml:space="preserve">Népalaise</t>
  </si>
  <si>
    <t xml:space="preserve">09 83 87 52 70</t>
  </si>
  <si>
    <t xml:space="preserve">The Green Tiger</t>
  </si>
  <si>
    <t xml:space="preserve">05 34 33 75 53</t>
  </si>
  <si>
    <t xml:space="preserve">The Kanteen Restaurant</t>
  </si>
  <si>
    <t xml:space="preserve">05 61 62 39 00</t>
  </si>
  <si>
    <t xml:space="preserve">The Roof</t>
  </si>
  <si>
    <t xml:space="preserve">Tinos Pizza</t>
  </si>
  <si>
    <t xml:space="preserve">27 Rue de la République</t>
  </si>
  <si>
    <t xml:space="preserve">05 61 59 15 04</t>
  </si>
  <si>
    <t xml:space="preserve">Tokyo Bento</t>
  </si>
  <si>
    <t xml:space="preserve">Asiatique, Japonaise, Chinoise</t>
  </si>
  <si>
    <t xml:space="preserve">06 63 34 71 93</t>
  </si>
  <si>
    <t xml:space="preserve">Tolosa Cooking</t>
  </si>
  <si>
    <t xml:space="preserve">109 Avenue du Général Eisenhower</t>
  </si>
  <si>
    <t xml:space="preserve">Tommy's City Diner</t>
  </si>
  <si>
    <t xml:space="preserve">Américaine, Burger, Brunch</t>
  </si>
  <si>
    <t xml:space="preserve">Toroya</t>
  </si>
  <si>
    <t xml:space="preserve">05 61 23 67 92</t>
  </si>
  <si>
    <t xml:space="preserve">Toulouse Pasta Club</t>
  </si>
  <si>
    <t xml:space="preserve">Pâtes, Italienne</t>
  </si>
  <si>
    <t xml:space="preserve">Tourneflam</t>
  </si>
  <si>
    <t xml:space="preserve">05 61 40 50 07</t>
  </si>
  <si>
    <t xml:space="preserve">Troika Royale</t>
  </si>
  <si>
    <t xml:space="preserve">Russe</t>
  </si>
  <si>
    <t xml:space="preserve">09 86 38 28 63</t>
  </si>
  <si>
    <t xml:space="preserve">Trois Sœurs Là Suite</t>
  </si>
  <si>
    <t xml:space="preserve">Tsing Tao Île Verte</t>
  </si>
  <si>
    <t xml:space="preserve">Turbine Bazacle</t>
  </si>
  <si>
    <t xml:space="preserve">06 02 44 08 66</t>
  </si>
  <si>
    <t xml:space="preserve">Tête en l’air</t>
  </si>
  <si>
    <t xml:space="preserve">09 88 39 40 26</t>
  </si>
  <si>
    <t xml:space="preserve">Tôt ou tard - De la mer</t>
  </si>
  <si>
    <t xml:space="preserve">Une Table à Deux</t>
  </si>
  <si>
    <t xml:space="preserve">10 Rue de la Pleau</t>
  </si>
  <si>
    <t xml:space="preserve">05 61 25 03 51</t>
  </si>
  <si>
    <t xml:space="preserve">Unica</t>
  </si>
  <si>
    <t xml:space="preserve">Upsidum</t>
  </si>
  <si>
    <t xml:space="preserve">655 Cours des Sciences</t>
  </si>
  <si>
    <t xml:space="preserve">Va Fanciullo !</t>
  </si>
  <si>
    <t xml:space="preserve">45 Rue Gabriel Péri</t>
  </si>
  <si>
    <t xml:space="preserve">05 62 80 92 84</t>
  </si>
  <si>
    <t xml:space="preserve">Valentina</t>
  </si>
  <si>
    <t xml:space="preserve">09 83 45 28 24</t>
  </si>
  <si>
    <t xml:space="preserve">Valentino</t>
  </si>
  <si>
    <t xml:space="preserve">Burger, Hot-dog</t>
  </si>
  <si>
    <t xml:space="preserve">Van Lôc</t>
  </si>
  <si>
    <t xml:space="preserve">05 62 30 93 46</t>
  </si>
  <si>
    <t xml:space="preserve">Vasinicò</t>
  </si>
  <si>
    <t xml:space="preserve">9 Rue Marius Tercé</t>
  </si>
  <si>
    <t xml:space="preserve">Vaudeville</t>
  </si>
  <si>
    <t xml:space="preserve">Vents d'Est</t>
  </si>
  <si>
    <t xml:space="preserve">Régionale / terroir, Alsacienne</t>
  </si>
  <si>
    <t xml:space="preserve">05 61 62 31 44</t>
  </si>
  <si>
    <t xml:space="preserve">Vesubio</t>
  </si>
  <si>
    <t xml:space="preserve">05 34 66 67 34</t>
  </si>
  <si>
    <t xml:space="preserve">Viet-An</t>
  </si>
  <si>
    <t xml:space="preserve">17 Impasse Didier Daurat</t>
  </si>
  <si>
    <t xml:space="preserve">05 61 54 89 12</t>
  </si>
  <si>
    <t xml:space="preserve">Vietnam delices</t>
  </si>
  <si>
    <t xml:space="preserve">50 Avenue de Lardenne</t>
  </si>
  <si>
    <t xml:space="preserve">Viko House</t>
  </si>
  <si>
    <t xml:space="preserve">71 Rue de la Pomme</t>
  </si>
  <si>
    <t xml:space="preserve">09 67 08 01 94</t>
  </si>
  <si>
    <t xml:space="preserve">Vitano Pizzeria</t>
  </si>
  <si>
    <t xml:space="preserve">254 Avenue de Muret</t>
  </si>
  <si>
    <t xml:space="preserve">05 34 36 90 48</t>
  </si>
  <si>
    <t xml:space="preserve">Vivants</t>
  </si>
  <si>
    <t xml:space="preserve">07 56 86 81 87</t>
  </si>
  <si>
    <t xml:space="preserve">Voila by Mo Bachir</t>
  </si>
  <si>
    <t xml:space="preserve">12 Rue Perchepinte</t>
  </si>
  <si>
    <t xml:space="preserve">09 83 33 74 85</t>
  </si>
  <si>
    <t xml:space="preserve">Volfoni</t>
  </si>
  <si>
    <t xml:space="preserve">05 62 27 93 20</t>
  </si>
  <si>
    <t xml:space="preserve">Wagyuya</t>
  </si>
  <si>
    <t xml:space="preserve">Barbecue, Japonaise</t>
  </si>
  <si>
    <t xml:space="preserve">07 45 02 80 03</t>
  </si>
  <si>
    <t xml:space="preserve">Wok &amp; Poké</t>
  </si>
  <si>
    <t xml:space="preserve">Woézon</t>
  </si>
  <si>
    <t xml:space="preserve">38 Avenue Léon Blum</t>
  </si>
  <si>
    <t xml:space="preserve">06 37 93 89 60 / 06 45 81 35 58</t>
  </si>
  <si>
    <t xml:space="preserve">Yaba</t>
  </si>
  <si>
    <t xml:space="preserve">18 Place des Pradettes</t>
  </si>
  <si>
    <t xml:space="preserve">07 75 77 59 29</t>
  </si>
  <si>
    <t xml:space="preserve">Yankee Grill</t>
  </si>
  <si>
    <t xml:space="preserve">Yaz cantine</t>
  </si>
  <si>
    <t xml:space="preserve">07 81 43 04 68</t>
  </si>
  <si>
    <t xml:space="preserve">Yeti</t>
  </si>
  <si>
    <t xml:space="preserve">05 61 62 80 22</t>
  </si>
  <si>
    <t xml:space="preserve">Yoko Sushi</t>
  </si>
  <si>
    <t xml:space="preserve">05 62 30 80 14</t>
  </si>
  <si>
    <t xml:space="preserve">YokoSushi</t>
  </si>
  <si>
    <t xml:space="preserve">Yoshi</t>
  </si>
  <si>
    <t xml:space="preserve">05 61 23 00 26</t>
  </si>
  <si>
    <t xml:space="preserve">Youco</t>
  </si>
  <si>
    <t xml:space="preserve">05 31 61 46 46</t>
  </si>
  <si>
    <t xml:space="preserve">Ytaing - fast food - spécialités asiatiques</t>
  </si>
  <si>
    <t xml:space="preserve">14 Avenue Étienne Billières</t>
  </si>
  <si>
    <t xml:space="preserve">Yujo Ramen Saint-Cyprien</t>
  </si>
  <si>
    <t xml:space="preserve">05 61 11 48 19</t>
  </si>
  <si>
    <t xml:space="preserve">Yukiko</t>
  </si>
  <si>
    <t xml:space="preserve">06 03 52 83 52</t>
  </si>
  <si>
    <t xml:space="preserve">Yūjō Ramen</t>
  </si>
  <si>
    <t xml:space="preserve">Zen-Saï</t>
  </si>
  <si>
    <t xml:space="preserve">05 61 12 00 00</t>
  </si>
  <si>
    <t xml:space="preserve">Zenasia</t>
  </si>
  <si>
    <t xml:space="preserve">05 61 34 97 70</t>
  </si>
  <si>
    <t xml:space="preserve">Zokwezo</t>
  </si>
  <si>
    <t xml:space="preserve">Zorkot</t>
  </si>
  <si>
    <t xml:space="preserve">Élie Caraïbes</t>
  </si>
  <si>
    <t xml:space="preserve">Épicerie Musicale</t>
  </si>
  <si>
    <t xml:space="preserve">07 71 66 06 56</t>
  </si>
  <si>
    <t xml:space="preserve">Étoile d'orient - Épicerie orientale, patisserie, salon de thé &amp; restauration</t>
  </si>
  <si>
    <t xml:space="preserve">149 Grande Rue Saint-Michel</t>
  </si>
  <si>
    <t xml:space="preserve">Ô Bali</t>
  </si>
  <si>
    <t xml:space="preserve">Indonésienne</t>
  </si>
  <si>
    <t xml:space="preserve">05 34 43 51 34</t>
  </si>
  <si>
    <t xml:space="preserve">Ô Bro'chette</t>
  </si>
  <si>
    <t xml:space="preserve">397 Route de Saint-Simon</t>
  </si>
  <si>
    <t xml:space="preserve">07 43 57 92 22</t>
  </si>
  <si>
    <t xml:space="preserve">Ô Cent Couverts</t>
  </si>
  <si>
    <t xml:space="preserve">Traditionnelle, Française</t>
  </si>
  <si>
    <t xml:space="preserve">2 Rue Maurice Caunes</t>
  </si>
  <si>
    <t xml:space="preserve">05 61 59 02 42</t>
  </si>
  <si>
    <t xml:space="preserve">Ô Cuiz'In</t>
  </si>
  <si>
    <t xml:space="preserve">05 62 16 18 18</t>
  </si>
  <si>
    <t xml:space="preserve">Ô Jardin Gourmand</t>
  </si>
  <si>
    <t xml:space="preserve">05 61 57 83 64</t>
  </si>
  <si>
    <t xml:space="preserve">Ô Mana</t>
  </si>
  <si>
    <t xml:space="preserve">05 34 33 26 06</t>
  </si>
  <si>
    <t xml:space="preserve">Ô p'tit LOL</t>
  </si>
  <si>
    <t xml:space="preserve">Ô p'tit zinc</t>
  </si>
  <si>
    <t xml:space="preserve">Ô Saveurs Dorées</t>
  </si>
  <si>
    <t xml:space="preserve">Française, Portugaise</t>
  </si>
  <si>
    <t xml:space="preserve">05 34 66 99 96</t>
  </si>
  <si>
    <t xml:space="preserve">Ô Zen</t>
  </si>
  <si>
    <t xml:space="preserve">06 61 00 92 26</t>
  </si>
  <si>
    <t xml:space="preserve">Synthèse de la prospection - Restaurants de Toulouse</t>
  </si>
  <si>
    <t xml:space="preserve">Les compteurs se mettent à jour automatiquement à partir de la feuille Prospection (colonnes Statut et données).</t>
  </si>
  <si>
    <t xml:space="preserve">Nombre</t>
  </si>
  <si>
    <t xml:space="preserve">Part</t>
  </si>
  <si>
    <t xml:space="preserve">Contacté</t>
  </si>
  <si>
    <t xml:space="preserve">RDV pris</t>
  </si>
  <si>
    <t xml:space="preserve">Devis envoyé</t>
  </si>
  <si>
    <t xml:space="preserve">Client</t>
  </si>
  <si>
    <t xml:space="preserve">Pas intéressé</t>
  </si>
  <si>
    <t xml:space="preserve">À relancer</t>
  </si>
  <si>
    <t xml:space="preserve">Total des fiches</t>
  </si>
  <si>
    <t xml:space="preserve">Fiches traitées (statut différent de « À contacter »)</t>
  </si>
  <si>
    <t xml:space="preserve">Taux de transformation (clients / fiches traitées)</t>
  </si>
  <si>
    <t xml:space="preserve">Fiches à relancer ou en attente (RDV, devis, relance)</t>
  </si>
  <si>
    <t xml:space="preserve">Données disponibles</t>
  </si>
  <si>
    <t xml:space="preserve">Fiches avec téléphone</t>
  </si>
  <si>
    <t xml:space="preserve">Fiches avec adresse</t>
  </si>
  <si>
    <t xml:space="preserve">Fiches avec type de cuisine</t>
  </si>
  <si>
    <t xml:space="preserve">Type de cuisine (20 plus fréquents)</t>
  </si>
  <si>
    <t xml:space="preserve">Fiches</t>
  </si>
  <si>
    <t xml:space="preserve">Une fiche avec plusieurs types de cuisine est comptée dans chacun d'eux.</t>
  </si>
  <si>
    <t xml:space="preserve">Mode d'emploi du fichier de prospection</t>
  </si>
  <si>
    <t xml:space="preserve">Objet</t>
  </si>
  <si>
    <t xml:space="preserve">Suivi de la prospection commerciale des restaurants de Toulouse : une ligne par établissement, avec les colonnes de suivi à compléter au fil des contacts.</t>
  </si>
  <si>
    <t xml:space="preserve">Source des données</t>
  </si>
  <si>
    <t xml:space="preserve">Liste extraite d'OpenStreetMap (API Overpass) le 29/09/2026 avec le script lister_restaurants.py (dépôt GitHub Caillah31, dossier restaurants-france). 886 établissements listés, 2 doublons retirés (même nom et même téléphone ou adresse), 884 fiches conservées.</t>
  </si>
  <si>
    <t xml:space="preserve">Fiabilité</t>
  </si>
  <si>
    <t xml:space="preserve">Les données OpenStreetMap sont contributives : certains établissements n'ont pas de téléphone ou d'adresse, d'autres ont pu fermer. Vérifiez la fiche (lien « Voir la carte ») avant tout démarchage.</t>
  </si>
  <si>
    <t xml:space="preserve">Colonnes A à F</t>
  </si>
  <si>
    <t xml:space="preserve">Données de l'établissement (numéro, nom, type de cuisine, adresse, ville, téléphone). Vous pouvez les corriger si besoin. Le type de cuisine est traduit depuis les catégories OpenStreetMap.</t>
  </si>
  <si>
    <t xml:space="preserve">Colonnes G à L (fond jaune)</t>
  </si>
  <si>
    <t xml:space="preserve">Colonnes de suivi à remplir : Statut (liste déroulante), Date 1er contact, Interlocuteur, Prochaine action, Date de relance, Commentaires. Les dates se saisissent au format JJ/MM/AAAA.</t>
  </si>
  <si>
    <t xml:space="preserve">Colonne M</t>
  </si>
  <si>
    <t xml:space="preserve">Lien automatique vers une recherche Google Maps sur le nom et l'adresse de l'établissement.</t>
  </si>
  <si>
    <t xml:space="preserve">Statuts</t>
  </si>
  <si>
    <t xml:space="preserve">À contacter · Contacté · RDV pris · Devis envoyé · Client · Pas intéressé · À relancer. Le statut colore la cellule automatiquement ; la feuille Synthèse compte les fiches par statut.</t>
  </si>
  <si>
    <t xml:space="preserve">Filtres</t>
  </si>
  <si>
    <t xml:space="preserve">Les en-têtes de la feuille Prospection ont des filtres : filtrez par statut, par type de cuisine ou triez par date de relance pour préparer vos appels.</t>
  </si>
  <si>
    <t xml:space="preserve">Mettre à jour la liste</t>
  </si>
  <si>
    <t xml:space="preserve">Pour régénérer la liste (ou ajouter la périphérie toulousaine) : python3 lister_restaurants.py --peripherie --format csv --sortie toulouse.csv</t>
  </si>
  <si>
    <t xml:space="preserve">Exemple de ligne remplie</t>
  </si>
  <si>
    <t xml:space="preserve">Chez Exemple (fictif)</t>
  </si>
  <si>
    <t xml:space="preserve">1 Rue de l'Exemple</t>
  </si>
  <si>
    <t xml:space="preserve">05 61 00 00 00</t>
  </si>
  <si>
    <t xml:space="preserve">02/10/2026</t>
  </si>
  <si>
    <t xml:space="preserve">Mme Martin, gérante</t>
  </si>
  <si>
    <t xml:space="preserve">Présenter l'offre en rendez-vous</t>
  </si>
  <si>
    <t xml:space="preserve">09/10/2026</t>
  </si>
  <si>
    <t xml:space="preserve">Intéressée par une démonstration, préfère être appelée le matin</t>
  </si>
  <si>
    <t xml:space="preserve">Ligne d'exemple fictive : elle n'est pas dans la feuille Prospection.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</si>
</sst>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833C0B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450&#176;%20par%20Pizzeria%20d%27Alexis%20Toulouse" TargetMode="External"/><Relationship Id="rId2" Type="http://schemas.openxmlformats.org/officeDocument/2006/relationships/hyperlink" Target="https://www.google.com/maps/search/?api=1&amp;query=%40Pizza%20Plana%20108%20Rue%20Louis%20Plana%20Toulouse" TargetMode="External"/><Relationship Id="rId3" Type="http://schemas.openxmlformats.org/officeDocument/2006/relationships/hyperlink" Target="https://www.google.com/maps/search/?api=1&amp;query=A%20Mesa%20de%20Carole%2044%20Avenue%20Antoine%20de%20Saint-Exup&#233;ry%20Toulouse" TargetMode="External"/><Relationship Id="rId4" Type="http://schemas.openxmlformats.org/officeDocument/2006/relationships/hyperlink" Target="https://www.google.com/maps/search/?api=1&amp;query=A%20Taula%2011%20Rue%20Malcousinat%20Toulouse" TargetMode="External"/><Relationship Id="rId5" Type="http://schemas.openxmlformats.org/officeDocument/2006/relationships/hyperlink" Target="https://www.google.com/maps/search/?api=1&amp;query=A.mar%20Toulouse" TargetMode="External"/><Relationship Id="rId6" Type="http://schemas.openxmlformats.org/officeDocument/2006/relationships/hyperlink" Target="https://www.google.com/maps/search/?api=1&amp;query=Abuelo%20Toulouse" TargetMode="External"/><Relationship Id="rId7" Type="http://schemas.openxmlformats.org/officeDocument/2006/relationships/hyperlink" Target="https://www.google.com/maps/search/?api=1&amp;query=Abyssinia%20Toulouse" TargetMode="External"/><Relationship Id="rId8" Type="http://schemas.openxmlformats.org/officeDocument/2006/relationships/hyperlink" Target="https://www.google.com/maps/search/?api=1&amp;query=Acte%202%20Toulouse" TargetMode="External"/><Relationship Id="rId9" Type="http://schemas.openxmlformats.org/officeDocument/2006/relationships/hyperlink" Target="https://www.google.com/maps/search/?api=1&amp;query=Adana%20grill%2016%20Avenue%20de%20Larrieu-Thibaud%20Toulouse" TargetMode="External"/><Relationship Id="rId10" Type="http://schemas.openxmlformats.org/officeDocument/2006/relationships/hyperlink" Target="https://www.google.com/maps/search/?api=1&amp;query=African%20Queen%20Toulouse" TargetMode="External"/><Relationship Id="rId11" Type="http://schemas.openxmlformats.org/officeDocument/2006/relationships/hyperlink" Target="https://www.google.com/maps/search/?api=1&amp;query=Agapes%20Toulouse" TargetMode="External"/><Relationship Id="rId12" Type="http://schemas.openxmlformats.org/officeDocument/2006/relationships/hyperlink" Target="https://www.google.com/maps/search/?api=1&amp;query=Agora%20Toulouse" TargetMode="External"/><Relationship Id="rId13" Type="http://schemas.openxmlformats.org/officeDocument/2006/relationships/hyperlink" Target="https://www.google.com/maps/search/?api=1&amp;query=Aiko%20Toulouse" TargetMode="External"/><Relationship Id="rId14" Type="http://schemas.openxmlformats.org/officeDocument/2006/relationships/hyperlink" Target="https://www.google.com/maps/search/?api=1&amp;query=Aishi%20Ramen%2016%20Rue%20L&#233;on%20Gambetta%20Toulouse" TargetMode="External"/><Relationship Id="rId15" Type="http://schemas.openxmlformats.org/officeDocument/2006/relationships/hyperlink" Target="https://www.google.com/maps/search/?api=1&amp;query=Alice%20Pizza%20Toulouse" TargetMode="External"/><Relationship Id="rId16" Type="http://schemas.openxmlformats.org/officeDocument/2006/relationships/hyperlink" Target="https://www.google.com/maps/search/?api=1&amp;query=Amore%20Mia%20Toulouse" TargetMode="External"/><Relationship Id="rId17" Type="http://schemas.openxmlformats.org/officeDocument/2006/relationships/hyperlink" Target="https://www.google.com/maps/search/?api=1&amp;query=An%20Nam%20Toulouse" TargetMode="External"/><Relationship Id="rId18" Type="http://schemas.openxmlformats.org/officeDocument/2006/relationships/hyperlink" Target="https://www.google.com/maps/search/?api=1&amp;query=Andiamo%202%20Avenue%20Paul%20S&#233;journ&#233;%20Toulouse" TargetMode="External"/><Relationship Id="rId19" Type="http://schemas.openxmlformats.org/officeDocument/2006/relationships/hyperlink" Target="https://www.google.com/maps/search/?api=1&amp;query=Andochine%2028%20Rue%20des%20Polinaires%20Toulouse" TargetMode="External"/><Relationship Id="rId20" Type="http://schemas.openxmlformats.org/officeDocument/2006/relationships/hyperlink" Target="https://www.google.com/maps/search/?api=1&amp;query=Antho%20et%20Rita%2063%20All&#233;es%20Charles%20de%20Fitte%20Toulouse" TargetMode="External"/><Relationship Id="rId21" Type="http://schemas.openxmlformats.org/officeDocument/2006/relationships/hyperlink" Target="https://www.google.com/maps/search/?api=1&amp;query=Antica%20Salumeria%20Toulouse" TargetMode="External"/><Relationship Id="rId22" Type="http://schemas.openxmlformats.org/officeDocument/2006/relationships/hyperlink" Target="https://www.google.com/maps/search/?api=1&amp;query=Aozai%20Toulouse" TargetMode="External"/><Relationship Id="rId23" Type="http://schemas.openxmlformats.org/officeDocument/2006/relationships/hyperlink" Target="https://www.google.com/maps/search/?api=1&amp;query=Armenian%20Bakery%2074%20All&#233;es%20Jean%20Jaur&#232;s%20Toulouse" TargetMode="External"/><Relationship Id="rId24" Type="http://schemas.openxmlformats.org/officeDocument/2006/relationships/hyperlink" Target="https://www.google.com/maps/search/?api=1&amp;query=Artigiano%20Toulouse" TargetMode="External"/><Relationship Id="rId25" Type="http://schemas.openxmlformats.org/officeDocument/2006/relationships/hyperlink" Target="https://www.google.com/maps/search/?api=1&amp;query=Asia%20Village%20Toulouse" TargetMode="External"/><Relationship Id="rId26" Type="http://schemas.openxmlformats.org/officeDocument/2006/relationships/hyperlink" Target="https://www.google.com/maps/search/?api=1&amp;query=Assoiff&#233;s%20Toulouse" TargetMode="External"/><Relationship Id="rId27" Type="http://schemas.openxmlformats.org/officeDocument/2006/relationships/hyperlink" Target="https://www.google.com/maps/search/?api=1&amp;query=Au%20Bon%20Graillou%20Toulouse" TargetMode="External"/><Relationship Id="rId28" Type="http://schemas.openxmlformats.org/officeDocument/2006/relationships/hyperlink" Target="https://www.google.com/maps/search/?api=1&amp;query=Au%20Buron%20Toulouse" TargetMode="External"/><Relationship Id="rId29" Type="http://schemas.openxmlformats.org/officeDocument/2006/relationships/hyperlink" Target="https://www.google.com/maps/search/?api=1&amp;query=Au%20Comptoir%20Toulouse" TargetMode="External"/><Relationship Id="rId30" Type="http://schemas.openxmlformats.org/officeDocument/2006/relationships/hyperlink" Target="https://www.google.com/maps/search/?api=1&amp;query=Au%20c&#339;ur%20de%20Tunis%20Toulouse" TargetMode="External"/><Relationship Id="rId31" Type="http://schemas.openxmlformats.org/officeDocument/2006/relationships/hyperlink" Target="https://www.google.com/maps/search/?api=1&amp;query=Au%20c&#339;ur%20de%20Tunis%2032%20All&#233;es%20Charles%20de%20Fitte%20Toulouse" TargetMode="External"/><Relationship Id="rId32" Type="http://schemas.openxmlformats.org/officeDocument/2006/relationships/hyperlink" Target="https://www.google.com/maps/search/?api=1&amp;query=Au%20Gascon%20Toulouse" TargetMode="External"/><Relationship Id="rId33" Type="http://schemas.openxmlformats.org/officeDocument/2006/relationships/hyperlink" Target="https://www.google.com/maps/search/?api=1&amp;query=Au%20Gourmet%20Vietnam%20Toulouse" TargetMode="External"/><Relationship Id="rId34" Type="http://schemas.openxmlformats.org/officeDocument/2006/relationships/hyperlink" Target="https://www.google.com/maps/search/?api=1&amp;query=Au%20Jardin%20des%20Th&#233;s%20Toulouse" TargetMode="External"/><Relationship Id="rId35" Type="http://schemas.openxmlformats.org/officeDocument/2006/relationships/hyperlink" Target="https://www.google.com/maps/search/?api=1&amp;query=Au%20Pois%20Gourmand%203%20Rue%20&#201;mile%20Heybrard%20Toulouse" TargetMode="External"/><Relationship Id="rId36" Type="http://schemas.openxmlformats.org/officeDocument/2006/relationships/hyperlink" Target="https://www.google.com/maps/search/?api=1&amp;query=Au%20Vieux%20P&#233;kin%20Toulouse" TargetMode="External"/><Relationship Id="rId37" Type="http://schemas.openxmlformats.org/officeDocument/2006/relationships/hyperlink" Target="https://www.google.com/maps/search/?api=1&amp;query=Autour%20de%20Pizz%27%201%20Rue%20de%20Carcassonne%20Toulouse" TargetMode="External"/><Relationship Id="rId38" Type="http://schemas.openxmlformats.org/officeDocument/2006/relationships/hyperlink" Target="https://www.google.com/maps/search/?api=1&amp;query=Aux%203%20Elephants%20Toulouse" TargetMode="External"/><Relationship Id="rId39" Type="http://schemas.openxmlformats.org/officeDocument/2006/relationships/hyperlink" Target="https://www.google.com/maps/search/?api=1&amp;query=Aux%20D&#233;lices%20D%27Ailleurs%202%20Rue%20Paul%20Rocache%20Toulouse" TargetMode="External"/><Relationship Id="rId40" Type="http://schemas.openxmlformats.org/officeDocument/2006/relationships/hyperlink" Target="https://www.google.com/maps/search/?api=1&amp;query=Aux%20Pieds%20Sous%20La%20Table%20Toulouse" TargetMode="External"/><Relationship Id="rId41" Type="http://schemas.openxmlformats.org/officeDocument/2006/relationships/hyperlink" Target="https://www.google.com/maps/search/?api=1&amp;query=Avem%20Grill%20Toulouse" TargetMode="External"/><Relationship Id="rId42" Type="http://schemas.openxmlformats.org/officeDocument/2006/relationships/hyperlink" Target="https://www.google.com/maps/search/?api=1&amp;query=a&#231;ai%2020%20Rue%20d%27Aubuisson%20Toulouse" TargetMode="External"/><Relationship Id="rId43" Type="http://schemas.openxmlformats.org/officeDocument/2006/relationships/hyperlink" Target="https://www.google.com/maps/search/?api=1&amp;query=B06%2016%20Rue%20Paulin%20Talabot%20Toulouse" TargetMode="External"/><Relationship Id="rId44" Type="http://schemas.openxmlformats.org/officeDocument/2006/relationships/hyperlink" Target="https://www.google.com/maps/search/?api=1&amp;query=Baan%20Siam%20Toulouse" TargetMode="External"/><Relationship Id="rId45" Type="http://schemas.openxmlformats.org/officeDocument/2006/relationships/hyperlink" Target="https://www.google.com/maps/search/?api=1&amp;query=Baba%20canteen%20Toulouse" TargetMode="External"/><Relationship Id="rId46" Type="http://schemas.openxmlformats.org/officeDocument/2006/relationships/hyperlink" Target="https://www.google.com/maps/search/?api=1&amp;query=Banh%20mi%20Toulouse" TargetMode="External"/><Relationship Id="rId47" Type="http://schemas.openxmlformats.org/officeDocument/2006/relationships/hyperlink" Target="https://www.google.com/maps/search/?api=1&amp;query=Bao%20House%20Toulouse" TargetMode="External"/><Relationship Id="rId48" Type="http://schemas.openxmlformats.org/officeDocument/2006/relationships/hyperlink" Target="https://www.google.com/maps/search/?api=1&amp;query=Bar%20&#224;%20la%20Une%201%20Chemin%20Cassaing%20Toulouse" TargetMode="External"/><Relationship Id="rId49" Type="http://schemas.openxmlformats.org/officeDocument/2006/relationships/hyperlink" Target="https://www.google.com/maps/search/?api=1&amp;query=Barbaque%20Toulouse" TargetMode="External"/><Relationship Id="rId50" Type="http://schemas.openxmlformats.org/officeDocument/2006/relationships/hyperlink" Target="https://www.google.com/maps/search/?api=1&amp;query=Barbaque%20Toulouse" TargetMode="External"/><Relationship Id="rId51" Type="http://schemas.openxmlformats.org/officeDocument/2006/relationships/hyperlink" Target="https://www.google.com/maps/search/?api=1&amp;query=Barricot%20Toulouse" TargetMode="External"/><Relationship Id="rId52" Type="http://schemas.openxmlformats.org/officeDocument/2006/relationships/hyperlink" Target="https://www.google.com/maps/search/?api=1&amp;query=Basso%20Com%27p&#244;tes%2017%20Paulin%20Talabot%20Toulouse" TargetMode="External"/><Relationship Id="rId53" Type="http://schemas.openxmlformats.org/officeDocument/2006/relationships/hyperlink" Target="https://www.google.com/maps/search/?api=1&amp;query=Becco%20Toulouse" TargetMode="External"/><Relationship Id="rId54" Type="http://schemas.openxmlformats.org/officeDocument/2006/relationships/hyperlink" Target="https://www.google.com/maps/search/?api=1&amp;query=Beldi%20Fusion%2043%20Avenue%20de%20Muret%20Toulouse" TargetMode="External"/><Relationship Id="rId55" Type="http://schemas.openxmlformats.org/officeDocument/2006/relationships/hyperlink" Target="https://www.google.com/maps/search/?api=1&amp;query=Bellini%20Toulouse" TargetMode="External"/><Relationship Id="rId56" Type="http://schemas.openxmlformats.org/officeDocument/2006/relationships/hyperlink" Target="https://www.google.com/maps/search/?api=1&amp;query=Bellocq%20Toulouse" TargetMode="External"/><Relationship Id="rId57" Type="http://schemas.openxmlformats.org/officeDocument/2006/relationships/hyperlink" Target="https://www.google.com/maps/search/?api=1&amp;query=Bep%20Chay%20Toulouse" TargetMode="External"/><Relationship Id="rId58" Type="http://schemas.openxmlformats.org/officeDocument/2006/relationships/hyperlink" Target="https://www.google.com/maps/search/?api=1&amp;query=Best%20wok%20%26%20poke%20Toulouse" TargetMode="External"/><Relationship Id="rId59" Type="http://schemas.openxmlformats.org/officeDocument/2006/relationships/hyperlink" Target="https://www.google.com/maps/search/?api=1&amp;query=Biergarten%20Purpan%20Toulouse" TargetMode="External"/><Relationship Id="rId60" Type="http://schemas.openxmlformats.org/officeDocument/2006/relationships/hyperlink" Target="https://www.google.com/maps/search/?api=1&amp;query=Bimi%20Sushi%20%26%20poke%20ball%20Toulouse" TargetMode="External"/><Relationship Id="rId61" Type="http://schemas.openxmlformats.org/officeDocument/2006/relationships/hyperlink" Target="https://www.google.com/maps/search/?api=1&amp;query=Binaire%2041%20Avenue%20Jules%20Julien%20Toulouse" TargetMode="External"/><Relationship Id="rId62" Type="http://schemas.openxmlformats.org/officeDocument/2006/relationships/hyperlink" Target="https://www.google.com/maps/search/?api=1&amp;query=Bistro%20des%20Carmes%20Toulouse" TargetMode="External"/><Relationship Id="rId63" Type="http://schemas.openxmlformats.org/officeDocument/2006/relationships/hyperlink" Target="https://www.google.com/maps/search/?api=1&amp;query=Bistro%20Garonne%20Toulouse" TargetMode="External"/><Relationship Id="rId64" Type="http://schemas.openxmlformats.org/officeDocument/2006/relationships/hyperlink" Target="https://www.google.com/maps/search/?api=1&amp;query=Bistro%20R&#233;gent%20Toulouse" TargetMode="External"/><Relationship Id="rId65" Type="http://schemas.openxmlformats.org/officeDocument/2006/relationships/hyperlink" Target="https://www.google.com/maps/search/?api=1&amp;query=Bistro%20R&#233;gent%202%20Place%20Marcel%20Bouilloux-Lafont%20Toulouse" TargetMode="External"/><Relationship Id="rId66" Type="http://schemas.openxmlformats.org/officeDocument/2006/relationships/hyperlink" Target="https://www.google.com/maps/search/?api=1&amp;query=Bistro%20R&#233;gent%20Toulouse" TargetMode="External"/><Relationship Id="rId67" Type="http://schemas.openxmlformats.org/officeDocument/2006/relationships/hyperlink" Target="https://www.google.com/maps/search/?api=1&amp;query=Bistrot%20August%20Toulouse" TargetMode="External"/><Relationship Id="rId68" Type="http://schemas.openxmlformats.org/officeDocument/2006/relationships/hyperlink" Target="https://www.google.com/maps/search/?api=1&amp;query=Bistrot%20de%20l%27Etoile%20Toulouse" TargetMode="External"/><Relationship Id="rId69" Type="http://schemas.openxmlformats.org/officeDocument/2006/relationships/hyperlink" Target="https://www.google.com/maps/search/?api=1&amp;query=Bistrot%20Galien%206%20Place%20Dominique%20Martin%20Dupuy%20Toulouse" TargetMode="External"/><Relationship Id="rId70" Type="http://schemas.openxmlformats.org/officeDocument/2006/relationships/hyperlink" Target="https://www.google.com/maps/search/?api=1&amp;query=Blanquette%20Toulouse" TargetMode="External"/><Relationship Id="rId71" Type="http://schemas.openxmlformats.org/officeDocument/2006/relationships/hyperlink" Target="https://www.google.com/maps/search/?api=1&amp;query=Blok%20Resto%202%20Rue%20Ren&#233;%20Cornemont%20Toulouse" TargetMode="External"/><Relationship Id="rId72" Type="http://schemas.openxmlformats.org/officeDocument/2006/relationships/hyperlink" Target="https://www.google.com/maps/search/?api=1&amp;query=Bocados%20Toulouse" TargetMode="External"/><Relationship Id="rId73" Type="http://schemas.openxmlformats.org/officeDocument/2006/relationships/hyperlink" Target="https://www.google.com/maps/search/?api=1&amp;query=Boli%20Cafe%20Toulouse" TargetMode="External"/><Relationship Id="rId74" Type="http://schemas.openxmlformats.org/officeDocument/2006/relationships/hyperlink" Target="https://www.google.com/maps/search/?api=1&amp;query=Bonbonne%20Toulouse" TargetMode="External"/><Relationship Id="rId75" Type="http://schemas.openxmlformats.org/officeDocument/2006/relationships/hyperlink" Target="https://www.google.com/maps/search/?api=1&amp;query=Bongkok%20Bol%20221%20Avenue%20de%20Fronton%20Toulouse" TargetMode="External"/><Relationship Id="rId76" Type="http://schemas.openxmlformats.org/officeDocument/2006/relationships/hyperlink" Target="https://www.google.com/maps/search/?api=1&amp;query=Borriquito%20Loco%20Rue%20des%20Paradoux%20Toulouse" TargetMode="External"/><Relationship Id="rId77" Type="http://schemas.openxmlformats.org/officeDocument/2006/relationships/hyperlink" Target="https://www.google.com/maps/search/?api=1&amp;query=Bossa%20Nova%201%20bis%20Rue%20du%20May%20Toulouse" TargetMode="External"/><Relationship Id="rId78" Type="http://schemas.openxmlformats.org/officeDocument/2006/relationships/hyperlink" Target="https://www.google.com/maps/search/?api=1&amp;query=Boulangerie%20Patisserie%20Toulouse" TargetMode="External"/><Relationship Id="rId79" Type="http://schemas.openxmlformats.org/officeDocument/2006/relationships/hyperlink" Target="https://www.google.com/maps/search/?api=1&amp;query=Boulevard%2036%20Toulouse" TargetMode="External"/><Relationship Id="rId80" Type="http://schemas.openxmlformats.org/officeDocument/2006/relationships/hyperlink" Target="https://www.google.com/maps/search/?api=1&amp;query=Bowling%20de%20Gramont%20Toulouse" TargetMode="External"/><Relationship Id="rId81" Type="http://schemas.openxmlformats.org/officeDocument/2006/relationships/hyperlink" Target="https://www.google.com/maps/search/?api=1&amp;query=Brasserie%20des%20Beaux-Arts%20Toulouse" TargetMode="External"/><Relationship Id="rId82" Type="http://schemas.openxmlformats.org/officeDocument/2006/relationships/hyperlink" Target="https://www.google.com/maps/search/?api=1&amp;query=Brasserie%20du%20Fauboug%20Saint-Simon%20Toulouse" TargetMode="External"/><Relationship Id="rId83" Type="http://schemas.openxmlformats.org/officeDocument/2006/relationships/hyperlink" Target="https://www.google.com/maps/search/?api=1&amp;query=Brasserie%20Le%20Capoul%2013%20Place%20du%20Pr&#233;sident%20Wilson%20Toulouse" TargetMode="External"/><Relationship Id="rId84" Type="http://schemas.openxmlformats.org/officeDocument/2006/relationships/hyperlink" Target="https://www.google.com/maps/search/?api=1&amp;query=Brasserie%20Les%20Frangins%207%20Chemin%20des%20Silos%20Toulouse" TargetMode="External"/><Relationship Id="rId85" Type="http://schemas.openxmlformats.org/officeDocument/2006/relationships/hyperlink" Target="https://www.google.com/maps/search/?api=1&amp;query=Brasserie%20Toulousaine%20Toulouse" TargetMode="External"/><Relationship Id="rId86" Type="http://schemas.openxmlformats.org/officeDocument/2006/relationships/hyperlink" Target="https://www.google.com/maps/search/?api=1&amp;query=Buffet%20Himalaya%20Toulouse" TargetMode="External"/><Relationship Id="rId87" Type="http://schemas.openxmlformats.org/officeDocument/2006/relationships/hyperlink" Target="https://www.google.com/maps/search/?api=1&amp;query=Burger%27n%27Co%20St%20Aubin%20Toulouse" TargetMode="External"/><Relationship Id="rId88" Type="http://schemas.openxmlformats.org/officeDocument/2006/relationships/hyperlink" Target="https://www.google.com/maps/search/?api=1&amp;query=Byblos%206%20Place%20du%20Pr&#233;sident%20Wilson%20Toulouse" TargetMode="External"/><Relationship Id="rId89" Type="http://schemas.openxmlformats.org/officeDocument/2006/relationships/hyperlink" Target="https://www.google.com/maps/search/?api=1&amp;query=B&#224;caro%20Toulouse" TargetMode="External"/><Relationship Id="rId90" Type="http://schemas.openxmlformats.org/officeDocument/2006/relationships/hyperlink" Target="https://www.google.com/maps/search/?api=1&amp;query=B&#226;timent%2049%20-%20Restaurant%20Toulouse" TargetMode="External"/><Relationship Id="rId91" Type="http://schemas.openxmlformats.org/officeDocument/2006/relationships/hyperlink" Target="https://www.google.com/maps/search/?api=1&amp;query=B&#226;timent%20T%20Toulouse" TargetMode="External"/><Relationship Id="rId92" Type="http://schemas.openxmlformats.org/officeDocument/2006/relationships/hyperlink" Target="https://www.google.com/maps/search/?api=1&amp;query=B&#251;n%20Vi&#234;t%2010%20Place%20Occitane%20Toulouse" TargetMode="External"/><Relationship Id="rId93" Type="http://schemas.openxmlformats.org/officeDocument/2006/relationships/hyperlink" Target="https://www.google.com/maps/search/?api=1&amp;query=Cafet&#8217;%20Arum%205%20All&#233;e%20Antonio%20Machado%20Toulouse" TargetMode="External"/><Relationship Id="rId94" Type="http://schemas.openxmlformats.org/officeDocument/2006/relationships/hyperlink" Target="https://www.google.com/maps/search/?api=1&amp;query=Caf&#233;%20Baronie%20Toulouse" TargetMode="External"/><Relationship Id="rId95" Type="http://schemas.openxmlformats.org/officeDocument/2006/relationships/hyperlink" Target="https://www.google.com/maps/search/?api=1&amp;query=Caf&#233;%20Chouchou%20Toulouse" TargetMode="External"/><Relationship Id="rId96" Type="http://schemas.openxmlformats.org/officeDocument/2006/relationships/hyperlink" Target="https://www.google.com/maps/search/?api=1&amp;query=Caf&#233;%20de%20la%20Bourse%20Toulouse" TargetMode="External"/><Relationship Id="rId97" Type="http://schemas.openxmlformats.org/officeDocument/2006/relationships/hyperlink" Target="https://www.google.com/maps/search/?api=1&amp;query=Caf&#233;%20Francis%20181%20avenue%20des%20&#233;tats%20unis%20Toulouse" TargetMode="External"/><Relationship Id="rId98" Type="http://schemas.openxmlformats.org/officeDocument/2006/relationships/hyperlink" Target="https://www.google.com/maps/search/?api=1&amp;query=Caf&#233;%20Italien%20Toulouse" TargetMode="External"/><Relationship Id="rId99" Type="http://schemas.openxmlformats.org/officeDocument/2006/relationships/hyperlink" Target="https://www.google.com/maps/search/?api=1&amp;query=Caf&#233;%20Manine%2017%20Place%20Roguet%20Toulouse" TargetMode="External"/><Relationship Id="rId100" Type="http://schemas.openxmlformats.org/officeDocument/2006/relationships/hyperlink" Target="https://www.google.com/maps/search/?api=1&amp;query=Caf&#233;%20Maurice%20Toulouse" TargetMode="External"/><Relationship Id="rId101" Type="http://schemas.openxmlformats.org/officeDocument/2006/relationships/hyperlink" Target="https://www.google.com/maps/search/?api=1&amp;query=Caf&#233;%20Oz%201%20Rue%20Gabriel%20P&#233;ri%20Toulouse" TargetMode="External"/><Relationship Id="rId102" Type="http://schemas.openxmlformats.org/officeDocument/2006/relationships/hyperlink" Target="https://www.google.com/maps/search/?api=1&amp;query=Caf&#233;%20Triplette%207%20Place%20Saint-Sernin%20Toulouse" TargetMode="External"/><Relationship Id="rId103" Type="http://schemas.openxmlformats.org/officeDocument/2006/relationships/hyperlink" Target="https://www.google.com/maps/search/?api=1&amp;query=Caf&#233;%20&#224;%20la%20Une%20Toulouse" TargetMode="External"/><Relationship Id="rId104" Type="http://schemas.openxmlformats.org/officeDocument/2006/relationships/hyperlink" Target="https://www.google.com/maps/search/?api=1&amp;query=Caf&#233;-Restaurant%20culturel%20occitan%20La%20Topina%20Place%20Lange%20Toulouse" TargetMode="External"/><Relationship Id="rId105" Type="http://schemas.openxmlformats.org/officeDocument/2006/relationships/hyperlink" Target="https://www.google.com/maps/search/?api=1&amp;query=Cama%27Or%20Toulouse" TargetMode="External"/><Relationship Id="rId106" Type="http://schemas.openxmlformats.org/officeDocument/2006/relationships/hyperlink" Target="https://www.google.com/maps/search/?api=1&amp;query=Camille%27s%20Toulouse" TargetMode="External"/><Relationship Id="rId107" Type="http://schemas.openxmlformats.org/officeDocument/2006/relationships/hyperlink" Target="https://www.google.com/maps/search/?api=1&amp;query=Caminito%203%20Rue%20des%20Gestes%20Toulouse" TargetMode="External"/><Relationship Id="rId108" Type="http://schemas.openxmlformats.org/officeDocument/2006/relationships/hyperlink" Target="https://www.google.com/maps/search/?api=1&amp;query=Campagne%20Toulouse" TargetMode="External"/><Relationship Id="rId109" Type="http://schemas.openxmlformats.org/officeDocument/2006/relationships/hyperlink" Target="https://www.google.com/maps/search/?api=1&amp;query=Cantine%20%26%20Gamelle%20Toulouse" TargetMode="External"/><Relationship Id="rId110" Type="http://schemas.openxmlformats.org/officeDocument/2006/relationships/hyperlink" Target="https://www.google.com/maps/search/?api=1&amp;query=Cantine%20%26%20Gamelle%2014%20Rue%20Claude-Marie%20Perroud%20Toulouse" TargetMode="External"/><Relationship Id="rId111" Type="http://schemas.openxmlformats.org/officeDocument/2006/relationships/hyperlink" Target="https://www.google.com/maps/search/?api=1&amp;query=Cantine%20de%20Fred%20Toulouse" TargetMode="External"/><Relationship Id="rId112" Type="http://schemas.openxmlformats.org/officeDocument/2006/relationships/hyperlink" Target="https://www.google.com/maps/search/?api=1&amp;query=Cantine%20Mirail%20Toulouse" TargetMode="External"/><Relationship Id="rId113" Type="http://schemas.openxmlformats.org/officeDocument/2006/relationships/hyperlink" Target="https://www.google.com/maps/search/?api=1&amp;query=Caracas%209%20Avenue%20de%20Castres%20Toulouse" TargetMode="External"/><Relationship Id="rId114" Type="http://schemas.openxmlformats.org/officeDocument/2006/relationships/hyperlink" Target="https://www.google.com/maps/search/?api=1&amp;query=Carn&#233;%20-%20comptoir%20&#224;%20viandes%20Toulouse" TargetMode="External"/><Relationship Id="rId115" Type="http://schemas.openxmlformats.org/officeDocument/2006/relationships/hyperlink" Target="https://www.google.com/maps/search/?api=1&amp;query=Carthel%20Toulouse" TargetMode="External"/><Relationship Id="rId116" Type="http://schemas.openxmlformats.org/officeDocument/2006/relationships/hyperlink" Target="https://www.google.com/maps/search/?api=1&amp;query=Casa%20Bomba%20Toulouse" TargetMode="External"/><Relationship Id="rId117" Type="http://schemas.openxmlformats.org/officeDocument/2006/relationships/hyperlink" Target="https://www.google.com/maps/search/?api=1&amp;query=Casa%20Dupuy%20Toulouse" TargetMode="External"/><Relationship Id="rId118" Type="http://schemas.openxmlformats.org/officeDocument/2006/relationships/hyperlink" Target="https://www.google.com/maps/search/?api=1&amp;query=Casa%20Natachou%20Toulouse" TargetMode="External"/><Relationship Id="rId119" Type="http://schemas.openxmlformats.org/officeDocument/2006/relationships/hyperlink" Target="https://www.google.com/maps/search/?api=1&amp;query=Catxo%20Toulouse" TargetMode="External"/><Relationship Id="rId120" Type="http://schemas.openxmlformats.org/officeDocument/2006/relationships/hyperlink" Target="https://www.google.com/maps/search/?api=1&amp;query=Champ&#234;tre%20Toulouse" TargetMode="External"/><Relationship Id="rId121" Type="http://schemas.openxmlformats.org/officeDocument/2006/relationships/hyperlink" Target="https://www.google.com/maps/search/?api=1&amp;query=Chef%20Chuan%20Toulouse" TargetMode="External"/><Relationship Id="rId122" Type="http://schemas.openxmlformats.org/officeDocument/2006/relationships/hyperlink" Target="https://www.google.com/maps/search/?api=1&amp;query=Chez%20Alex%20Toulouse" TargetMode="External"/><Relationship Id="rId123" Type="http://schemas.openxmlformats.org/officeDocument/2006/relationships/hyperlink" Target="https://www.google.com/maps/search/?api=1&amp;query=Chez%20Attila%20Toulouse" TargetMode="External"/><Relationship Id="rId124" Type="http://schemas.openxmlformats.org/officeDocument/2006/relationships/hyperlink" Target="https://www.google.com/maps/search/?api=1&amp;query=Chez%20Bobonne%20Toulouse" TargetMode="External"/><Relationship Id="rId125" Type="http://schemas.openxmlformats.org/officeDocument/2006/relationships/hyperlink" Target="https://www.google.com/maps/search/?api=1&amp;query=Chez%20Carmen%2014%20Avenue%20Maurice%20Hauriou%20Toulouse" TargetMode="External"/><Relationship Id="rId126" Type="http://schemas.openxmlformats.org/officeDocument/2006/relationships/hyperlink" Target="https://www.google.com/maps/search/?api=1&amp;query=Chez%20Casi%20Toulouse" TargetMode="External"/><Relationship Id="rId127" Type="http://schemas.openxmlformats.org/officeDocument/2006/relationships/hyperlink" Target="https://www.google.com/maps/search/?api=1&amp;query=Chez%20Ernest%20Toulouse" TargetMode="External"/><Relationship Id="rId128" Type="http://schemas.openxmlformats.org/officeDocument/2006/relationships/hyperlink" Target="https://www.google.com/maps/search/?api=1&amp;query=Chez%20Gardel%20Toulouse" TargetMode="External"/><Relationship Id="rId129" Type="http://schemas.openxmlformats.org/officeDocument/2006/relationships/hyperlink" Target="https://www.google.com/maps/search/?api=1&amp;query=Chez%20Hippolyte%20Toulouse" TargetMode="External"/><Relationship Id="rId130" Type="http://schemas.openxmlformats.org/officeDocument/2006/relationships/hyperlink" Target="https://www.google.com/maps/search/?api=1&amp;query=Chez%20Histor%2027%20Rue%20des%20Paradoux%20Toulouse" TargetMode="External"/><Relationship Id="rId131" Type="http://schemas.openxmlformats.org/officeDocument/2006/relationships/hyperlink" Target="https://www.google.com/maps/search/?api=1&amp;query=Chez%20Hong%20Toulouse" TargetMode="External"/><Relationship Id="rId132" Type="http://schemas.openxmlformats.org/officeDocument/2006/relationships/hyperlink" Target="https://www.google.com/maps/search/?api=1&amp;query=Chez%20Huguette%2015%20Place%20du%20Pr&#233;sident%20Wilson%20Toulouse" TargetMode="External"/><Relationship Id="rId133" Type="http://schemas.openxmlformats.org/officeDocument/2006/relationships/hyperlink" Target="https://www.google.com/maps/search/?api=1&amp;query=Chez%20Ines%20Toulouse" TargetMode="External"/><Relationship Id="rId134" Type="http://schemas.openxmlformats.org/officeDocument/2006/relationships/hyperlink" Target="https://www.google.com/maps/search/?api=1&amp;query=Chez%20Ingalls%20164%20Route%20de%20Revel%20Toulouse" TargetMode="External"/><Relationship Id="rId135" Type="http://schemas.openxmlformats.org/officeDocument/2006/relationships/hyperlink" Target="https://www.google.com/maps/search/?api=1&amp;query=Chez%20Jazz%20Toulouse" TargetMode="External"/><Relationship Id="rId136" Type="http://schemas.openxmlformats.org/officeDocument/2006/relationships/hyperlink" Target="https://www.google.com/maps/search/?api=1&amp;query=Chez%20Jean%20%26%20Gabi%20Toulouse" TargetMode="External"/><Relationship Id="rId137" Type="http://schemas.openxmlformats.org/officeDocument/2006/relationships/hyperlink" Target="https://www.google.com/maps/search/?api=1&amp;query=Chez%20Jeannot%201%20Rue%20de%20Bayard%20Toulouse" TargetMode="External"/><Relationship Id="rId138" Type="http://schemas.openxmlformats.org/officeDocument/2006/relationships/hyperlink" Target="https://www.google.com/maps/search/?api=1&amp;query=Chez%20les%20Potes%20Toulouse" TargetMode="External"/><Relationship Id="rId139" Type="http://schemas.openxmlformats.org/officeDocument/2006/relationships/hyperlink" Target="https://www.google.com/maps/search/?api=1&amp;query=Chez%20Lilly%20Toulouse" TargetMode="External"/><Relationship Id="rId140" Type="http://schemas.openxmlformats.org/officeDocument/2006/relationships/hyperlink" Target="https://www.google.com/maps/search/?api=1&amp;query=Chez%20Loustic%20Toulouse" TargetMode="External"/><Relationship Id="rId141" Type="http://schemas.openxmlformats.org/officeDocument/2006/relationships/hyperlink" Target="https://www.google.com/maps/search/?api=1&amp;query=Chez%20Magda%20Toulouse" TargetMode="External"/><Relationship Id="rId142" Type="http://schemas.openxmlformats.org/officeDocument/2006/relationships/hyperlink" Target="https://www.google.com/maps/search/?api=1&amp;query=Chez%20Marcel%20Toulouse" TargetMode="External"/><Relationship Id="rId143" Type="http://schemas.openxmlformats.org/officeDocument/2006/relationships/hyperlink" Target="https://www.google.com/maps/search/?api=1&amp;query=Chez%20Marcel%20190%20Avenue%20de%20Castres%20Toulouse" TargetMode="External"/><Relationship Id="rId144" Type="http://schemas.openxmlformats.org/officeDocument/2006/relationships/hyperlink" Target="https://www.google.com/maps/search/?api=1&amp;query=Chez%20Marco%20Toulouse" TargetMode="External"/><Relationship Id="rId145" Type="http://schemas.openxmlformats.org/officeDocument/2006/relationships/hyperlink" Target="https://www.google.com/maps/search/?api=1&amp;query=Chez%20Molly%20Toulouse" TargetMode="External"/><Relationship Id="rId146" Type="http://schemas.openxmlformats.org/officeDocument/2006/relationships/hyperlink" Target="https://www.google.com/maps/search/?api=1&amp;query=Chez%20Moustache%20Toulouse" TargetMode="External"/><Relationship Id="rId147" Type="http://schemas.openxmlformats.org/officeDocument/2006/relationships/hyperlink" Target="https://www.google.com/maps/search/?api=1&amp;query=Chez%20Navarre%20Toulouse" TargetMode="External"/><Relationship Id="rId148" Type="http://schemas.openxmlformats.org/officeDocument/2006/relationships/hyperlink" Target="https://www.google.com/maps/search/?api=1&amp;query=Chez%20Nic&#244;%20Toulouse" TargetMode="External"/><Relationship Id="rId149" Type="http://schemas.openxmlformats.org/officeDocument/2006/relationships/hyperlink" Target="https://www.google.com/maps/search/?api=1&amp;query=Chez%20nous%20les%20Libanais%20Toulouse" TargetMode="External"/><Relationship Id="rId150" Type="http://schemas.openxmlformats.org/officeDocument/2006/relationships/hyperlink" Target="https://www.google.com/maps/search/?api=1&amp;query=Chez%20N&#242;u%20Toulouse" TargetMode="External"/><Relationship Id="rId151" Type="http://schemas.openxmlformats.org/officeDocument/2006/relationships/hyperlink" Target="https://www.google.com/maps/search/?api=1&amp;query=Chez%20riz%2045%20Rue%20Saint-Charles%20Toulouse" TargetMode="External"/><Relationship Id="rId152" Type="http://schemas.openxmlformats.org/officeDocument/2006/relationships/hyperlink" Target="https://www.google.com/maps/search/?api=1&amp;query=Chez%20Rosa%20Toulouse" TargetMode="External"/><Relationship Id="rId153" Type="http://schemas.openxmlformats.org/officeDocument/2006/relationships/hyperlink" Target="https://www.google.com/maps/search/?api=1&amp;query=Chez%20Rosine%20Toulouse" TargetMode="External"/><Relationship Id="rId154" Type="http://schemas.openxmlformats.org/officeDocument/2006/relationships/hyperlink" Target="https://www.google.com/maps/search/?api=1&amp;query=Chez%20Teta%20Toulouse" TargetMode="External"/><Relationship Id="rId155" Type="http://schemas.openxmlformats.org/officeDocument/2006/relationships/hyperlink" Target="https://www.google.com/maps/search/?api=1&amp;query=Chez%20Tran%20Toulouse" TargetMode="External"/><Relationship Id="rId156" Type="http://schemas.openxmlformats.org/officeDocument/2006/relationships/hyperlink" Target="https://www.google.com/maps/search/?api=1&amp;query=Chiant%20Mai%20Toulouse" TargetMode="External"/><Relationship Id="rId157" Type="http://schemas.openxmlformats.org/officeDocument/2006/relationships/hyperlink" Target="https://www.google.com/maps/search/?api=1&amp;query=Chick%27n%27Beef%20Toulouse" TargetMode="External"/><Relationship Id="rId158" Type="http://schemas.openxmlformats.org/officeDocument/2006/relationships/hyperlink" Target="https://www.google.com/maps/search/?api=1&amp;query=ChongQing%20Toulouse" TargetMode="External"/><Relationship Id="rId159" Type="http://schemas.openxmlformats.org/officeDocument/2006/relationships/hyperlink" Target="https://www.google.com/maps/search/?api=1&amp;query=Chou%20Doux%20Toulouse" TargetMode="External"/><Relationship Id="rId160" Type="http://schemas.openxmlformats.org/officeDocument/2006/relationships/hyperlink" Target="https://www.google.com/maps/search/?api=1&amp;query=Chut%20Guinguette%20Toulouse" TargetMode="External"/><Relationship Id="rId161" Type="http://schemas.openxmlformats.org/officeDocument/2006/relationships/hyperlink" Target="https://www.google.com/maps/search/?api=1&amp;query=Ch&#233;ri%20Ch&#233;ri%203%20Rue%20Lab&#233;da%20Toulouse" TargetMode="External"/><Relationship Id="rId162" Type="http://schemas.openxmlformats.org/officeDocument/2006/relationships/hyperlink" Target="https://www.google.com/maps/search/?api=1&amp;query=Ch&#244;%20Cha&#239;%20Toulouse" TargetMode="External"/><Relationship Id="rId163" Type="http://schemas.openxmlformats.org/officeDocument/2006/relationships/hyperlink" Target="https://www.google.com/maps/search/?api=1&amp;query=Ch&#7907;%20V&#7881;a%20H&#232;%20Toulouse" TargetMode="External"/><Relationship Id="rId164" Type="http://schemas.openxmlformats.org/officeDocument/2006/relationships/hyperlink" Target="https://www.google.com/maps/search/?api=1&amp;query=Cockpit%20174%20Route%20de%20Bayonne%20Toulouse" TargetMode="External"/><Relationship Id="rId165" Type="http://schemas.openxmlformats.org/officeDocument/2006/relationships/hyperlink" Target="https://www.google.com/maps/search/?api=1&amp;query=Combustible%20Toulouse" TargetMode="External"/><Relationship Id="rId166" Type="http://schemas.openxmlformats.org/officeDocument/2006/relationships/hyperlink" Target="https://www.google.com/maps/search/?api=1&amp;query=Comme%20en%20Asie%20Toulouse" TargetMode="External"/><Relationship Id="rId167" Type="http://schemas.openxmlformats.org/officeDocument/2006/relationships/hyperlink" Target="https://www.google.com/maps/search/?api=1&amp;query=Complices%20Toulouse" TargetMode="External"/><Relationship Id="rId168" Type="http://schemas.openxmlformats.org/officeDocument/2006/relationships/hyperlink" Target="https://www.google.com/maps/search/?api=1&amp;query=Comptoir%20Gueuleton%209%20Rue%20Jacques%20Cujas%20Toulouse" TargetMode="External"/><Relationship Id="rId169" Type="http://schemas.openxmlformats.org/officeDocument/2006/relationships/hyperlink" Target="https://www.google.com/maps/search/?api=1&amp;query=Couleur%20d%27Italie%2010%20Rue%20du%20G&#233;n&#233;ral%20Giraud%20Toulouse" TargetMode="External"/><Relationship Id="rId170" Type="http://schemas.openxmlformats.org/officeDocument/2006/relationships/hyperlink" Target="https://www.google.com/maps/search/?api=1&amp;query=Coup%20de%20Bambou%20Toulouse" TargetMode="External"/><Relationship Id="rId171" Type="http://schemas.openxmlformats.org/officeDocument/2006/relationships/hyperlink" Target="https://www.google.com/maps/search/?api=1&amp;query=Crep%27zz%20and%20co%2034%20Avenue%20de%20Grande%20Bretagne%20Toulouse" TargetMode="External"/><Relationship Id="rId172" Type="http://schemas.openxmlformats.org/officeDocument/2006/relationships/hyperlink" Target="https://www.google.com/maps/search/?api=1&amp;query=Croustille%20Toulouse" TargetMode="External"/><Relationship Id="rId173" Type="http://schemas.openxmlformats.org/officeDocument/2006/relationships/hyperlink" Target="https://www.google.com/maps/search/?api=1&amp;query=Cr&#234;p%27eat%20Toulouse" TargetMode="External"/><Relationship Id="rId174" Type="http://schemas.openxmlformats.org/officeDocument/2006/relationships/hyperlink" Target="https://www.google.com/maps/search/?api=1&amp;query=Cr&#234;perie%20de%20l%27&#201;cluse%207%20All&#233;e%20de%20Brienne%20Toulouse" TargetMode="External"/><Relationship Id="rId175" Type="http://schemas.openxmlformats.org/officeDocument/2006/relationships/hyperlink" Target="https://www.google.com/maps/search/?api=1&amp;query=Cr&#234;perie%20Saint-Georges%20Toulouse" TargetMode="External"/><Relationship Id="rId176" Type="http://schemas.openxmlformats.org/officeDocument/2006/relationships/hyperlink" Target="https://www.google.com/maps/search/?api=1&amp;query=Cr&#234;perie%20Saint-Georges%20Toulouse" TargetMode="External"/><Relationship Id="rId177" Type="http://schemas.openxmlformats.org/officeDocument/2006/relationships/hyperlink" Target="https://www.google.com/maps/search/?api=1&amp;query=Cucina%20Semplice%20Toulouse" TargetMode="External"/><Relationship Id="rId178" Type="http://schemas.openxmlformats.org/officeDocument/2006/relationships/hyperlink" Target="https://www.google.com/maps/search/?api=1&amp;query=Curry%20Caf&#233;%2022%20Rue%20Saint-Rome%20Toulouse" TargetMode="External"/><Relationship Id="rId179" Type="http://schemas.openxmlformats.org/officeDocument/2006/relationships/hyperlink" Target="https://www.google.com/maps/search/?api=1&amp;query=C&#233;cile%20Toulouse" TargetMode="External"/><Relationship Id="rId180" Type="http://schemas.openxmlformats.org/officeDocument/2006/relationships/hyperlink" Target="https://www.google.com/maps/search/?api=1&amp;query=C&#244;t&#233;%20d%27Oc%202%20Rue%20des%20Filatiers%20Toulouse" TargetMode="External"/><Relationship Id="rId181" Type="http://schemas.openxmlformats.org/officeDocument/2006/relationships/hyperlink" Target="https://www.google.com/maps/search/?api=1&amp;query=C&#244;t&#233;%20Garonne%208%20Avenue%20Maurice%20Hauriou%20Toulouse" TargetMode="External"/><Relationship Id="rId182" Type="http://schemas.openxmlformats.org/officeDocument/2006/relationships/hyperlink" Target="https://www.google.com/maps/search/?api=1&amp;query=C&#339;ur%20d%27Amande%20Toulouse" TargetMode="External"/><Relationship Id="rId183" Type="http://schemas.openxmlformats.org/officeDocument/2006/relationships/hyperlink" Target="https://www.google.com/maps/search/?api=1&amp;query=Daily%20Sushi%20109%20Toulouse" TargetMode="External"/><Relationship Id="rId184" Type="http://schemas.openxmlformats.org/officeDocument/2006/relationships/hyperlink" Target="https://www.google.com/maps/search/?api=1&amp;query=Dans%20le%20noir%20Toulouse" TargetMode="External"/><Relationship Id="rId185" Type="http://schemas.openxmlformats.org/officeDocument/2006/relationships/hyperlink" Target="https://www.google.com/maps/search/?api=1&amp;query=Dar%20Diaf%20Toulouse" TargetMode="External"/><Relationship Id="rId186" Type="http://schemas.openxmlformats.org/officeDocument/2006/relationships/hyperlink" Target="https://www.google.com/maps/search/?api=1&amp;query=Dee%20Dee%20Thai%20Sushi%20Toulouse" TargetMode="External"/><Relationship Id="rId187" Type="http://schemas.openxmlformats.org/officeDocument/2006/relationships/hyperlink" Target="https://www.google.com/maps/search/?api=1&amp;query=Delicosy%2087%20Boulevard%20de%20Suisse%20Toulouse" TargetMode="External"/><Relationship Id="rId188" Type="http://schemas.openxmlformats.org/officeDocument/2006/relationships/hyperlink" Target="https://www.google.com/maps/search/?api=1&amp;query=Dicapo%201%20Place%20Marcel%20Bouilloux-Lafont%20Toulouse" TargetMode="External"/><Relationship Id="rId189" Type="http://schemas.openxmlformats.org/officeDocument/2006/relationships/hyperlink" Target="https://www.google.com/maps/search/?api=1&amp;query=Didier%20Daurat%20Toulouse" TargetMode="External"/><Relationship Id="rId190" Type="http://schemas.openxmlformats.org/officeDocument/2006/relationships/hyperlink" Target="https://www.google.com/maps/search/?api=1&amp;query=Doma%20Toulouse" TargetMode="External"/><Relationship Id="rId191" Type="http://schemas.openxmlformats.org/officeDocument/2006/relationships/hyperlink" Target="https://www.google.com/maps/search/?api=1&amp;query=Don%20Pancho%20Toulouse" TargetMode="External"/><Relationship Id="rId192" Type="http://schemas.openxmlformats.org/officeDocument/2006/relationships/hyperlink" Target="https://www.google.com/maps/search/?api=1&amp;query=Don%20Vincenzo%209%20Rue%20Perchepinte%20Toulouse" TargetMode="External"/><Relationship Id="rId193" Type="http://schemas.openxmlformats.org/officeDocument/2006/relationships/hyperlink" Target="https://www.google.com/maps/search/?api=1&amp;query=Du%20Plaisir%20&#224;%20la%20toque%209%20Rue%20des%20Blanchers%20Toulouse" TargetMode="External"/><Relationship Id="rId194" Type="http://schemas.openxmlformats.org/officeDocument/2006/relationships/hyperlink" Target="https://www.google.com/maps/search/?api=1&amp;query=DUMBO%2055%20Avenue%20Louis%20Breguet%20Toulouse" TargetMode="External"/><Relationship Id="rId195" Type="http://schemas.openxmlformats.org/officeDocument/2006/relationships/hyperlink" Target="https://www.google.com/maps/search/?api=1&amp;query=D&#233;lice%20Sa&#239;gon%202%20Passage%20de%20V&#233;rone%20Toulouse" TargetMode="External"/><Relationship Id="rId196" Type="http://schemas.openxmlformats.org/officeDocument/2006/relationships/hyperlink" Target="https://www.google.com/maps/search/?api=1&amp;query=E-Car%20Toulouse" TargetMode="External"/><Relationship Id="rId197" Type="http://schemas.openxmlformats.org/officeDocument/2006/relationships/hyperlink" Target="https://www.google.com/maps/search/?api=1&amp;query=Eat%20salad%202%20Rue%20Paul%20M&#233;riel%20Toulouse" TargetMode="External"/><Relationship Id="rId198" Type="http://schemas.openxmlformats.org/officeDocument/2006/relationships/hyperlink" Target="https://www.google.com/maps/search/?api=1&amp;query=Eat%20Sushi%20Toulouse" TargetMode="External"/><Relationship Id="rId199" Type="http://schemas.openxmlformats.org/officeDocument/2006/relationships/hyperlink" Target="https://www.google.com/maps/search/?api=1&amp;query=Eat%20Sushi%20Toulouse" TargetMode="External"/><Relationship Id="rId200" Type="http://schemas.openxmlformats.org/officeDocument/2006/relationships/hyperlink" Target="https://www.google.com/maps/search/?api=1&amp;query=Echo%20Toulouse" TargetMode="External"/><Relationship Id="rId201" Type="http://schemas.openxmlformats.org/officeDocument/2006/relationships/hyperlink" Target="https://www.google.com/maps/search/?api=1&amp;query=Eklo%20Toulouse%20Toulouse" TargetMode="External"/><Relationship Id="rId202" Type="http://schemas.openxmlformats.org/officeDocument/2006/relationships/hyperlink" Target="https://www.google.com/maps/search/?api=1&amp;query=EL%20bodegon%20Toulouse" TargetMode="External"/><Relationship Id="rId203" Type="http://schemas.openxmlformats.org/officeDocument/2006/relationships/hyperlink" Target="https://www.google.com/maps/search/?api=1&amp;query=El%20Chivito%20Toulouse" TargetMode="External"/><Relationship Id="rId204" Type="http://schemas.openxmlformats.org/officeDocument/2006/relationships/hyperlink" Target="https://www.google.com/maps/search/?api=1&amp;query=El%20Dayaa%20Toulouse" TargetMode="External"/><Relationship Id="rId205" Type="http://schemas.openxmlformats.org/officeDocument/2006/relationships/hyperlink" Target="https://www.google.com/maps/search/?api=1&amp;query=EL%20huacatay%20Toulouse" TargetMode="External"/><Relationship Id="rId206" Type="http://schemas.openxmlformats.org/officeDocument/2006/relationships/hyperlink" Target="https://www.google.com/maps/search/?api=1&amp;query=El%20Pescador%20Toulouse" TargetMode="External"/><Relationship Id="rId207" Type="http://schemas.openxmlformats.org/officeDocument/2006/relationships/hyperlink" Target="https://www.google.com/maps/search/?api=1&amp;query=El%20Rinc&#243;n%20Chileno%20Toulouse" TargetMode="External"/><Relationship Id="rId208" Type="http://schemas.openxmlformats.org/officeDocument/2006/relationships/hyperlink" Target="https://www.google.com/maps/search/?api=1&amp;query=Elissar%20Toulouse" TargetMode="External"/><Relationship Id="rId209" Type="http://schemas.openxmlformats.org/officeDocument/2006/relationships/hyperlink" Target="https://www.google.com/maps/search/?api=1&amp;query=Entre%20c&#244;tes%20et%20vins%20Toulouse" TargetMode="External"/><Relationship Id="rId210" Type="http://schemas.openxmlformats.org/officeDocument/2006/relationships/hyperlink" Target="https://www.google.com/maps/search/?api=1&amp;query=Epicuria%20Pizza%202%20Toulouse" TargetMode="External"/><Relationship Id="rId211" Type="http://schemas.openxmlformats.org/officeDocument/2006/relationships/hyperlink" Target="https://www.google.com/maps/search/?api=1&amp;query=Escale%20des%20Saveurs%20Toulouse" TargetMode="External"/><Relationship Id="rId212" Type="http://schemas.openxmlformats.org/officeDocument/2006/relationships/hyperlink" Target="https://www.google.com/maps/search/?api=1&amp;query=Faire%20Sens%20Toulouse" TargetMode="External"/><Relationship Id="rId213" Type="http://schemas.openxmlformats.org/officeDocument/2006/relationships/hyperlink" Target="https://www.google.com/maps/search/?api=1&amp;query=Fanfare%20Toulouse" TargetMode="External"/><Relationship Id="rId214" Type="http://schemas.openxmlformats.org/officeDocument/2006/relationships/hyperlink" Target="https://www.google.com/maps/search/?api=1&amp;query=Fast%20and%20Pizza%201%20Rue%20Roland%20Garros%20Toulouse" TargetMode="External"/><Relationship Id="rId215" Type="http://schemas.openxmlformats.org/officeDocument/2006/relationships/hyperlink" Target="https://www.google.com/maps/search/?api=1&amp;query=FATY%20D&#233;lices%20Toulouse" TargetMode="External"/><Relationship Id="rId216" Type="http://schemas.openxmlformats.org/officeDocument/2006/relationships/hyperlink" Target="https://www.google.com/maps/search/?api=1&amp;query=FFC%2075%20Boulevard%20Lascrosses%20Toulouse" TargetMode="External"/><Relationship Id="rId217" Type="http://schemas.openxmlformats.org/officeDocument/2006/relationships/hyperlink" Target="https://www.google.com/maps/search/?api=1&amp;query=Flow%20House%204%20bis%20Avenue%20Fr&#233;d&#233;ric%20Est&#232;be%20Toulouse" TargetMode="External"/><Relationship Id="rId218" Type="http://schemas.openxmlformats.org/officeDocument/2006/relationships/hyperlink" Target="https://www.google.com/maps/search/?api=1&amp;query=Flunch%2036-54%20Route%20de%20Bayonne%20Toulouse" TargetMode="External"/><Relationship Id="rId219" Type="http://schemas.openxmlformats.org/officeDocument/2006/relationships/hyperlink" Target="https://www.google.com/maps/search/?api=1&amp;query=Flunch%20Toulouse" TargetMode="External"/><Relationship Id="rId220" Type="http://schemas.openxmlformats.org/officeDocument/2006/relationships/hyperlink" Target="https://www.google.com/maps/search/?api=1&amp;query=Fogo%20Toulouse" TargetMode="External"/><Relationship Id="rId221" Type="http://schemas.openxmlformats.org/officeDocument/2006/relationships/hyperlink" Target="https://www.google.com/maps/search/?api=1&amp;query=Food%20land%2032%20Grande%20Rue%20Saint-Michel%20Toulouse" TargetMode="External"/><Relationship Id="rId222" Type="http://schemas.openxmlformats.org/officeDocument/2006/relationships/hyperlink" Target="https://www.google.com/maps/search/?api=1&amp;query=Fouk-Yien%20Toulouse" TargetMode="External"/><Relationship Id="rId223" Type="http://schemas.openxmlformats.org/officeDocument/2006/relationships/hyperlink" Target="https://www.google.com/maps/search/?api=1&amp;query=Fouquet%27s%2018%20Chemin%20de%20la%20Loge%20Toulouse" TargetMode="External"/><Relationship Id="rId224" Type="http://schemas.openxmlformats.org/officeDocument/2006/relationships/hyperlink" Target="https://www.google.com/maps/search/?api=1&amp;query=Francesca%20Toulouse" TargetMode="External"/><Relationship Id="rId225" Type="http://schemas.openxmlformats.org/officeDocument/2006/relationships/hyperlink" Target="https://www.google.com/maps/search/?api=1&amp;query=Fufu%2032%20Rue%20Sainte-Ursule%20Toulouse" TargetMode="External"/><Relationship Id="rId226" Type="http://schemas.openxmlformats.org/officeDocument/2006/relationships/hyperlink" Target="https://www.google.com/maps/search/?api=1&amp;query=Furahaa%20Toulouse" TargetMode="External"/><Relationship Id="rId227" Type="http://schemas.openxmlformats.org/officeDocument/2006/relationships/hyperlink" Target="https://www.google.com/maps/search/?api=1&amp;query=Gar&#231;on%20Sauvage%20Toulouse" TargetMode="External"/><Relationship Id="rId228" Type="http://schemas.openxmlformats.org/officeDocument/2006/relationships/hyperlink" Target="https://www.google.com/maps/search/?api=1&amp;query=Ga&#239;a%20Toulouse" TargetMode="External"/><Relationship Id="rId229" Type="http://schemas.openxmlformats.org/officeDocument/2006/relationships/hyperlink" Target="https://www.google.com/maps/search/?api=1&amp;query=Gina%201%20Rue%20Pharaon%20Toulouse" TargetMode="External"/><Relationship Id="rId230" Type="http://schemas.openxmlformats.org/officeDocument/2006/relationships/hyperlink" Target="https://www.google.com/maps/search/?api=1&amp;query=Gourmets%20d%27Asie%20Toulouse" TargetMode="External"/><Relationship Id="rId231" Type="http://schemas.openxmlformats.org/officeDocument/2006/relationships/hyperlink" Target="https://www.google.com/maps/search/?api=1&amp;query=Gram&#8217;s%20Toulouse" TargetMode="External"/><Relationship Id="rId232" Type="http://schemas.openxmlformats.org/officeDocument/2006/relationships/hyperlink" Target="https://www.google.com/maps/search/?api=1&amp;query=Grand%20P&#232;re%20Toulouse" TargetMode="External"/><Relationship Id="rId233" Type="http://schemas.openxmlformats.org/officeDocument/2006/relationships/hyperlink" Target="https://www.google.com/maps/search/?api=1&amp;query=Grec%20%26%20co.%20Toulouse" TargetMode="External"/><Relationship Id="rId234" Type="http://schemas.openxmlformats.org/officeDocument/2006/relationships/hyperlink" Target="https://www.google.com/maps/search/?api=1&amp;query=Green%20sur%20mesure%20Toulouse" TargetMode="External"/><Relationship Id="rId235" Type="http://schemas.openxmlformats.org/officeDocument/2006/relationships/hyperlink" Target="https://www.google.com/maps/search/?api=1&amp;query=Gruppomino%20Toulouse" TargetMode="External"/><Relationship Id="rId236" Type="http://schemas.openxmlformats.org/officeDocument/2006/relationships/hyperlink" Target="https://www.google.com/maps/search/?api=1&amp;query=Guapo%204%20Rue%20Lab&#233;da%20Toulouse" TargetMode="External"/><Relationship Id="rId237" Type="http://schemas.openxmlformats.org/officeDocument/2006/relationships/hyperlink" Target="https://www.google.com/maps/search/?api=1&amp;query=Guayoyo%2019%20Rue%20du%20G&#233;n&#233;ral%20Jean%20Compans%20Toulouse" TargetMode="External"/><Relationship Id="rId238" Type="http://schemas.openxmlformats.org/officeDocument/2006/relationships/hyperlink" Target="https://www.google.com/maps/search/?api=1&amp;query=Gueuleton%20Toulouse" TargetMode="External"/><Relationship Id="rId239" Type="http://schemas.openxmlformats.org/officeDocument/2006/relationships/hyperlink" Target="https://www.google.com/maps/search/?api=1&amp;query=Guo%20Guo%20Ji%20Toulouse" TargetMode="External"/><Relationship Id="rId240" Type="http://schemas.openxmlformats.org/officeDocument/2006/relationships/hyperlink" Target="https://www.google.com/maps/search/?api=1&amp;query=Gusto%20Napoli%202%20Rue%20de%20Grenoble%20Toulouse" TargetMode="External"/><Relationship Id="rId241" Type="http://schemas.openxmlformats.org/officeDocument/2006/relationships/hyperlink" Target="https://www.google.com/maps/search/?api=1&amp;query=Gusto%20Pizza%20Toulouse" TargetMode="External"/><Relationship Id="rId242" Type="http://schemas.openxmlformats.org/officeDocument/2006/relationships/hyperlink" Target="https://www.google.com/maps/search/?api=1&amp;query=Hao%20Zai%20Toulouse" TargetMode="External"/><Relationship Id="rId243" Type="http://schemas.openxmlformats.org/officeDocument/2006/relationships/hyperlink" Target="https://www.google.com/maps/search/?api=1&amp;query=Haoza&#239;%20Toulouse" TargetMode="External"/><Relationship Id="rId244" Type="http://schemas.openxmlformats.org/officeDocument/2006/relationships/hyperlink" Target="https://www.google.com/maps/search/?api=1&amp;query=Hello%20Ravioli%20Toulouse" TargetMode="External"/><Relationship Id="rId245" Type="http://schemas.openxmlformats.org/officeDocument/2006/relationships/hyperlink" Target="https://www.google.com/maps/search/?api=1&amp;query=Himari%20Sushi%20Toulouse" TargetMode="External"/><Relationship Id="rId246" Type="http://schemas.openxmlformats.org/officeDocument/2006/relationships/hyperlink" Target="https://www.google.com/maps/search/?api=1&amp;query=Himari%20Sushi%20Saint-Cyprien%20Toulouse" TargetMode="External"/><Relationship Id="rId247" Type="http://schemas.openxmlformats.org/officeDocument/2006/relationships/hyperlink" Target="https://www.google.com/maps/search/?api=1&amp;query=Hinod&#233;%20Toulouse" TargetMode="External"/><Relationship Id="rId248" Type="http://schemas.openxmlformats.org/officeDocument/2006/relationships/hyperlink" Target="https://www.google.com/maps/search/?api=1&amp;query=Hippopotamus%20Toulouse" TargetMode="External"/><Relationship Id="rId249" Type="http://schemas.openxmlformats.org/officeDocument/2006/relationships/hyperlink" Target="https://www.google.com/maps/search/?api=1&amp;query=Hito%20Toulouse" TargetMode="External"/><Relationship Id="rId250" Type="http://schemas.openxmlformats.org/officeDocument/2006/relationships/hyperlink" Target="https://www.google.com/maps/search/?api=1&amp;query=Hop%20Seng%2017%20Rue%20Denfert%20Rochereau%20Toulouse" TargetMode="External"/><Relationship Id="rId251" Type="http://schemas.openxmlformats.org/officeDocument/2006/relationships/hyperlink" Target="https://www.google.com/maps/search/?api=1&amp;query=Hope%20Toulouse" TargetMode="External"/><Relationship Id="rId252" Type="http://schemas.openxmlformats.org/officeDocument/2006/relationships/hyperlink" Target="https://www.google.com/maps/search/?api=1&amp;query=Hortus%2017%20Rue%20Croix-Baragnon%20Toulouse" TargetMode="External"/><Relationship Id="rId253" Type="http://schemas.openxmlformats.org/officeDocument/2006/relationships/hyperlink" Target="https://www.google.com/maps/search/?api=1&amp;query=Huong%20Viet%202%20bis%20Impasse%20Andr&#233;%20Marestan%20Toulouse" TargetMode="External"/><Relationship Id="rId254" Type="http://schemas.openxmlformats.org/officeDocument/2006/relationships/hyperlink" Target="https://www.google.com/maps/search/?api=1&amp;query=Iris%20Saveur%20d%27Orient%2015%20Barri&#232;re%20de%20Lombez%20Toulouse" TargetMode="External"/><Relationship Id="rId255" Type="http://schemas.openxmlformats.org/officeDocument/2006/relationships/hyperlink" Target="https://www.google.com/maps/search/?api=1&amp;query=Italia%20Pizza%20Toulouse" TargetMode="External"/><Relationship Id="rId256" Type="http://schemas.openxmlformats.org/officeDocument/2006/relationships/hyperlink" Target="https://www.google.com/maps/search/?api=1&amp;query=Italian%20Pizzeria%20Venezia%20Toulouse" TargetMode="External"/><Relationship Id="rId257" Type="http://schemas.openxmlformats.org/officeDocument/2006/relationships/hyperlink" Target="https://www.google.com/maps/search/?api=1&amp;query=Italian%27s%20Pizza%20Toulouse" TargetMode="External"/><Relationship Id="rId258" Type="http://schemas.openxmlformats.org/officeDocument/2006/relationships/hyperlink" Target="https://www.google.com/maps/search/?api=1&amp;query=Izakaya%20Iori%20Toulouse" TargetMode="External"/><Relationship Id="rId259" Type="http://schemas.openxmlformats.org/officeDocument/2006/relationships/hyperlink" Target="https://www.google.com/maps/search/?api=1&amp;query=Izmir%20Grill%20Toulouse" TargetMode="External"/><Relationship Id="rId260" Type="http://schemas.openxmlformats.org/officeDocument/2006/relationships/hyperlink" Target="https://www.google.com/maps/search/?api=1&amp;query=J%26K%20Sushi/Tha&#239;%20Toulouse" TargetMode="External"/><Relationship Id="rId261" Type="http://schemas.openxmlformats.org/officeDocument/2006/relationships/hyperlink" Target="https://www.google.com/maps/search/?api=1&amp;query=J%27Go%20Toulouse" TargetMode="External"/><Relationship Id="rId262" Type="http://schemas.openxmlformats.org/officeDocument/2006/relationships/hyperlink" Target="https://www.google.com/maps/search/?api=1&amp;query=Japoyaki%20Toulouse" TargetMode="External"/><Relationship Id="rId263" Type="http://schemas.openxmlformats.org/officeDocument/2006/relationships/hyperlink" Target="https://www.google.com/maps/search/?api=1&amp;query=JEM%20Toulouse" TargetMode="External"/><Relationship Id="rId264" Type="http://schemas.openxmlformats.org/officeDocument/2006/relationships/hyperlink" Target="https://www.google.com/maps/search/?api=1&amp;query=Jiao%20Zi%20Guan%20Toulouse" TargetMode="External"/><Relationship Id="rId265" Type="http://schemas.openxmlformats.org/officeDocument/2006/relationships/hyperlink" Target="https://www.google.com/maps/search/?api=1&amp;query=Jiao%20Zi%20Guan%2013%20Rue%20du%20Rempart%20Villeneuve%20Toulouse" TargetMode="External"/><Relationship Id="rId266" Type="http://schemas.openxmlformats.org/officeDocument/2006/relationships/hyperlink" Target="https://www.google.com/maps/search/?api=1&amp;query=Jifu%20Fondue%20Asiatique%20Toulouse" TargetMode="External"/><Relationship Id="rId267" Type="http://schemas.openxmlformats.org/officeDocument/2006/relationships/hyperlink" Target="https://www.google.com/maps/search/?api=1&amp;query=Jipoonthai%20Toulouse" TargetMode="External"/><Relationship Id="rId268" Type="http://schemas.openxmlformats.org/officeDocument/2006/relationships/hyperlink" Target="https://www.google.com/maps/search/?api=1&amp;query=Joshore%20Road%20Toulouse" TargetMode="External"/><Relationship Id="rId269" Type="http://schemas.openxmlformats.org/officeDocument/2006/relationships/hyperlink" Target="https://www.google.com/maps/search/?api=1&amp;query=Jour%20de%20march&#233;%20Toulouse" TargetMode="External"/><Relationship Id="rId270" Type="http://schemas.openxmlformats.org/officeDocument/2006/relationships/hyperlink" Target="https://www.google.com/maps/search/?api=1&amp;query=Juguem%206%20bis%20Impasse%20Baour-Lormian%20Toulouse" TargetMode="External"/><Relationship Id="rId271" Type="http://schemas.openxmlformats.org/officeDocument/2006/relationships/hyperlink" Target="https://www.google.com/maps/search/?api=1&amp;query=Jumbo%2061%20Avenue%20Maurice%20Bourg&#232;s-Maunoury%20Toulouse" TargetMode="External"/><Relationship Id="rId272" Type="http://schemas.openxmlformats.org/officeDocument/2006/relationships/hyperlink" Target="https://www.google.com/maps/search/?api=1&amp;query=Kaiten%20by%20Tokami%20Toulouse" TargetMode="External"/><Relationship Id="rId273" Type="http://schemas.openxmlformats.org/officeDocument/2006/relationships/hyperlink" Target="https://www.google.com/maps/search/?api=1&amp;query=KALM%20Toulouse" TargetMode="External"/><Relationship Id="rId274" Type="http://schemas.openxmlformats.org/officeDocument/2006/relationships/hyperlink" Target="https://www.google.com/maps/search/?api=1&amp;query=Kashmir%20Toulouse" TargetMode="External"/><Relationship Id="rId275" Type="http://schemas.openxmlformats.org/officeDocument/2006/relationships/hyperlink" Target="https://www.google.com/maps/search/?api=1&amp;query=Kashmir%20et%20Safran%20Toulouse" TargetMode="External"/><Relationship Id="rId276" Type="http://schemas.openxmlformats.org/officeDocument/2006/relationships/hyperlink" Target="https://www.google.com/maps/search/?api=1&amp;query=KAWOK%20Toulouse" TargetMode="External"/><Relationship Id="rId277" Type="http://schemas.openxmlformats.org/officeDocument/2006/relationships/hyperlink" Target="https://www.google.com/maps/search/?api=1&amp;query=Kimato%20Sushi%20Toulouse" TargetMode="External"/><Relationship Id="rId278" Type="http://schemas.openxmlformats.org/officeDocument/2006/relationships/hyperlink" Target="https://www.google.com/maps/search/?api=1&amp;query=King%20Fat%20Toulouse" TargetMode="External"/><Relationship Id="rId279" Type="http://schemas.openxmlformats.org/officeDocument/2006/relationships/hyperlink" Target="https://www.google.com/maps/search/?api=1&amp;query=Kiyoshi%2010%20Rue%20Jean%20Palaprat%20Toulouse" TargetMode="External"/><Relationship Id="rId280" Type="http://schemas.openxmlformats.org/officeDocument/2006/relationships/hyperlink" Target="https://www.google.com/maps/search/?api=1&amp;query=Koboon%2041%20Boulevard%20Andr&#233;%20Netwiller%20Toulouse" TargetMode="External"/><Relationship Id="rId281" Type="http://schemas.openxmlformats.org/officeDocument/2006/relationships/hyperlink" Target="https://www.google.com/maps/search/?api=1&amp;query=Kong-Bap%20Toulouse" TargetMode="External"/><Relationship Id="rId282" Type="http://schemas.openxmlformats.org/officeDocument/2006/relationships/hyperlink" Target="https://www.google.com/maps/search/?api=1&amp;query=Kouang-Wa%20Toulouse" TargetMode="External"/><Relationship Id="rId283" Type="http://schemas.openxmlformats.org/officeDocument/2006/relationships/hyperlink" Target="https://www.google.com/maps/search/?api=1&amp;query=Kumo%20Toulouse" TargetMode="External"/><Relationship Id="rId284" Type="http://schemas.openxmlformats.org/officeDocument/2006/relationships/hyperlink" Target="https://www.google.com/maps/search/?api=1&amp;query=L%27Air%20de%20Famille%206%20Rue%20Jules%20Chalande%20Toulouse" TargetMode="External"/><Relationship Id="rId285" Type="http://schemas.openxmlformats.org/officeDocument/2006/relationships/hyperlink" Target="https://www.google.com/maps/search/?api=1&amp;query=L%27Alouette%20Toulouse" TargetMode="External"/><Relationship Id="rId286" Type="http://schemas.openxmlformats.org/officeDocument/2006/relationships/hyperlink" Target="https://www.google.com/maps/search/?api=1&amp;query=L%27Amoura%20Pizza%20Toulouse" TargetMode="External"/><Relationship Id="rId287" Type="http://schemas.openxmlformats.org/officeDocument/2006/relationships/hyperlink" Target="https://www.google.com/maps/search/?api=1&amp;query=L%27Annexe%20Caf&#233;%20Toulouse" TargetMode="External"/><Relationship Id="rId288" Type="http://schemas.openxmlformats.org/officeDocument/2006/relationships/hyperlink" Target="https://www.google.com/maps/search/?api=1&amp;query=L%27Annexe%20de%20la%20Braisi&#232;re%20Toulouse" TargetMode="External"/><Relationship Id="rId289" Type="http://schemas.openxmlformats.org/officeDocument/2006/relationships/hyperlink" Target="https://www.google.com/maps/search/?api=1&amp;query=L%27Antica%2044%20Rue%20du%20G&#233;n&#233;ral%20Jean%20Compans%20Toulouse" TargetMode="External"/><Relationship Id="rId290" Type="http://schemas.openxmlformats.org/officeDocument/2006/relationships/hyperlink" Target="https://www.google.com/maps/search/?api=1&amp;query=L%27Antica%20Pizzeria%209%20Avenue%20Maurice%20Bourg&#232;s-Maunoury%20Toulouse" TargetMode="External"/><Relationship Id="rId291" Type="http://schemas.openxmlformats.org/officeDocument/2006/relationships/hyperlink" Target="https://www.google.com/maps/search/?api=1&amp;query=L%27Aperozza%20Toulouse" TargetMode="External"/><Relationship Id="rId292" Type="http://schemas.openxmlformats.org/officeDocument/2006/relationships/hyperlink" Target="https://www.google.com/maps/search/?api=1&amp;query=L%27Arbre%20&#224;%20Sushi%20Toulouse" TargetMode="External"/><Relationship Id="rId293" Type="http://schemas.openxmlformats.org/officeDocument/2006/relationships/hyperlink" Target="https://www.google.com/maps/search/?api=1&amp;query=L%27arrosoir%20Toulouse" TargetMode="External"/><Relationship Id="rId294" Type="http://schemas.openxmlformats.org/officeDocument/2006/relationships/hyperlink" Target="https://www.google.com/maps/search/?api=1&amp;query=L%27Arum%20%28restaurant%20universitaire%29%20Toulouse" TargetMode="External"/><Relationship Id="rId295" Type="http://schemas.openxmlformats.org/officeDocument/2006/relationships/hyperlink" Target="https://www.google.com/maps/search/?api=1&amp;query=L%27Atelier%20de%20l%27&#201;charpe%208%20Rue%20de%20l%27&#201;charpe%20Toulouse" TargetMode="External"/><Relationship Id="rId296" Type="http://schemas.openxmlformats.org/officeDocument/2006/relationships/hyperlink" Target="https://www.google.com/maps/search/?api=1&amp;query=L%27atelier%20des%20Chefs%20Toulouse" TargetMode="External"/><Relationship Id="rId297" Type="http://schemas.openxmlformats.org/officeDocument/2006/relationships/hyperlink" Target="https://www.google.com/maps/search/?api=1&amp;query=L%27Atelier%20des%20Plats%20Toulouse" TargetMode="External"/><Relationship Id="rId298" Type="http://schemas.openxmlformats.org/officeDocument/2006/relationships/hyperlink" Target="https://www.google.com/maps/search/?api=1&amp;query=L%27Atelier%20du%20P&#234;cheur%20savoyard%20Toulouse" TargetMode="External"/><Relationship Id="rId299" Type="http://schemas.openxmlformats.org/officeDocument/2006/relationships/hyperlink" Target="https://www.google.com/maps/search/?api=1&amp;query=L%27Atrium%20Restaurant%20Toulouse" TargetMode="External"/><Relationship Id="rId300" Type="http://schemas.openxmlformats.org/officeDocument/2006/relationships/hyperlink" Target="https://www.google.com/maps/search/?api=1&amp;query=L%27auberge%20Nazareth%20Toulouse" TargetMode="External"/><Relationship Id="rId301" Type="http://schemas.openxmlformats.org/officeDocument/2006/relationships/hyperlink" Target="https://www.google.com/maps/search/?api=1&amp;query=L%27Aubrac%20Toulouse" TargetMode="External"/><Relationship Id="rId302" Type="http://schemas.openxmlformats.org/officeDocument/2006/relationships/hyperlink" Target="https://www.google.com/maps/search/?api=1&amp;query=L%27Emulation%20Nautique%20Toulouse" TargetMode="External"/><Relationship Id="rId303" Type="http://schemas.openxmlformats.org/officeDocument/2006/relationships/hyperlink" Target="https://www.google.com/maps/search/?api=1&amp;query=L%27Entrec&#244;te%20Toulouse" TargetMode="External"/><Relationship Id="rId304" Type="http://schemas.openxmlformats.org/officeDocument/2006/relationships/hyperlink" Target="https://www.google.com/maps/search/?api=1&amp;query=L%27Ergot%20Toulouse" TargetMode="External"/><Relationship Id="rId305" Type="http://schemas.openxmlformats.org/officeDocument/2006/relationships/hyperlink" Target="https://www.google.com/maps/search/?api=1&amp;query=L%27Esquina%20Toulouse" TargetMode="External"/><Relationship Id="rId306" Type="http://schemas.openxmlformats.org/officeDocument/2006/relationships/hyperlink" Target="https://www.google.com/maps/search/?api=1&amp;query=L%27Imp&#233;riale%20Toulouse" TargetMode="External"/><Relationship Id="rId307" Type="http://schemas.openxmlformats.org/officeDocument/2006/relationships/hyperlink" Target="https://www.google.com/maps/search/?api=1&amp;query=L%27Instinct%20Toulouse" TargetMode="External"/><Relationship Id="rId308" Type="http://schemas.openxmlformats.org/officeDocument/2006/relationships/hyperlink" Target="https://www.google.com/maps/search/?api=1&amp;query=L%27Italien%201%20bis%20Rue%20du%20Pont%20Saint-Pierre%20Toulouse" TargetMode="External"/><Relationship Id="rId309" Type="http://schemas.openxmlformats.org/officeDocument/2006/relationships/hyperlink" Target="https://www.google.com/maps/search/?api=1&amp;query=L%27Occitalie%207%20Place%20Sainte-Scarbes%20Toulouse" TargetMode="External"/><Relationship Id="rId310" Type="http://schemas.openxmlformats.org/officeDocument/2006/relationships/hyperlink" Target="https://www.google.com/maps/search/?api=1&amp;query=L%27Os%20&#224;%20Mo&#235;lle%20Toulouse" TargetMode="External"/><Relationship Id="rId311" Type="http://schemas.openxmlformats.org/officeDocument/2006/relationships/hyperlink" Target="https://www.google.com/maps/search/?api=1&amp;query=L%27&#201;cluse%20Toulouse" TargetMode="External"/><Relationship Id="rId312" Type="http://schemas.openxmlformats.org/officeDocument/2006/relationships/hyperlink" Target="https://www.google.com/maps/search/?api=1&amp;query=L%27&#201;corce%20Toulouse" TargetMode="External"/><Relationship Id="rId313" Type="http://schemas.openxmlformats.org/officeDocument/2006/relationships/hyperlink" Target="https://www.google.com/maps/search/?api=1&amp;query=L%27&#201;lite%20Toulouse" TargetMode="External"/><Relationship Id="rId314" Type="http://schemas.openxmlformats.org/officeDocument/2006/relationships/hyperlink" Target="https://www.google.com/maps/search/?api=1&amp;query=L%27&#201;mulsion%20Toulouse" TargetMode="External"/><Relationship Id="rId315" Type="http://schemas.openxmlformats.org/officeDocument/2006/relationships/hyperlink" Target="https://www.google.com/maps/search/?api=1&amp;query=L%27&#233;toile%20d%27Oran%20Toulouse" TargetMode="External"/><Relationship Id="rId316" Type="http://schemas.openxmlformats.org/officeDocument/2006/relationships/hyperlink" Target="https://www.google.com/maps/search/?api=1&amp;query=La%20Dalle%20Cultur&#8217;elle%20Toulouse" TargetMode="External"/><Relationship Id="rId317" Type="http://schemas.openxmlformats.org/officeDocument/2006/relationships/hyperlink" Target="https://www.google.com/maps/search/?api=1&amp;query=La%20Belle%20Famille%20Toulouse" TargetMode="External"/><Relationship Id="rId318" Type="http://schemas.openxmlformats.org/officeDocument/2006/relationships/hyperlink" Target="https://www.google.com/maps/search/?api=1&amp;query=La%20Belle%20Saison%20Toulouse" TargetMode="External"/><Relationship Id="rId319" Type="http://schemas.openxmlformats.org/officeDocument/2006/relationships/hyperlink" Target="https://www.google.com/maps/search/?api=1&amp;query=La%20Binocle%2010%20Rue%20Alexandre%20Fourtanier%20Toulouse" TargetMode="External"/><Relationship Id="rId320" Type="http://schemas.openxmlformats.org/officeDocument/2006/relationships/hyperlink" Target="https://www.google.com/maps/search/?api=1&amp;query=La%20Bonita%20Toulouse" TargetMode="External"/><Relationship Id="rId321" Type="http://schemas.openxmlformats.org/officeDocument/2006/relationships/hyperlink" Target="https://www.google.com/maps/search/?api=1&amp;query=La%20Bouche%20Gourmande%201%20Rue%20Labouche%20Toulouse" TargetMode="External"/><Relationship Id="rId322" Type="http://schemas.openxmlformats.org/officeDocument/2006/relationships/hyperlink" Target="https://www.google.com/maps/search/?api=1&amp;query=La%20Braisi&#232;re%2042%20Rue%20Pharaon%20Toulouse" TargetMode="External"/><Relationship Id="rId323" Type="http://schemas.openxmlformats.org/officeDocument/2006/relationships/hyperlink" Target="https://www.google.com/maps/search/?api=1&amp;query=La%20Brasserie%20de%20Jean%20Toulouse" TargetMode="External"/><Relationship Id="rId324" Type="http://schemas.openxmlformats.org/officeDocument/2006/relationships/hyperlink" Target="https://www.google.com/maps/search/?api=1&amp;query=La%20Bringuerie%20Toulouse" TargetMode="External"/><Relationship Id="rId325" Type="http://schemas.openxmlformats.org/officeDocument/2006/relationships/hyperlink" Target="https://www.google.com/maps/search/?api=1&amp;query=La%20Cabane%2037%20Avenue%20de%20Grande%20Bretagne%20Toulouse" TargetMode="External"/><Relationship Id="rId326" Type="http://schemas.openxmlformats.org/officeDocument/2006/relationships/hyperlink" Target="https://www.google.com/maps/search/?api=1&amp;query=La%20Cabane%20M.%20Georges%20Toulouse" TargetMode="External"/><Relationship Id="rId327" Type="http://schemas.openxmlformats.org/officeDocument/2006/relationships/hyperlink" Target="https://www.google.com/maps/search/?api=1&amp;query=La%20Cantine%20d%27Horace%2039%20Chemin%20de%20Virebent%20Toulouse" TargetMode="External"/><Relationship Id="rId328" Type="http://schemas.openxmlformats.org/officeDocument/2006/relationships/hyperlink" Target="https://www.google.com/maps/search/?api=1&amp;query=La%20Cantine%20du%20Busca%20Toulouse" TargetMode="External"/><Relationship Id="rId329" Type="http://schemas.openxmlformats.org/officeDocument/2006/relationships/hyperlink" Target="https://www.google.com/maps/search/?api=1&amp;query=La%20Cave%20se%20rebiffe%20Toulouse" TargetMode="External"/><Relationship Id="rId330" Type="http://schemas.openxmlformats.org/officeDocument/2006/relationships/hyperlink" Target="https://www.google.com/maps/search/?api=1&amp;query=La%20Cendr&#233;e%20Toulouse" TargetMode="External"/><Relationship Id="rId331" Type="http://schemas.openxmlformats.org/officeDocument/2006/relationships/hyperlink" Target="https://www.google.com/maps/search/?api=1&amp;query=La%20Centrale%20Toulouse" TargetMode="External"/><Relationship Id="rId332" Type="http://schemas.openxmlformats.org/officeDocument/2006/relationships/hyperlink" Target="https://www.google.com/maps/search/?api=1&amp;query=La%20Compagnie%20Fran&#231;aise%20Toulouse" TargetMode="External"/><Relationship Id="rId333" Type="http://schemas.openxmlformats.org/officeDocument/2006/relationships/hyperlink" Target="https://www.google.com/maps/search/?api=1&amp;query=La%20Compagnie%20Fran&#231;aise%20Toulouse" TargetMode="External"/><Relationship Id="rId334" Type="http://schemas.openxmlformats.org/officeDocument/2006/relationships/hyperlink" Target="https://www.google.com/maps/search/?api=1&amp;query=La%20Conserverie%20Toulouse" TargetMode="External"/><Relationship Id="rId335" Type="http://schemas.openxmlformats.org/officeDocument/2006/relationships/hyperlink" Target="https://www.google.com/maps/search/?api=1&amp;query=La%20Couleur%20du%20Renard%2010%20Boulevard%20Riquet%20Toulouse" TargetMode="External"/><Relationship Id="rId336" Type="http://schemas.openxmlformats.org/officeDocument/2006/relationships/hyperlink" Target="https://www.google.com/maps/search/?api=1&amp;query=La%20Cri&#233;e%20des%20Gourmands%20Toulouse" TargetMode="External"/><Relationship Id="rId337" Type="http://schemas.openxmlformats.org/officeDocument/2006/relationships/hyperlink" Target="https://www.google.com/maps/search/?api=1&amp;query=La%20cuisine%20de%20Jean%2018%20Avenue%20Albert%20Bedouce%20Toulouse" TargetMode="External"/><Relationship Id="rId338" Type="http://schemas.openxmlformats.org/officeDocument/2006/relationships/hyperlink" Target="https://www.google.com/maps/search/?api=1&amp;query=La%20Cuisine%20de%20Kin&#233;%20Toulouse" TargetMode="External"/><Relationship Id="rId339" Type="http://schemas.openxmlformats.org/officeDocument/2006/relationships/hyperlink" Target="https://www.google.com/maps/search/?api=1&amp;query=La%20Cuisine%20Vietnamienne%202%20Esplanade%20Jean%20Cassou%20Toulouse" TargetMode="External"/><Relationship Id="rId340" Type="http://schemas.openxmlformats.org/officeDocument/2006/relationships/hyperlink" Target="https://www.google.com/maps/search/?api=1&amp;query=La%20Cuisine%20&#224;%20M&#233;m&#233;%20Toulouse" TargetMode="External"/><Relationship Id="rId341" Type="http://schemas.openxmlformats.org/officeDocument/2006/relationships/hyperlink" Target="https://www.google.com/maps/search/?api=1&amp;query=La%20Cuistoloc%207%20Boulevard%20Lascrosses%20Toulouse" TargetMode="External"/><Relationship Id="rId342" Type="http://schemas.openxmlformats.org/officeDocument/2006/relationships/hyperlink" Target="https://www.google.com/maps/search/?api=1&amp;query=La%20C&#244;te%20de%20Boeuf%20Toulouse" TargetMode="External"/><Relationship Id="rId343" Type="http://schemas.openxmlformats.org/officeDocument/2006/relationships/hyperlink" Target="https://www.google.com/maps/search/?api=1&amp;query=La%20Fabric%209%20Place%20du%20Capitole%20Toulouse" TargetMode="External"/><Relationship Id="rId344" Type="http://schemas.openxmlformats.org/officeDocument/2006/relationships/hyperlink" Target="https://www.google.com/maps/search/?api=1&amp;query=La%20Fabriq%20du%20Burger%2029%20Avenue%20de%20Lavaur%20Toulouse" TargetMode="External"/><Relationship Id="rId345" Type="http://schemas.openxmlformats.org/officeDocument/2006/relationships/hyperlink" Target="https://www.google.com/maps/search/?api=1&amp;query=La%20Faim%20des%20Haricots%20Toulouse" TargetMode="External"/><Relationship Id="rId346" Type="http://schemas.openxmlformats.org/officeDocument/2006/relationships/hyperlink" Target="https://www.google.com/maps/search/?api=1&amp;query=La%20Flamb&#233;e%20Toulouse" TargetMode="External"/><Relationship Id="rId347" Type="http://schemas.openxmlformats.org/officeDocument/2006/relationships/hyperlink" Target="https://www.google.com/maps/search/?api=1&amp;query=La%20Fleur%20de%20Mai%20Toulouse" TargetMode="External"/><Relationship Id="rId348" Type="http://schemas.openxmlformats.org/officeDocument/2006/relationships/hyperlink" Target="https://www.google.com/maps/search/?api=1&amp;query=La%20Galinette%20Toulouse" TargetMode="External"/><Relationship Id="rId349" Type="http://schemas.openxmlformats.org/officeDocument/2006/relationships/hyperlink" Target="https://www.google.com/maps/search/?api=1&amp;query=La%20Gazette%20Toulouse" TargetMode="External"/><Relationship Id="rId350" Type="http://schemas.openxmlformats.org/officeDocument/2006/relationships/hyperlink" Target="https://www.google.com/maps/search/?api=1&amp;query=La%20Ga&#238;t&#233;%21%2031%20Rue%20d%27Embarthe%20Toulouse" TargetMode="External"/><Relationship Id="rId351" Type="http://schemas.openxmlformats.org/officeDocument/2006/relationships/hyperlink" Target="https://www.google.com/maps/search/?api=1&amp;query=La%20Gina%20Ristorante%20Toulouse" TargetMode="External"/><Relationship Id="rId352" Type="http://schemas.openxmlformats.org/officeDocument/2006/relationships/hyperlink" Target="https://www.google.com/maps/search/?api=1&amp;query=La%20Gouaille%20Toulouse" TargetMode="External"/><Relationship Id="rId353" Type="http://schemas.openxmlformats.org/officeDocument/2006/relationships/hyperlink" Target="https://www.google.com/maps/search/?api=1&amp;query=La%20Gourmandine%20Toulouse" TargetMode="External"/><Relationship Id="rId354" Type="http://schemas.openxmlformats.org/officeDocument/2006/relationships/hyperlink" Target="https://www.google.com/maps/search/?api=1&amp;query=La%20Gourmandine%20Toulouse" TargetMode="External"/><Relationship Id="rId355" Type="http://schemas.openxmlformats.org/officeDocument/2006/relationships/hyperlink" Target="https://www.google.com/maps/search/?api=1&amp;query=La%20Grange%20Toulouse" TargetMode="External"/><Relationship Id="rId356" Type="http://schemas.openxmlformats.org/officeDocument/2006/relationships/hyperlink" Target="https://www.google.com/maps/search/?api=1&amp;query=La%20Grilladele%20Toulouse" TargetMode="External"/><Relationship Id="rId357" Type="http://schemas.openxmlformats.org/officeDocument/2006/relationships/hyperlink" Target="https://www.google.com/maps/search/?api=1&amp;query=La%20Kasbah%20Toulouse" TargetMode="External"/><Relationship Id="rId358" Type="http://schemas.openxmlformats.org/officeDocument/2006/relationships/hyperlink" Target="https://www.google.com/maps/search/?api=1&amp;query=La%20Loge%20Toulouse" TargetMode="External"/><Relationship Id="rId359" Type="http://schemas.openxmlformats.org/officeDocument/2006/relationships/hyperlink" Target="https://www.google.com/maps/search/?api=1&amp;query=La%20Madeleine%20de%20Proust%20Toulouse" TargetMode="External"/><Relationship Id="rId360" Type="http://schemas.openxmlformats.org/officeDocument/2006/relationships/hyperlink" Target="https://www.google.com/maps/search/?api=1&amp;query=La%20Maison%20d%27&#224;%20c&#244;t&#233;%2045%20Rue%20Jean%20de%20Pins%20Toulouse" TargetMode="External"/><Relationship Id="rId361" Type="http://schemas.openxmlformats.org/officeDocument/2006/relationships/hyperlink" Target="https://www.google.com/maps/search/?api=1&amp;query=La%20Maison%20des%20Nems%20Toulouse" TargetMode="External"/><Relationship Id="rId362" Type="http://schemas.openxmlformats.org/officeDocument/2006/relationships/hyperlink" Target="https://www.google.com/maps/search/?api=1&amp;query=La%20Mare%20Aux%20Canards%20Toulouse" TargetMode="External"/><Relationship Id="rId363" Type="http://schemas.openxmlformats.org/officeDocument/2006/relationships/hyperlink" Target="https://www.google.com/maps/search/?api=1&amp;query=La%20Mariposa%20Toulouse" TargetMode="External"/><Relationship Id="rId364" Type="http://schemas.openxmlformats.org/officeDocument/2006/relationships/hyperlink" Target="https://www.google.com/maps/search/?api=1&amp;query=La%20Marmite%2035%20Rue%20des%20Trente-Six%20Ponts%20Toulouse" TargetMode="External"/><Relationship Id="rId365" Type="http://schemas.openxmlformats.org/officeDocument/2006/relationships/hyperlink" Target="https://www.google.com/maps/search/?api=1&amp;query=La%20Mesa%20de%20Lola%2023%20Rue%20du%20G&#233;n&#233;ral%20Jean%20Compans%20Toulouse" TargetMode="External"/><Relationship Id="rId366" Type="http://schemas.openxmlformats.org/officeDocument/2006/relationships/hyperlink" Target="https://www.google.com/maps/search/?api=1&amp;query=La%20Meuni&#232;re%20Toulouse" TargetMode="External"/><Relationship Id="rId367" Type="http://schemas.openxmlformats.org/officeDocument/2006/relationships/hyperlink" Target="https://www.google.com/maps/search/?api=1&amp;query=La%20Mignardise%20Toulouse" TargetMode="External"/><Relationship Id="rId368" Type="http://schemas.openxmlformats.org/officeDocument/2006/relationships/hyperlink" Target="https://www.google.com/maps/search/?api=1&amp;query=La%20Milonga%20Toulouse" TargetMode="External"/><Relationship Id="rId369" Type="http://schemas.openxmlformats.org/officeDocument/2006/relationships/hyperlink" Target="https://www.google.com/maps/search/?api=1&amp;query=La%20Moun&#232;de%201%20Rue%20Claude-Marie%20Perroud%20Toulouse" TargetMode="External"/><Relationship Id="rId370" Type="http://schemas.openxmlformats.org/officeDocument/2006/relationships/hyperlink" Target="https://www.google.com/maps/search/?api=1&amp;query=La%20Muraille%20d%27Or%20Toulouse" TargetMode="External"/><Relationship Id="rId371" Type="http://schemas.openxmlformats.org/officeDocument/2006/relationships/hyperlink" Target="https://www.google.com/maps/search/?api=1&amp;query=La%20Noria%2026%20Avenue%20Maurice%20Bourg&#232;s-Maunoury%20Toulouse" TargetMode="External"/><Relationship Id="rId372" Type="http://schemas.openxmlformats.org/officeDocument/2006/relationships/hyperlink" Target="https://www.google.com/maps/search/?api=1&amp;query=La%20P%27tite%20Gouaille%20Toulouse" TargetMode="External"/><Relationship Id="rId373" Type="http://schemas.openxmlformats.org/officeDocument/2006/relationships/hyperlink" Target="https://www.google.com/maps/search/?api=1&amp;query=La%20Palmeraie%201%20Avenue%20de%20Fondeyre%20Toulouse" TargetMode="External"/><Relationship Id="rId374" Type="http://schemas.openxmlformats.org/officeDocument/2006/relationships/hyperlink" Target="https://www.google.com/maps/search/?api=1&amp;query=La%20Paniolade%20146%20Boulevard%20de%20Suisse%20Toulouse" TargetMode="External"/><Relationship Id="rId375" Type="http://schemas.openxmlformats.org/officeDocument/2006/relationships/hyperlink" Target="https://www.google.com/maps/search/?api=1&amp;query=La%20Pastasciutta%20Toulouse" TargetMode="External"/><Relationship Id="rId376" Type="http://schemas.openxmlformats.org/officeDocument/2006/relationships/hyperlink" Target="https://www.google.com/maps/search/?api=1&amp;query=La%20Pecora%20Nera%204%20Rue%20Valentina%20Terechkova%20Toulouse" TargetMode="External"/><Relationship Id="rId377" Type="http://schemas.openxmlformats.org/officeDocument/2006/relationships/hyperlink" Target="https://www.google.com/maps/search/?api=1&amp;query=La%20Pergola%20Toulouse" TargetMode="External"/><Relationship Id="rId378" Type="http://schemas.openxmlformats.org/officeDocument/2006/relationships/hyperlink" Target="https://www.google.com/maps/search/?api=1&amp;query=La%20perle%20des%20Antilles%20Toulouse" TargetMode="External"/><Relationship Id="rId379" Type="http://schemas.openxmlformats.org/officeDocument/2006/relationships/hyperlink" Target="https://www.google.com/maps/search/?api=1&amp;query=La%20Perse%20Restaurant%204%20Place%20Arnaud%20Bernard%20Toulouse" TargetMode="External"/><Relationship Id="rId380" Type="http://schemas.openxmlformats.org/officeDocument/2006/relationships/hyperlink" Target="https://www.google.com/maps/search/?api=1&amp;query=La%20petite%20cantine%2085%20Rue%20Gabriel%20P&#233;ri%20Toulouse" TargetMode="External"/><Relationship Id="rId381" Type="http://schemas.openxmlformats.org/officeDocument/2006/relationships/hyperlink" Target="https://www.google.com/maps/search/?api=1&amp;query=La%20Petite%20Italie%2018%20Avenue%20de%20la%20Gloire%20Toulouse" TargetMode="External"/><Relationship Id="rId382" Type="http://schemas.openxmlformats.org/officeDocument/2006/relationships/hyperlink" Target="https://www.google.com/maps/search/?api=1&amp;query=La%20Petite%20Robe%20Noire%2032%20Rue%20Pierre%20Paul%20Riquet%20Toulouse" TargetMode="External"/><Relationship Id="rId383" Type="http://schemas.openxmlformats.org/officeDocument/2006/relationships/hyperlink" Target="https://www.google.com/maps/search/?api=1&amp;query=La%20Pizzeria%20Toulouse" TargetMode="External"/><Relationship Id="rId384" Type="http://schemas.openxmlformats.org/officeDocument/2006/relationships/hyperlink" Target="https://www.google.com/maps/search/?api=1&amp;query=La%20raffinerie%20des%20copains%20161%20Avenue%20Jean%20Chaubet%20Toulouse" TargetMode="External"/><Relationship Id="rId385" Type="http://schemas.openxmlformats.org/officeDocument/2006/relationships/hyperlink" Target="https://www.google.com/maps/search/?api=1&amp;query=La%20Rajasthani%20Toulouse" TargetMode="External"/><Relationship Id="rId386" Type="http://schemas.openxmlformats.org/officeDocument/2006/relationships/hyperlink" Target="https://www.google.com/maps/search/?api=1&amp;query=La%20Romantica%20Toulouse" TargetMode="External"/><Relationship Id="rId387" Type="http://schemas.openxmlformats.org/officeDocument/2006/relationships/hyperlink" Target="https://www.google.com/maps/search/?api=1&amp;query=La%20Romarine%20Toulouse" TargetMode="External"/><Relationship Id="rId388" Type="http://schemas.openxmlformats.org/officeDocument/2006/relationships/hyperlink" Target="https://www.google.com/maps/search/?api=1&amp;query=La%20Rosa%20Negra%20Toulouse" TargetMode="External"/><Relationship Id="rId389" Type="http://schemas.openxmlformats.org/officeDocument/2006/relationships/hyperlink" Target="https://www.google.com/maps/search/?api=1&amp;query=La%20Rosa%20Negra%20%22C&#244;t&#233;%20Barcelone%22%20Toulouse" TargetMode="External"/><Relationship Id="rId390" Type="http://schemas.openxmlformats.org/officeDocument/2006/relationships/hyperlink" Target="https://www.google.com/maps/search/?api=1&amp;query=La%20rosa%20negra%20%22c&#244;t&#233;%20Saint-Cyprien%22%205%20Place%20Jean%20Di&#233;bold%20Toulouse" TargetMode="External"/><Relationship Id="rId391" Type="http://schemas.openxmlformats.org/officeDocument/2006/relationships/hyperlink" Target="https://www.google.com/maps/search/?api=1&amp;query=La%20Rosa%20Negra%20c&#244;t&#233;%20Cancha%20Toulouse" TargetMode="External"/><Relationship Id="rId392" Type="http://schemas.openxmlformats.org/officeDocument/2006/relationships/hyperlink" Target="https://www.google.com/maps/search/?api=1&amp;query=La%20R&#233;serve%20Toulouse" TargetMode="External"/><Relationship Id="rId393" Type="http://schemas.openxmlformats.org/officeDocument/2006/relationships/hyperlink" Target="https://www.google.com/maps/search/?api=1&amp;query=La%20Sandia%208%20Rue%20Jean%20Palaprat%20Toulouse" TargetMode="External"/><Relationship Id="rId394" Type="http://schemas.openxmlformats.org/officeDocument/2006/relationships/hyperlink" Target="https://www.google.com/maps/search/?api=1&amp;query=La%20Santine%20Toulouse" TargetMode="External"/><Relationship Id="rId395" Type="http://schemas.openxmlformats.org/officeDocument/2006/relationships/hyperlink" Target="https://www.google.com/maps/search/?api=1&amp;query=La%20Sauterelle%20Toulouse" TargetMode="External"/><Relationship Id="rId396" Type="http://schemas.openxmlformats.org/officeDocument/2006/relationships/hyperlink" Target="https://www.google.com/maps/search/?api=1&amp;query=La%20Sen%20Toulouse" TargetMode="External"/><Relationship Id="rId397" Type="http://schemas.openxmlformats.org/officeDocument/2006/relationships/hyperlink" Target="https://www.google.com/maps/search/?api=1&amp;query=La%20soupe%20au%20caillou%2015%20Rue%20Charles%20Gounod%20Toulouse" TargetMode="External"/><Relationship Id="rId398" Type="http://schemas.openxmlformats.org/officeDocument/2006/relationships/hyperlink" Target="https://www.google.com/maps/search/?api=1&amp;query=La%20Source%20du%20Nil%20Toulouse" TargetMode="External"/><Relationship Id="rId399" Type="http://schemas.openxmlformats.org/officeDocument/2006/relationships/hyperlink" Target="https://www.google.com/maps/search/?api=1&amp;query=La%20Table%20d%27Ariane%20Toulouse" TargetMode="External"/><Relationship Id="rId400" Type="http://schemas.openxmlformats.org/officeDocument/2006/relationships/hyperlink" Target="https://www.google.com/maps/search/?api=1&amp;query=La%20Table%20d%27Emile%20%26%20Fernand%20Toulouse" TargetMode="External"/><Relationship Id="rId401" Type="http://schemas.openxmlformats.org/officeDocument/2006/relationships/hyperlink" Target="https://www.google.com/maps/search/?api=1&amp;query=La%20Tantina%20de%20la%20Playa%2059%20Avenue%20Antoine%20de%20Saint-Exup&#233;ry%20Toulouse" TargetMode="External"/><Relationship Id="rId402" Type="http://schemas.openxmlformats.org/officeDocument/2006/relationships/hyperlink" Target="https://www.google.com/maps/search/?api=1&amp;query=La%20Taqueria%20Toulouse" TargetMode="External"/><Relationship Id="rId403" Type="http://schemas.openxmlformats.org/officeDocument/2006/relationships/hyperlink" Target="https://www.google.com/maps/search/?api=1&amp;query=La%20Taqueria%20Toulouse%20Toulouse" TargetMode="External"/><Relationship Id="rId404" Type="http://schemas.openxmlformats.org/officeDocument/2006/relationships/hyperlink" Target="https://www.google.com/maps/search/?api=1&amp;query=La%20Toulousaine%20de%20Restauration%20Toulouse" TargetMode="External"/><Relationship Id="rId405" Type="http://schemas.openxmlformats.org/officeDocument/2006/relationships/hyperlink" Target="https://www.google.com/maps/search/?api=1&amp;query=La%20Toulousaine%20de%20Restauration%20Toulouse" TargetMode="External"/><Relationship Id="rId406" Type="http://schemas.openxmlformats.org/officeDocument/2006/relationships/hyperlink" Target="https://www.google.com/maps/search/?api=1&amp;query=La%20Verri&#232;re%20Toulouse" TargetMode="External"/><Relationship Id="rId407" Type="http://schemas.openxmlformats.org/officeDocument/2006/relationships/hyperlink" Target="https://www.google.com/maps/search/?api=1&amp;query=La%20Villa%20Toulouse" TargetMode="External"/><Relationship Id="rId408" Type="http://schemas.openxmlformats.org/officeDocument/2006/relationships/hyperlink" Target="https://www.google.com/maps/search/?api=1&amp;query=La%20Villa%20Clapotis%20Toulouse" TargetMode="External"/><Relationship Id="rId409" Type="http://schemas.openxmlformats.org/officeDocument/2006/relationships/hyperlink" Target="https://www.google.com/maps/search/?api=1&amp;query=La%20Villa%20des%20Oliviers%20Toulouse" TargetMode="External"/><Relationship Id="rId410" Type="http://schemas.openxmlformats.org/officeDocument/2006/relationships/hyperlink" Target="https://www.google.com/maps/search/?api=1&amp;query=Lady%20Sushi%20Toulouse" TargetMode="External"/><Relationship Id="rId411" Type="http://schemas.openxmlformats.org/officeDocument/2006/relationships/hyperlink" Target="https://www.google.com/maps/search/?api=1&amp;query=Lamama%203%20Rue%20Louise%20Weiss%20Toulouse" TargetMode="External"/><Relationship Id="rId412" Type="http://schemas.openxmlformats.org/officeDocument/2006/relationships/hyperlink" Target="https://www.google.com/maps/search/?api=1&amp;query=Las%20Tapas%20Locas%202%20Rue%20des%20Trois%20Journ&#233;es%20Toulouse" TargetMode="External"/><Relationship Id="rId413" Type="http://schemas.openxmlformats.org/officeDocument/2006/relationships/hyperlink" Target="https://www.google.com/maps/search/?api=1&amp;query=Le%20101%20101%20Route%20d%27Agde%20Toulouse" TargetMode="External"/><Relationship Id="rId414" Type="http://schemas.openxmlformats.org/officeDocument/2006/relationships/hyperlink" Target="https://www.google.com/maps/search/?api=1&amp;query=Le%20224%20Toulouse" TargetMode="External"/><Relationship Id="rId415" Type="http://schemas.openxmlformats.org/officeDocument/2006/relationships/hyperlink" Target="https://www.google.com/maps/search/?api=1&amp;query=Le%204uatre%204%20Avenue%20Crampel%20Toulouse" TargetMode="External"/><Relationship Id="rId416" Type="http://schemas.openxmlformats.org/officeDocument/2006/relationships/hyperlink" Target="https://www.google.com/maps/search/?api=1&amp;query=Le%20Bangalore%20Toulouse" TargetMode="External"/><Relationship Id="rId417" Type="http://schemas.openxmlformats.org/officeDocument/2006/relationships/hyperlink" Target="https://www.google.com/maps/search/?api=1&amp;query=Le%20Baratie%2039%20Boulevard%20des%20R&#233;collets%20Toulouse" TargetMode="External"/><Relationship Id="rId418" Type="http://schemas.openxmlformats.org/officeDocument/2006/relationships/hyperlink" Target="https://www.google.com/maps/search/?api=1&amp;query=Le%20Bateau%20Lavoir%20Toulouse" TargetMode="External"/><Relationship Id="rId419" Type="http://schemas.openxmlformats.org/officeDocument/2006/relationships/hyperlink" Target="https://www.google.com/maps/search/?api=1&amp;query=Le%20Bidule%2030%20Avenue%20Jean%20Dagnaux%20Toulouse" TargetMode="External"/><Relationship Id="rId420" Type="http://schemas.openxmlformats.org/officeDocument/2006/relationships/hyperlink" Target="https://www.google.com/maps/search/?api=1&amp;query=Le%20Biergarten%20Saint%20Michel%20Toulouse" TargetMode="External"/><Relationship Id="rId421" Type="http://schemas.openxmlformats.org/officeDocument/2006/relationships/hyperlink" Target="https://www.google.com/maps/search/?api=1&amp;query=Le%20Bistronum%202%20Rond-Point%20de%20Madame%20de%20Mondonville%20Toulouse" TargetMode="External"/><Relationship Id="rId422" Type="http://schemas.openxmlformats.org/officeDocument/2006/relationships/hyperlink" Target="https://www.google.com/maps/search/?api=1&amp;query=Le%20Bistroquet%20&#224;%20la%20Une%2010%20Rue%20Lab&#233;da%20Toulouse" TargetMode="External"/><Relationship Id="rId423" Type="http://schemas.openxmlformats.org/officeDocument/2006/relationships/hyperlink" Target="https://www.google.com/maps/search/?api=1&amp;query=Le%20bistrot%20d%27Hercule%20Toulouse" TargetMode="External"/><Relationship Id="rId424" Type="http://schemas.openxmlformats.org/officeDocument/2006/relationships/hyperlink" Target="https://www.google.com/maps/search/?api=1&amp;query=Le%20bistrot%20du%20Port%20Toulouse" TargetMode="External"/><Relationship Id="rId425" Type="http://schemas.openxmlformats.org/officeDocument/2006/relationships/hyperlink" Target="https://www.google.com/maps/search/?api=1&amp;query=Le%20Bistrot%20Libanais%20Toulouse" TargetMode="External"/><Relationship Id="rId426" Type="http://schemas.openxmlformats.org/officeDocument/2006/relationships/hyperlink" Target="https://www.google.com/maps/search/?api=1&amp;query=Le%20Bombay%20Toulouse" TargetMode="External"/><Relationship Id="rId427" Type="http://schemas.openxmlformats.org/officeDocument/2006/relationships/hyperlink" Target="https://www.google.com/maps/search/?api=1&amp;query=Le%20Bon%20Saint-Simon%20Toulouse" TargetMode="External"/><Relationship Id="rId428" Type="http://schemas.openxmlformats.org/officeDocument/2006/relationships/hyperlink" Target="https://www.google.com/maps/search/?api=1&amp;query=Le%20Bouillon%20Capitole%20Toulouse" TargetMode="External"/><Relationship Id="rId429" Type="http://schemas.openxmlformats.org/officeDocument/2006/relationships/hyperlink" Target="https://www.google.com/maps/search/?api=1&amp;query=Le%20Boulis%20142%20Rue%20de%20N&#233;greneys%20Toulouse" TargetMode="External"/><Relationship Id="rId430" Type="http://schemas.openxmlformats.org/officeDocument/2006/relationships/hyperlink" Target="https://www.google.com/maps/search/?api=1&amp;query=Le%20Bristol%20Toulouse" TargetMode="External"/><Relationship Id="rId431" Type="http://schemas.openxmlformats.org/officeDocument/2006/relationships/hyperlink" Target="https://www.google.com/maps/search/?api=1&amp;query=Le%20Buffet%20du%20Grand%20March&#233;%20Toulouse" TargetMode="External"/><Relationship Id="rId432" Type="http://schemas.openxmlformats.org/officeDocument/2006/relationships/hyperlink" Target="https://www.google.com/maps/search/?api=1&amp;query=Le%20Bus%20111%20111%20Avenue%20de%20Lespinet%20Toulouse" TargetMode="External"/><Relationship Id="rId433" Type="http://schemas.openxmlformats.org/officeDocument/2006/relationships/hyperlink" Target="https://www.google.com/maps/search/?api=1&amp;query=Le%20Cabanon%20Toulouse" TargetMode="External"/><Relationship Id="rId434" Type="http://schemas.openxmlformats.org/officeDocument/2006/relationships/hyperlink" Target="https://www.google.com/maps/search/?api=1&amp;query=Le%20caf&#233;%20du%20midi%20Toulouse" TargetMode="External"/><Relationship Id="rId435" Type="http://schemas.openxmlformats.org/officeDocument/2006/relationships/hyperlink" Target="https://www.google.com/maps/search/?api=1&amp;query=Le%20Cantou%2098%20Rue%20Velasquez%20Toulouse" TargetMode="External"/><Relationship Id="rId436" Type="http://schemas.openxmlformats.org/officeDocument/2006/relationships/hyperlink" Target="https://www.google.com/maps/search/?api=1&amp;query=Le%20Carr&#233;%20Gourmand%20Toulouse" TargetMode="External"/><Relationship Id="rId437" Type="http://schemas.openxmlformats.org/officeDocument/2006/relationships/hyperlink" Target="https://www.google.com/maps/search/?api=1&amp;query=Le%20Chai%20Saint-Sauveur%20Toulouse" TargetMode="External"/><Relationship Id="rId438" Type="http://schemas.openxmlformats.org/officeDocument/2006/relationships/hyperlink" Target="https://www.google.com/maps/search/?api=1&amp;query=Le%20Chalet%20Toulouse" TargetMode="External"/><Relationship Id="rId439" Type="http://schemas.openxmlformats.org/officeDocument/2006/relationships/hyperlink" Target="https://www.google.com/maps/search/?api=1&amp;query=Le%20Chef%20du%20Burger%20Toulouse" TargetMode="External"/><Relationship Id="rId440" Type="http://schemas.openxmlformats.org/officeDocument/2006/relationships/hyperlink" Target="https://www.google.com/maps/search/?api=1&amp;query=Le%20Chevillard%20Toulouse" TargetMode="External"/><Relationship Id="rId441" Type="http://schemas.openxmlformats.org/officeDocument/2006/relationships/hyperlink" Target="https://www.google.com/maps/search/?api=1&amp;query=Le%20coin%20des%20producteurs%2033%20Avenue%20de%20Larrieu%20Toulouse" TargetMode="External"/><Relationship Id="rId442" Type="http://schemas.openxmlformats.org/officeDocument/2006/relationships/hyperlink" Target="https://www.google.com/maps/search/?api=1&amp;query=Le%20Colombier%20Toulouse" TargetMode="External"/><Relationship Id="rId443" Type="http://schemas.openxmlformats.org/officeDocument/2006/relationships/hyperlink" Target="https://www.google.com/maps/search/?api=1&amp;query=Le%20Comptoir%20du%20Rex%20Toulouse" TargetMode="External"/><Relationship Id="rId444" Type="http://schemas.openxmlformats.org/officeDocument/2006/relationships/hyperlink" Target="https://www.google.com/maps/search/?api=1&amp;query=Le%20Comptoir%20Gourmand%20Toulouse" TargetMode="External"/><Relationship Id="rId445" Type="http://schemas.openxmlformats.org/officeDocument/2006/relationships/hyperlink" Target="https://www.google.com/maps/search/?api=1&amp;query=Le%20Comptoir%20Italien%20Toulouse" TargetMode="External"/><Relationship Id="rId446" Type="http://schemas.openxmlformats.org/officeDocument/2006/relationships/hyperlink" Target="https://www.google.com/maps/search/?api=1&amp;query=Le%20Comptoir%20&#224;%20Pizzas%20Toulouse" TargetMode="External"/><Relationship Id="rId447" Type="http://schemas.openxmlformats.org/officeDocument/2006/relationships/hyperlink" Target="https://www.google.com/maps/search/?api=1&amp;query=Le%20Coq%20en%20P&#226;te%20Toulouse" TargetMode="External"/><Relationship Id="rId448" Type="http://schemas.openxmlformats.org/officeDocument/2006/relationships/hyperlink" Target="https://www.google.com/maps/search/?api=1&amp;query=Le%20Coup%20de%20fourchette%2015%20Avenue%20de%20Larrieu%20Toulouse" TargetMode="External"/><Relationship Id="rId449" Type="http://schemas.openxmlformats.org/officeDocument/2006/relationships/hyperlink" Target="https://www.google.com/maps/search/?api=1&amp;query=Le%20Court%20Circuit%204%20Rue%20R&#233;clusane%20Toulouse" TargetMode="External"/><Relationship Id="rId450" Type="http://schemas.openxmlformats.org/officeDocument/2006/relationships/hyperlink" Target="https://www.google.com/maps/search/?api=1&amp;query=Le%20Cri%20de%20la%20Truffe%20Toulouse" TargetMode="External"/><Relationship Id="rId451" Type="http://schemas.openxmlformats.org/officeDocument/2006/relationships/hyperlink" Target="https://www.google.com/maps/search/?api=1&amp;query=Le%20C&#233;nacle%2046%20Rue%20des%20Couteliers%20Toulouse" TargetMode="External"/><Relationship Id="rId452" Type="http://schemas.openxmlformats.org/officeDocument/2006/relationships/hyperlink" Target="https://www.google.com/maps/search/?api=1&amp;query=Le%20d%27Artagnan%2060%20Boulevard%20de%20Suisse%20Toulouse" TargetMode="External"/><Relationship Id="rId453" Type="http://schemas.openxmlformats.org/officeDocument/2006/relationships/hyperlink" Target="https://www.google.com/maps/search/?api=1&amp;query=Le%20Dahu%20Toulouse" TargetMode="External"/><Relationship Id="rId454" Type="http://schemas.openxmlformats.org/officeDocument/2006/relationships/hyperlink" Target="https://www.google.com/maps/search/?api=1&amp;query=Le%20Dakar%20Toulouse" TargetMode="External"/><Relationship Id="rId455" Type="http://schemas.openxmlformats.org/officeDocument/2006/relationships/hyperlink" Target="https://www.google.com/maps/search/?api=1&amp;query=Le%20Dynastie%20Toulouse" TargetMode="External"/><Relationship Id="rId456" Type="http://schemas.openxmlformats.org/officeDocument/2006/relationships/hyperlink" Target="https://www.google.com/maps/search/?api=1&amp;query=Le%20Dynastie%20Toulouse" TargetMode="External"/><Relationship Id="rId457" Type="http://schemas.openxmlformats.org/officeDocument/2006/relationships/hyperlink" Target="https://www.google.com/maps/search/?api=1&amp;query=Le%20D&#233;clic%20Toulouse" TargetMode="External"/><Relationship Id="rId458" Type="http://schemas.openxmlformats.org/officeDocument/2006/relationships/hyperlink" Target="https://www.google.com/maps/search/?api=1&amp;query=Le%20Faubourg%2017%20Rue%20Paul%20Charrier%20Toulouse" TargetMode="External"/><Relationship Id="rId459" Type="http://schemas.openxmlformats.org/officeDocument/2006/relationships/hyperlink" Target="https://www.google.com/maps/search/?api=1&amp;query=Le%20Fifteen%20Toulouse" TargetMode="External"/><Relationship Id="rId460" Type="http://schemas.openxmlformats.org/officeDocument/2006/relationships/hyperlink" Target="https://www.google.com/maps/search/?api=1&amp;query=Le%20Galuchat%2040%20Rue%20des%20Lois%20Toulouse" TargetMode="External"/><Relationship Id="rId461" Type="http://schemas.openxmlformats.org/officeDocument/2006/relationships/hyperlink" Target="https://www.google.com/maps/search/?api=1&amp;query=Le%20Gandhi%20Toulouse" TargetMode="External"/><Relationship Id="rId462" Type="http://schemas.openxmlformats.org/officeDocument/2006/relationships/hyperlink" Target="https://www.google.com/maps/search/?api=1&amp;query=Le%20Genty%20Magre%20Toulouse" TargetMode="External"/><Relationship Id="rId463" Type="http://schemas.openxmlformats.org/officeDocument/2006/relationships/hyperlink" Target="https://www.google.com/maps/search/?api=1&amp;query=Le%20Go&#251;t%20en%20Train%20Toulouse" TargetMode="External"/><Relationship Id="rId464" Type="http://schemas.openxmlformats.org/officeDocument/2006/relationships/hyperlink" Target="https://www.google.com/maps/search/?api=1&amp;query=Le%20Grand%20Caf&#233;%20du%20Stade%20Toulouse" TargetMode="External"/><Relationship Id="rId465" Type="http://schemas.openxmlformats.org/officeDocument/2006/relationships/hyperlink" Target="https://www.google.com/maps/search/?api=1&amp;query=Le%20Grenier%20de%20P&#233;p&#233;%20Toulouse" TargetMode="External"/><Relationship Id="rId466" Type="http://schemas.openxmlformats.org/officeDocument/2006/relationships/hyperlink" Target="https://www.google.com/maps/search/?api=1&amp;query=Le%20Gros%20Arbre%20Toulouse" TargetMode="External"/><Relationship Id="rId467" Type="http://schemas.openxmlformats.org/officeDocument/2006/relationships/hyperlink" Target="https://www.google.com/maps/search/?api=1&amp;query=Le%20J%27Go%20Toulouse" TargetMode="External"/><Relationship Id="rId468" Type="http://schemas.openxmlformats.org/officeDocument/2006/relationships/hyperlink" Target="https://www.google.com/maps/search/?api=1&amp;query=Le%20Jardin%20Toulouse" TargetMode="External"/><Relationship Id="rId469" Type="http://schemas.openxmlformats.org/officeDocument/2006/relationships/hyperlink" Target="https://www.google.com/maps/search/?api=1&amp;query=Le%20King%20Toulouse" TargetMode="External"/><Relationship Id="rId470" Type="http://schemas.openxmlformats.org/officeDocument/2006/relationships/hyperlink" Target="https://www.google.com/maps/search/?api=1&amp;query=Le%20Kiosque%20de%20la%20Roseraie%20Toulouse" TargetMode="External"/><Relationship Id="rId471" Type="http://schemas.openxmlformats.org/officeDocument/2006/relationships/hyperlink" Target="https://www.google.com/maps/search/?api=1&amp;query=Le%20Ksar%207%20Rue%20Perchepinte%20Toulouse" TargetMode="External"/><Relationship Id="rId472" Type="http://schemas.openxmlformats.org/officeDocument/2006/relationships/hyperlink" Target="https://www.google.com/maps/search/?api=1&amp;query=Le%20Kyoto%20Toulouse" TargetMode="External"/><Relationship Id="rId473" Type="http://schemas.openxmlformats.org/officeDocument/2006/relationships/hyperlink" Target="https://www.google.com/maps/search/?api=1&amp;query=Le%20Louchebem%20Toulouse" TargetMode="External"/><Relationship Id="rId474" Type="http://schemas.openxmlformats.org/officeDocument/2006/relationships/hyperlink" Target="https://www.google.com/maps/search/?api=1&amp;query=Le%20Lusso%20Place%20du%20Docteur%20Joseph%20Baylac%20Toulouse" TargetMode="External"/><Relationship Id="rId475" Type="http://schemas.openxmlformats.org/officeDocument/2006/relationships/hyperlink" Target="https://www.google.com/maps/search/?api=1&amp;query=le%20M%27BWAFOU&#200;%20Toulouse" TargetMode="External"/><Relationship Id="rId476" Type="http://schemas.openxmlformats.org/officeDocument/2006/relationships/hyperlink" Target="https://www.google.com/maps/search/?api=1&amp;query=Le%20Magret%20Toulouse" TargetMode="External"/><Relationship Id="rId477" Type="http://schemas.openxmlformats.org/officeDocument/2006/relationships/hyperlink" Target="https://www.google.com/maps/search/?api=1&amp;query=Le%20Maharaja%20Toulouse" TargetMode="External"/><Relationship Id="rId478" Type="http://schemas.openxmlformats.org/officeDocument/2006/relationships/hyperlink" Target="https://www.google.com/maps/search/?api=1&amp;query=Le%20Manel%20Toulouse" TargetMode="External"/><Relationship Id="rId479" Type="http://schemas.openxmlformats.org/officeDocument/2006/relationships/hyperlink" Target="https://www.google.com/maps/search/?api=1&amp;query=Le%20mara&#238;cher%20dans%20son%20assiette%20Toulouse" TargetMode="External"/><Relationship Id="rId480" Type="http://schemas.openxmlformats.org/officeDocument/2006/relationships/hyperlink" Target="https://www.google.com/maps/search/?api=1&amp;query=Le%20Marocain%20Toulouse" TargetMode="External"/><Relationship Id="rId481" Type="http://schemas.openxmlformats.org/officeDocument/2006/relationships/hyperlink" Target="https://www.google.com/maps/search/?api=1&amp;query=Le%20Marsiglia%20Toulouse" TargetMode="External"/><Relationship Id="rId482" Type="http://schemas.openxmlformats.org/officeDocument/2006/relationships/hyperlink" Target="https://www.google.com/maps/search/?api=1&amp;query=Le%20Mas%20De%20Dardagna%201%20Chemin%20de%20Dardagna%20Toulouse" TargetMode="External"/><Relationship Id="rId483" Type="http://schemas.openxmlformats.org/officeDocument/2006/relationships/hyperlink" Target="https://www.google.com/maps/search/?api=1&amp;query=Le%20Mastroquet%2029%20Toulouse" TargetMode="External"/><Relationship Id="rId484" Type="http://schemas.openxmlformats.org/officeDocument/2006/relationships/hyperlink" Target="https://www.google.com/maps/search/?api=1&amp;query=Le%20May%20Toulouse" TargetMode="External"/><Relationship Id="rId485" Type="http://schemas.openxmlformats.org/officeDocument/2006/relationships/hyperlink" Target="https://www.google.com/maps/search/?api=1&amp;query=Le%20Mayombe%20Toulouse" TargetMode="External"/><Relationship Id="rId486" Type="http://schemas.openxmlformats.org/officeDocument/2006/relationships/hyperlink" Target="https://www.google.com/maps/search/?api=1&amp;query=Le%20Menhir%20Toulouse" TargetMode="External"/><Relationship Id="rId487" Type="http://schemas.openxmlformats.org/officeDocument/2006/relationships/hyperlink" Target="https://www.google.com/maps/search/?api=1&amp;query=Le%20Moa&#239;%2035%20All&#233;es%20Jules%20Guesde%20Toulouse" TargetMode="External"/><Relationship Id="rId488" Type="http://schemas.openxmlformats.org/officeDocument/2006/relationships/hyperlink" Target="https://www.google.com/maps/search/?api=1&amp;query=Le%20monde%20de%20jennah%2039%20Avenue%20des%20Minimes%20Toulouse" TargetMode="External"/><Relationship Id="rId489" Type="http://schemas.openxmlformats.org/officeDocument/2006/relationships/hyperlink" Target="https://www.google.com/maps/search/?api=1&amp;query=Le%20monde%20est%20&#224;%20nous%20Toulouse" TargetMode="External"/><Relationship Id="rId490" Type="http://schemas.openxmlformats.org/officeDocument/2006/relationships/hyperlink" Target="https://www.google.com/maps/search/?api=1&amp;query=Le%20Monica%205%20Rue%20Jacques%20Cujas%20Toulouse" TargetMode="External"/><Relationship Id="rId491" Type="http://schemas.openxmlformats.org/officeDocument/2006/relationships/hyperlink" Target="https://www.google.com/maps/search/?api=1&amp;query=Le%20Moulin%20de%20Toulouse%20Toulouse" TargetMode="External"/><Relationship Id="rId492" Type="http://schemas.openxmlformats.org/officeDocument/2006/relationships/hyperlink" Target="https://www.google.com/maps/search/?api=1&amp;query=Le%20Muang%20Tha&#239;%20136%20Rue%20Achille%20Viadieu%20Toulouse" TargetMode="External"/><Relationship Id="rId493" Type="http://schemas.openxmlformats.org/officeDocument/2006/relationships/hyperlink" Target="https://www.google.com/maps/search/?api=1&amp;query=Le%20M&#233;kong%20187%20Route%20de%20Bayonne%20Toulouse" TargetMode="External"/><Relationship Id="rId494" Type="http://schemas.openxmlformats.org/officeDocument/2006/relationships/hyperlink" Target="https://www.google.com/maps/search/?api=1&amp;query=Le%20New%20Goa%20Toulouse" TargetMode="External"/><Relationship Id="rId495" Type="http://schemas.openxmlformats.org/officeDocument/2006/relationships/hyperlink" Target="https://www.google.com/maps/search/?api=1&amp;query=Le%20Nez%20Rouge%20Toulouse" TargetMode="External"/><Relationship Id="rId496" Type="http://schemas.openxmlformats.org/officeDocument/2006/relationships/hyperlink" Target="https://www.google.com/maps/search/?api=1&amp;query=Le%20Noma%20Toulouse" TargetMode="External"/><Relationship Id="rId497" Type="http://schemas.openxmlformats.org/officeDocument/2006/relationships/hyperlink" Target="https://www.google.com/maps/search/?api=1&amp;query=Le%20P%27tit%20Louis%2032%20Rue%20de%20la%20R&#233;publique%20Toulouse" TargetMode="External"/><Relationship Id="rId498" Type="http://schemas.openxmlformats.org/officeDocument/2006/relationships/hyperlink" Target="https://www.google.com/maps/search/?api=1&amp;query=Le%20Pacific%20Toulouse" TargetMode="External"/><Relationship Id="rId499" Type="http://schemas.openxmlformats.org/officeDocument/2006/relationships/hyperlink" Target="https://www.google.com/maps/search/?api=1&amp;query=Le%20Panache%20Toulouse" TargetMode="External"/><Relationship Id="rId500" Type="http://schemas.openxmlformats.org/officeDocument/2006/relationships/hyperlink" Target="https://www.google.com/maps/search/?api=1&amp;query=Le%20Parisien%20Toulouse" TargetMode="External"/><Relationship Id="rId501" Type="http://schemas.openxmlformats.org/officeDocument/2006/relationships/hyperlink" Target="https://www.google.com/maps/search/?api=1&amp;query=Le%20Patio%20de%20Lalande%20Toulouse" TargetMode="External"/><Relationship Id="rId502" Type="http://schemas.openxmlformats.org/officeDocument/2006/relationships/hyperlink" Target="https://www.google.com/maps/search/?api=1&amp;query=Le%20Pav&#233;%20des%20Minimes%20Toulouse" TargetMode="External"/><Relationship Id="rId503" Type="http://schemas.openxmlformats.org/officeDocument/2006/relationships/hyperlink" Target="https://www.google.com/maps/search/?api=1&amp;query=Le%20Perche%20Pinte%20Toulouse" TargetMode="External"/><Relationship Id="rId504" Type="http://schemas.openxmlformats.org/officeDocument/2006/relationships/hyperlink" Target="https://www.google.com/maps/search/?api=1&amp;query=Le%20Petit%20Marais%20Toulouse" TargetMode="External"/><Relationship Id="rId505" Type="http://schemas.openxmlformats.org/officeDocument/2006/relationships/hyperlink" Target="https://www.google.com/maps/search/?api=1&amp;query=Le%20petit%20Salin%20Toulouse" TargetMode="External"/><Relationship Id="rId506" Type="http://schemas.openxmlformats.org/officeDocument/2006/relationships/hyperlink" Target="https://www.google.com/maps/search/?api=1&amp;query=Le%20Petit%20San%20Seb%20Toulouse" TargetMode="External"/><Relationship Id="rId507" Type="http://schemas.openxmlformats.org/officeDocument/2006/relationships/hyperlink" Target="https://www.google.com/maps/search/?api=1&amp;query=Le%20Petit%20Victor%20Toulouse" TargetMode="External"/><Relationship Id="rId508" Type="http://schemas.openxmlformats.org/officeDocument/2006/relationships/hyperlink" Target="https://www.google.com/maps/search/?api=1&amp;query=Le%20point%20d%27Ogre%20Toulouse" TargetMode="External"/><Relationship Id="rId509" Type="http://schemas.openxmlformats.org/officeDocument/2006/relationships/hyperlink" Target="https://www.google.com/maps/search/?api=1&amp;query=Le%20Pyr&#233;n&#233;en%20Toulouse" TargetMode="External"/><Relationship Id="rId510" Type="http://schemas.openxmlformats.org/officeDocument/2006/relationships/hyperlink" Target="https://www.google.com/maps/search/?api=1&amp;query=Le%20P&#232;re%20L&#233;on%202%20Toulouse" TargetMode="External"/><Relationship Id="rId511" Type="http://schemas.openxmlformats.org/officeDocument/2006/relationships/hyperlink" Target="https://www.google.com/maps/search/?api=1&amp;query=Le%20QG%20Toulouse" TargetMode="External"/><Relationship Id="rId512" Type="http://schemas.openxmlformats.org/officeDocument/2006/relationships/hyperlink" Target="https://www.google.com/maps/search/?api=1&amp;query=Le%20Quartier%20Libre%20Toulouse" TargetMode="External"/><Relationship Id="rId513" Type="http://schemas.openxmlformats.org/officeDocument/2006/relationships/hyperlink" Target="https://www.google.com/maps/search/?api=1&amp;query=Le%20Rajnagar%204%20Rue%20Alexandre%20Fourtanier%20Toulouse" TargetMode="External"/><Relationship Id="rId514" Type="http://schemas.openxmlformats.org/officeDocument/2006/relationships/hyperlink" Target="https://www.google.com/maps/search/?api=1&amp;query=Le%20Refuge%20des%20Copains%20Toulouse" TargetMode="External"/><Relationship Id="rId515" Type="http://schemas.openxmlformats.org/officeDocument/2006/relationships/hyperlink" Target="https://www.google.com/maps/search/?api=1&amp;query=Le%20Refuge%20Saint%20Rome%2036%20Rue%20Saint-Rome%20Toulouse" TargetMode="External"/><Relationship Id="rId516" Type="http://schemas.openxmlformats.org/officeDocument/2006/relationships/hyperlink" Target="https://www.google.com/maps/search/?api=1&amp;query=Le%20Restaurant%20Toulouse" TargetMode="External"/><Relationship Id="rId517" Type="http://schemas.openxmlformats.org/officeDocument/2006/relationships/hyperlink" Target="https://www.google.com/maps/search/?api=1&amp;query=Le%20restaurant%20sans%20nom%20Toulouse" TargetMode="External"/><Relationship Id="rId518" Type="http://schemas.openxmlformats.org/officeDocument/2006/relationships/hyperlink" Target="https://www.google.com/maps/search/?api=1&amp;query=Le%20Ripaille%20Toulouse" TargetMode="External"/><Relationship Id="rId519" Type="http://schemas.openxmlformats.org/officeDocument/2006/relationships/hyperlink" Target="https://www.google.com/maps/search/?api=1&amp;query=Le%20Rocher%20de%20la%20Vierge%20Toulouse" TargetMode="External"/><Relationship Id="rId520" Type="http://schemas.openxmlformats.org/officeDocument/2006/relationships/hyperlink" Target="https://www.google.com/maps/search/?api=1&amp;query=Le%20Rohtang%20Pass%20Toulouse" TargetMode="External"/><Relationship Id="rId521" Type="http://schemas.openxmlformats.org/officeDocument/2006/relationships/hyperlink" Target="https://www.google.com/maps/search/?api=1&amp;query=Le%20Rond%20de%20Serviette%2014%20Place%20Olivier%20Toulouse" TargetMode="External"/><Relationship Id="rId522" Type="http://schemas.openxmlformats.org/officeDocument/2006/relationships/hyperlink" Target="https://www.google.com/maps/search/?api=1&amp;query=Le%20RowingClub%2019%20All&#233;e%20Alfred%20Mayssonni&#233;%20Toulouse" TargetMode="External"/><Relationship Id="rId523" Type="http://schemas.openxmlformats.org/officeDocument/2006/relationships/hyperlink" Target="https://www.google.com/maps/search/?api=1&amp;query=Le%20Safran%20Toulouse" TargetMode="External"/><Relationship Id="rId524" Type="http://schemas.openxmlformats.org/officeDocument/2006/relationships/hyperlink" Target="https://www.google.com/maps/search/?api=1&amp;query=Le%20Saint%20Honest%20Toulouse" TargetMode="External"/><Relationship Id="rId525" Type="http://schemas.openxmlformats.org/officeDocument/2006/relationships/hyperlink" Target="https://www.google.com/maps/search/?api=1&amp;query=Le%20Saint-Sauvage%20Toulouse" TargetMode="External"/><Relationship Id="rId526" Type="http://schemas.openxmlformats.org/officeDocument/2006/relationships/hyperlink" Target="https://www.google.com/maps/search/?api=1&amp;query=Le%20Saint-Simon%20Toulouse" TargetMode="External"/><Relationship Id="rId527" Type="http://schemas.openxmlformats.org/officeDocument/2006/relationships/hyperlink" Target="https://www.google.com/maps/search/?api=1&amp;query=Le%20Semiramis%20Toulouse" TargetMode="External"/><Relationship Id="rId528" Type="http://schemas.openxmlformats.org/officeDocument/2006/relationships/hyperlink" Target="https://www.google.com/maps/search/?api=1&amp;query=Le%20Servant%20Toulouse" TargetMode="External"/><Relationship Id="rId529" Type="http://schemas.openxmlformats.org/officeDocument/2006/relationships/hyperlink" Target="https://www.google.com/maps/search/?api=1&amp;query=Le%20Shahi%20Dhaba%20Toulouse" TargetMode="External"/><Relationship Id="rId530" Type="http://schemas.openxmlformats.org/officeDocument/2006/relationships/hyperlink" Target="https://www.google.com/maps/search/?api=1&amp;query=Le%20Shahrazade%20Toulouse" TargetMode="External"/><Relationship Id="rId531" Type="http://schemas.openxmlformats.org/officeDocument/2006/relationships/hyperlink" Target="https://www.google.com/maps/search/?api=1&amp;query=Le%20Shaker%201%20Rue%20Jean%20Viollis%20Toulouse" TargetMode="External"/><Relationship Id="rId532" Type="http://schemas.openxmlformats.org/officeDocument/2006/relationships/hyperlink" Target="https://www.google.com/maps/search/?api=1&amp;query=Le%20Shaman%20Toulouse" TargetMode="External"/><Relationship Id="rId533" Type="http://schemas.openxmlformats.org/officeDocument/2006/relationships/hyperlink" Target="https://www.google.com/maps/search/?api=1&amp;query=Le%20Sherpa%20Toulouse" TargetMode="External"/><Relationship Id="rId534" Type="http://schemas.openxmlformats.org/officeDocument/2006/relationships/hyperlink" Target="https://www.google.com/maps/search/?api=1&amp;query=Le%20Soulier%20Toulouse" TargetMode="External"/><Relationship Id="rId535" Type="http://schemas.openxmlformats.org/officeDocument/2006/relationships/hyperlink" Target="https://www.google.com/maps/search/?api=1&amp;query=Le%20St-Exup&#233;ry%20Toulouse" TargetMode="External"/><Relationship Id="rId536" Type="http://schemas.openxmlformats.org/officeDocument/2006/relationships/hyperlink" Target="https://www.google.com/maps/search/?api=1&amp;query=Le%20Sud%20d%27Asie%20Toulouse" TargetMode="External"/><Relationship Id="rId537" Type="http://schemas.openxmlformats.org/officeDocument/2006/relationships/hyperlink" Target="https://www.google.com/maps/search/?api=1&amp;query=Le%20Sukhotha&#239;%20Toulouse" TargetMode="External"/><Relationship Id="rId538" Type="http://schemas.openxmlformats.org/officeDocument/2006/relationships/hyperlink" Target="https://www.google.com/maps/search/?api=1&amp;query=Le%20Temps%20des%20Vendanges%20Toulouse" TargetMode="External"/><Relationship Id="rId539" Type="http://schemas.openxmlformats.org/officeDocument/2006/relationships/hyperlink" Target="https://www.google.com/maps/search/?api=1&amp;query=Le%20Toec%20Toulouse" TargetMode="External"/><Relationship Id="rId540" Type="http://schemas.openxmlformats.org/officeDocument/2006/relationships/hyperlink" Target="https://www.google.com/maps/search/?api=1&amp;query=Le%20Troquet%20Garonne%20Toulouse" TargetMode="External"/><Relationship Id="rId541" Type="http://schemas.openxmlformats.org/officeDocument/2006/relationships/hyperlink" Target="https://www.google.com/maps/search/?api=1&amp;query=Le%20Vacarmes%20Toulouse" TargetMode="External"/><Relationship Id="rId542" Type="http://schemas.openxmlformats.org/officeDocument/2006/relationships/hyperlink" Target="https://www.google.com/maps/search/?api=1&amp;query=Le%20Versant%20Toulouse" TargetMode="External"/><Relationship Id="rId543" Type="http://schemas.openxmlformats.org/officeDocument/2006/relationships/hyperlink" Target="https://www.google.com/maps/search/?api=1&amp;query=Le%20Vialou%20Toulouse" TargetMode="External"/><Relationship Id="rId544" Type="http://schemas.openxmlformats.org/officeDocument/2006/relationships/hyperlink" Target="https://www.google.com/maps/search/?api=1&amp;query=Le%20Victoria%20Toulouse" TargetMode="External"/><Relationship Id="rId545" Type="http://schemas.openxmlformats.org/officeDocument/2006/relationships/hyperlink" Target="https://www.google.com/maps/search/?api=1&amp;query=Le%20Viet%20Nam%20Toulouse" TargetMode="External"/><Relationship Id="rId546" Type="http://schemas.openxmlformats.org/officeDocument/2006/relationships/hyperlink" Target="https://www.google.com/maps/search/?api=1&amp;query=Le%20Zinc%20Toulouse" TargetMode="External"/><Relationship Id="rId547" Type="http://schemas.openxmlformats.org/officeDocument/2006/relationships/hyperlink" Target="https://www.google.com/maps/search/?api=1&amp;query=Lee%20In%20Toulouse" TargetMode="External"/><Relationship Id="rId548" Type="http://schemas.openxmlformats.org/officeDocument/2006/relationships/hyperlink" Target="https://www.google.com/maps/search/?api=1&amp;query=Leriche%20de%20Saveurs%20Toulouse" TargetMode="External"/><Relationship Id="rId549" Type="http://schemas.openxmlformats.org/officeDocument/2006/relationships/hyperlink" Target="https://www.google.com/maps/search/?api=1&amp;query=Les%202%20Font%20la%20Paire%20Toulouse" TargetMode="External"/><Relationship Id="rId550" Type="http://schemas.openxmlformats.org/officeDocument/2006/relationships/hyperlink" Target="https://www.google.com/maps/search/?api=1&amp;query=Les%204%20petits%20cochons%20Avenue%20de%20Lardenne%20Toulouse" TargetMode="External"/><Relationship Id="rId551" Type="http://schemas.openxmlformats.org/officeDocument/2006/relationships/hyperlink" Target="https://www.google.com/maps/search/?api=1&amp;query=Les%20Arcades%20Toulouse" TargetMode="External"/><Relationship Id="rId552" Type="http://schemas.openxmlformats.org/officeDocument/2006/relationships/hyperlink" Target="https://www.google.com/maps/search/?api=1&amp;query=Les%20Brochettes%20Toulouse" TargetMode="External"/><Relationship Id="rId553" Type="http://schemas.openxmlformats.org/officeDocument/2006/relationships/hyperlink" Target="https://www.google.com/maps/search/?api=1&amp;query=Les%20Burgers%20de%20Colette%20Toulouse" TargetMode="External"/><Relationship Id="rId554" Type="http://schemas.openxmlformats.org/officeDocument/2006/relationships/hyperlink" Target="https://www.google.com/maps/search/?api=1&amp;query=Les%20Caves%20de%20la%20Mar&#233;chale%20Toulouse" TargetMode="External"/><Relationship Id="rId555" Type="http://schemas.openxmlformats.org/officeDocument/2006/relationships/hyperlink" Target="https://www.google.com/maps/search/?api=1&amp;query=Les%20chim&#232;res%20Toulouse" TargetMode="External"/><Relationship Id="rId556" Type="http://schemas.openxmlformats.org/officeDocument/2006/relationships/hyperlink" Target="https://www.google.com/maps/search/?api=1&amp;query=Les%20copains%20d%27abord%20Toulouse" TargetMode="External"/><Relationship Id="rId557" Type="http://schemas.openxmlformats.org/officeDocument/2006/relationships/hyperlink" Target="https://www.google.com/maps/search/?api=1&amp;query=Les%20Cr&#234;pes%20de%20Beno&#238;t%20Toulouse" TargetMode="External"/><Relationship Id="rId558" Type="http://schemas.openxmlformats.org/officeDocument/2006/relationships/hyperlink" Target="https://www.google.com/maps/search/?api=1&amp;query=Les%20d&#233;lices%20de%20L&#233;na%2010%20Avenue%20Octave%20L&#233;ry%20Toulouse" TargetMode="External"/><Relationship Id="rId559" Type="http://schemas.openxmlformats.org/officeDocument/2006/relationships/hyperlink" Target="https://www.google.com/maps/search/?api=1&amp;query=Les%20Eaux%20Vives%20Toulouse" TargetMode="External"/><Relationship Id="rId560" Type="http://schemas.openxmlformats.org/officeDocument/2006/relationships/hyperlink" Target="https://www.google.com/maps/search/?api=1&amp;query=Les%20Enfants%20Terribles...%20Toulouse" TargetMode="External"/><Relationship Id="rId561" Type="http://schemas.openxmlformats.org/officeDocument/2006/relationships/hyperlink" Target="https://www.google.com/maps/search/?api=1&amp;query=Les%20Etoiles%20d%27Asie%20Avenue%20du%20Mirail%20Toulouse" TargetMode="External"/><Relationship Id="rId562" Type="http://schemas.openxmlformats.org/officeDocument/2006/relationships/hyperlink" Target="https://www.google.com/maps/search/?api=1&amp;query=Les%20filous%2018%20Rue%20d%27Aubuisson%20Toulouse" TargetMode="External"/><Relationship Id="rId563" Type="http://schemas.openxmlformats.org/officeDocument/2006/relationships/hyperlink" Target="https://www.google.com/maps/search/?api=1&amp;query=Les%20Fines%20Gueules%20Toulouse" TargetMode="External"/><Relationship Id="rId564" Type="http://schemas.openxmlformats.org/officeDocument/2006/relationships/hyperlink" Target="https://www.google.com/maps/search/?api=1&amp;query=Les%20Folles%20Saisons%20Toulouse" TargetMode="External"/><Relationship Id="rId565" Type="http://schemas.openxmlformats.org/officeDocument/2006/relationships/hyperlink" Target="https://www.google.com/maps/search/?api=1&amp;query=Les%20Fondues%20de%20la%20Daurade%20Toulouse" TargetMode="External"/><Relationship Id="rId566" Type="http://schemas.openxmlformats.org/officeDocument/2006/relationships/hyperlink" Target="https://www.google.com/maps/search/?api=1&amp;query=Les%20Galopins%20Toulouse" TargetMode="External"/><Relationship Id="rId567" Type="http://schemas.openxmlformats.org/officeDocument/2006/relationships/hyperlink" Target="https://www.google.com/maps/search/?api=1&amp;query=Les%20Halles%20d%27Adrien%20Toulouse" TargetMode="External"/><Relationship Id="rId568" Type="http://schemas.openxmlformats.org/officeDocument/2006/relationships/hyperlink" Target="https://www.google.com/maps/search/?api=1&amp;query=Les%20Halles%20de%20la%20Cit&#233;%20Toulouse" TargetMode="External"/><Relationship Id="rId569" Type="http://schemas.openxmlformats.org/officeDocument/2006/relationships/hyperlink" Target="https://www.google.com/maps/search/?api=1&amp;query=Les%20Halles%20de%20la%20Transition%20Toulouse" TargetMode="External"/><Relationship Id="rId570" Type="http://schemas.openxmlformats.org/officeDocument/2006/relationships/hyperlink" Target="https://www.google.com/maps/search/?api=1&amp;query=Les%20Illustres%209%20Toulouse" TargetMode="External"/><Relationship Id="rId571" Type="http://schemas.openxmlformats.org/officeDocument/2006/relationships/hyperlink" Target="https://www.google.com/maps/search/?api=1&amp;query=Les%20Impulsifs%20Toulouse" TargetMode="External"/><Relationship Id="rId572" Type="http://schemas.openxmlformats.org/officeDocument/2006/relationships/hyperlink" Target="https://www.google.com/maps/search/?api=1&amp;query=Les%20Jardins%20d%27Elyssa%20Toulouse" TargetMode="External"/><Relationship Id="rId573" Type="http://schemas.openxmlformats.org/officeDocument/2006/relationships/hyperlink" Target="https://www.google.com/maps/search/?api=1&amp;query=Les%20Jardins%20de%20Candie%20Toulouse" TargetMode="External"/><Relationship Id="rId574" Type="http://schemas.openxmlformats.org/officeDocument/2006/relationships/hyperlink" Target="https://www.google.com/maps/search/?api=1&amp;query=Les%20Jardins%20de%20l%27Olympe%20200%20Route%20de%20Blagnac%20Toulouse" TargetMode="External"/><Relationship Id="rId575" Type="http://schemas.openxmlformats.org/officeDocument/2006/relationships/hyperlink" Target="https://www.google.com/maps/search/?api=1&amp;query=Les%20Jardins%20de%20l%27Op&#233;ra%20Toulouse" TargetMode="External"/><Relationship Id="rId576" Type="http://schemas.openxmlformats.org/officeDocument/2006/relationships/hyperlink" Target="https://www.google.com/maps/search/?api=1&amp;query=Les%20Jardins%20de%20la%20C&#233;pi&#232;re%2030%20Chemin%20des%20Courses%20Toulouse" TargetMode="External"/><Relationship Id="rId577" Type="http://schemas.openxmlformats.org/officeDocument/2006/relationships/hyperlink" Target="https://www.google.com/maps/search/?api=1&amp;query=Les%20Marronniers%20Toulouse" TargetMode="External"/><Relationship Id="rId578" Type="http://schemas.openxmlformats.org/officeDocument/2006/relationships/hyperlink" Target="https://www.google.com/maps/search/?api=1&amp;query=Les%20Mascareignes%20Toulouse" TargetMode="External"/><Relationship Id="rId579" Type="http://schemas.openxmlformats.org/officeDocument/2006/relationships/hyperlink" Target="https://www.google.com/maps/search/?api=1&amp;query=Les%20Munitionnettes%20169%20Avenue%20de%20Grande%20Bretagne%20Toulouse" TargetMode="External"/><Relationship Id="rId580" Type="http://schemas.openxmlformats.org/officeDocument/2006/relationships/hyperlink" Target="https://www.google.com/maps/search/?api=1&amp;query=Les%20Passionn&#233;s%2031B%20All&#233;e%20de%20Brienne%20Toulouse" TargetMode="External"/><Relationship Id="rId581" Type="http://schemas.openxmlformats.org/officeDocument/2006/relationships/hyperlink" Target="https://www.google.com/maps/search/?api=1&amp;query=Les%20petites%20marguerites%2018%20Avenue%20de%20la%20Gloire%20Toulouse" TargetMode="External"/><Relationship Id="rId582" Type="http://schemas.openxmlformats.org/officeDocument/2006/relationships/hyperlink" Target="https://www.google.com/maps/search/?api=1&amp;query=Les%20Petits%20Crus%2017%20Rue%20des%20Couteliers%20Toulouse" TargetMode="External"/><Relationship Id="rId583" Type="http://schemas.openxmlformats.org/officeDocument/2006/relationships/hyperlink" Target="https://www.google.com/maps/search/?api=1&amp;query=Les%20Planeurs%20Toulouse" TargetMode="External"/><Relationship Id="rId584" Type="http://schemas.openxmlformats.org/officeDocument/2006/relationships/hyperlink" Target="https://www.google.com/maps/search/?api=1&amp;query=Les%20Quatre%20Saisons%20Toulouse" TargetMode="External"/><Relationship Id="rId585" Type="http://schemas.openxmlformats.org/officeDocument/2006/relationships/hyperlink" Target="https://www.google.com/maps/search/?api=1&amp;query=Les%20Saveurs%20De%20L%27inde%20Toulouse" TargetMode="External"/><Relationship Id="rId586" Type="http://schemas.openxmlformats.org/officeDocument/2006/relationships/hyperlink" Target="https://www.google.com/maps/search/?api=1&amp;query=Les%20Thermes%20Toulouse" TargetMode="External"/><Relationship Id="rId587" Type="http://schemas.openxmlformats.org/officeDocument/2006/relationships/hyperlink" Target="https://www.google.com/maps/search/?api=1&amp;query=Les%20Thermes%20Kongfu%20Toulouse" TargetMode="External"/><Relationship Id="rId588" Type="http://schemas.openxmlformats.org/officeDocument/2006/relationships/hyperlink" Target="https://www.google.com/maps/search/?api=1&amp;query=Les%20Tilleuls%2034%20Avenue%20du%20Cimeti&#232;re%20Toulouse" TargetMode="External"/><Relationship Id="rId589" Type="http://schemas.openxmlformats.org/officeDocument/2006/relationships/hyperlink" Target="https://www.google.com/maps/search/?api=1&amp;query=Les%20Tontons%20Flingueuses%20Toulouse" TargetMode="External"/><Relationship Id="rId590" Type="http://schemas.openxmlformats.org/officeDocument/2006/relationships/hyperlink" Target="https://www.google.com/maps/search/?api=1&amp;query=Les%20Trois%20Soupes%20Toulouse" TargetMode="External"/><Relationship Id="rId591" Type="http://schemas.openxmlformats.org/officeDocument/2006/relationships/hyperlink" Target="https://www.google.com/maps/search/?api=1&amp;query=Les%20Turres%20Toulouse" TargetMode="External"/><Relationship Id="rId592" Type="http://schemas.openxmlformats.org/officeDocument/2006/relationships/hyperlink" Target="https://www.google.com/maps/search/?api=1&amp;query=Les%20T&#234;tes%20d%27Ail%20Toulouse" TargetMode="External"/><Relationship Id="rId593" Type="http://schemas.openxmlformats.org/officeDocument/2006/relationships/hyperlink" Target="https://www.google.com/maps/search/?api=1&amp;query=Lhasa%20Cafe%20Toulouse" TargetMode="External"/><Relationship Id="rId594" Type="http://schemas.openxmlformats.org/officeDocument/2006/relationships/hyperlink" Target="https://www.google.com/maps/search/?api=1&amp;query=Ligot%20Toulouse" TargetMode="External"/><Relationship Id="rId595" Type="http://schemas.openxmlformats.org/officeDocument/2006/relationships/hyperlink" Target="https://www.google.com/maps/search/?api=1&amp;query=Liquides-resto%20&#224;%20boire%20Toulouse" TargetMode="External"/><Relationship Id="rId596" Type="http://schemas.openxmlformats.org/officeDocument/2006/relationships/hyperlink" Target="https://www.google.com/maps/search/?api=1&amp;query=Little%20New-York%20Toulouse" TargetMode="External"/><Relationship Id="rId597" Type="http://schemas.openxmlformats.org/officeDocument/2006/relationships/hyperlink" Target="https://www.google.com/maps/search/?api=1&amp;query=Llum%207%20Rue%20Saint-L&#233;on%20Toulouse" TargetMode="External"/><Relationship Id="rId598" Type="http://schemas.openxmlformats.org/officeDocument/2006/relationships/hyperlink" Target="https://www.google.com/maps/search/?api=1&amp;query=Lo%20Stivale%2010%20Rue%20des%20Moulins%20Toulouse" TargetMode="External"/><Relationship Id="rId599" Type="http://schemas.openxmlformats.org/officeDocument/2006/relationships/hyperlink" Target="https://www.google.com/maps/search/?api=1&amp;query=Loge%2024%20Toulouse" TargetMode="External"/><Relationship Id="rId600" Type="http://schemas.openxmlformats.org/officeDocument/2006/relationships/hyperlink" Target="https://www.google.com/maps/search/?api=1&amp;query=Long%20Quan%20Toulouse" TargetMode="External"/><Relationship Id="rId601" Type="http://schemas.openxmlformats.org/officeDocument/2006/relationships/hyperlink" Target="https://www.google.com/maps/search/?api=1&amp;query=Lotus%20Toulouse" TargetMode="External"/><Relationship Id="rId602" Type="http://schemas.openxmlformats.org/officeDocument/2006/relationships/hyperlink" Target="https://www.google.com/maps/search/?api=1&amp;query=L&#8217;Assembl&#233;e%20Gourmande%208%20Rue%20Louis%20Courtois%20de%20Vi&#231;ose%20Toulouse" TargetMode="External"/><Relationship Id="rId603" Type="http://schemas.openxmlformats.org/officeDocument/2006/relationships/hyperlink" Target="https://www.google.com/maps/search/?api=1&amp;query=L&#8217;Hippi&#8217;curien%2062%20Chemin%20des%20Courses%20Toulouse" TargetMode="External"/><Relationship Id="rId604" Type="http://schemas.openxmlformats.org/officeDocument/2006/relationships/hyperlink" Target="https://www.google.com/maps/search/?api=1&amp;query=M%20by%20Mo%20Bachir%20Toulouse" TargetMode="External"/><Relationship Id="rId605" Type="http://schemas.openxmlformats.org/officeDocument/2006/relationships/hyperlink" Target="https://www.google.com/maps/search/?api=1&amp;query=M%26S%20Pizzeria%207%20Place%20Commerciale%20de%20Jolimont%20Toulouse" TargetMode="External"/><Relationship Id="rId606" Type="http://schemas.openxmlformats.org/officeDocument/2006/relationships/hyperlink" Target="https://www.google.com/maps/search/?api=1&amp;query=M.%20Georges%20Toulouse" TargetMode="External"/><Relationship Id="rId607" Type="http://schemas.openxmlformats.org/officeDocument/2006/relationships/hyperlink" Target="https://www.google.com/maps/search/?api=1&amp;query=M03%20Restaurant%20Galaxy%20Toulouse" TargetMode="External"/><Relationship Id="rId608" Type="http://schemas.openxmlformats.org/officeDocument/2006/relationships/hyperlink" Target="https://www.google.com/maps/search/?api=1&amp;query=M04%20Beluga%20Toulouse" TargetMode="External"/><Relationship Id="rId609" Type="http://schemas.openxmlformats.org/officeDocument/2006/relationships/hyperlink" Target="https://www.google.com/maps/search/?api=1&amp;query=M21%20Concorde%20Toulouse" TargetMode="External"/><Relationship Id="rId610" Type="http://schemas.openxmlformats.org/officeDocument/2006/relationships/hyperlink" Target="https://www.google.com/maps/search/?api=1&amp;query=Ma%20Biche%20Sur%20Le%20Toit%204%20Rue%20du%20Lieutenant-Colonel%20P&#233;lissier%20Toulouse" TargetMode="External"/><Relationship Id="rId611" Type="http://schemas.openxmlformats.org/officeDocument/2006/relationships/hyperlink" Target="https://www.google.com/maps/search/?api=1&amp;query=Ma-Ma%20Sushi%20Toulouse" TargetMode="External"/><Relationship Id="rId612" Type="http://schemas.openxmlformats.org/officeDocument/2006/relationships/hyperlink" Target="https://www.google.com/maps/search/?api=1&amp;query=Ma-Ma%20Sushi%20Toulouse" TargetMode="External"/><Relationship Id="rId613" Type="http://schemas.openxmlformats.org/officeDocument/2006/relationships/hyperlink" Target="https://www.google.com/maps/search/?api=1&amp;query=Macar&#232;l%20Toulouse" TargetMode="External"/><Relationship Id="rId614" Type="http://schemas.openxmlformats.org/officeDocument/2006/relationships/hyperlink" Target="https://www.google.com/maps/search/?api=1&amp;query=Madame%20Baudruche%20Toulouse" TargetMode="External"/><Relationship Id="rId615" Type="http://schemas.openxmlformats.org/officeDocument/2006/relationships/hyperlink" Target="https://www.google.com/maps/search/?api=1&amp;query=Mado%20Toulouse" TargetMode="External"/><Relationship Id="rId616" Type="http://schemas.openxmlformats.org/officeDocument/2006/relationships/hyperlink" Target="https://www.google.com/maps/search/?api=1&amp;query=Magnum%205%20Rue%20Perchepinte%20Toulouse" TargetMode="External"/><Relationship Id="rId617" Type="http://schemas.openxmlformats.org/officeDocument/2006/relationships/hyperlink" Target="https://www.google.com/maps/search/?api=1&amp;query=Maison%20Chaya%2051%20Rue%20des%20Filatiers%20Toulouse" TargetMode="External"/><Relationship Id="rId618" Type="http://schemas.openxmlformats.org/officeDocument/2006/relationships/hyperlink" Target="https://www.google.com/maps/search/?api=1&amp;query=Maison%20du%20Cassoulet%20Toulouse" TargetMode="External"/><Relationship Id="rId619" Type="http://schemas.openxmlformats.org/officeDocument/2006/relationships/hyperlink" Target="https://www.google.com/maps/search/?api=1&amp;query=Maison%20du%20Curry%20Toulouse" TargetMode="External"/><Relationship Id="rId620" Type="http://schemas.openxmlformats.org/officeDocument/2006/relationships/hyperlink" Target="https://www.google.com/maps/search/?api=1&amp;query=Maison%20Samaran%20Toulouse" TargetMode="External"/><Relationship Id="rId621" Type="http://schemas.openxmlformats.org/officeDocument/2006/relationships/hyperlink" Target="https://www.google.com/maps/search/?api=1&amp;query=Maison%20Sarment%20Toulouse" TargetMode="External"/><Relationship Id="rId622" Type="http://schemas.openxmlformats.org/officeDocument/2006/relationships/hyperlink" Target="https://www.google.com/maps/search/?api=1&amp;query=Make%20Sushi%20Toulouse" TargetMode="External"/><Relationship Id="rId623" Type="http://schemas.openxmlformats.org/officeDocument/2006/relationships/hyperlink" Target="https://www.google.com/maps/search/?api=1&amp;query=Malayu%20Toulouse" TargetMode="External"/><Relationship Id="rId624" Type="http://schemas.openxmlformats.org/officeDocument/2006/relationships/hyperlink" Target="https://www.google.com/maps/search/?api=1&amp;query=Mama%20Giorgia%20Toulouse" TargetMode="External"/><Relationship Id="rId625" Type="http://schemas.openxmlformats.org/officeDocument/2006/relationships/hyperlink" Target="https://www.google.com/maps/search/?api=1&amp;query=Mama%20Shelter%20Toulouse" TargetMode="External"/><Relationship Id="rId626" Type="http://schemas.openxmlformats.org/officeDocument/2006/relationships/hyperlink" Target="https://www.google.com/maps/search/?api=1&amp;query=Mamagayo%20Toulouse" TargetMode="External"/><Relationship Id="rId627" Type="http://schemas.openxmlformats.org/officeDocument/2006/relationships/hyperlink" Target="https://www.google.com/maps/search/?api=1&amp;query=Mami-Wata%2025%20Rue%20H&#233;liot%20Toulouse" TargetMode="External"/><Relationship Id="rId628" Type="http://schemas.openxmlformats.org/officeDocument/2006/relationships/hyperlink" Target="https://www.google.com/maps/search/?api=1&amp;query=Mammouth%20Toulouse" TargetMode="External"/><Relationship Id="rId629" Type="http://schemas.openxmlformats.org/officeDocument/2006/relationships/hyperlink" Target="https://www.google.com/maps/search/?api=1&amp;query=Manara%20Toulouse" TargetMode="External"/><Relationship Id="rId630" Type="http://schemas.openxmlformats.org/officeDocument/2006/relationships/hyperlink" Target="https://www.google.com/maps/search/?api=1&amp;query=Manding%27Art%201%20Rue%20du%20Docteur%20Paul%20Pujos%20Toulouse" TargetMode="External"/><Relationship Id="rId631" Type="http://schemas.openxmlformats.org/officeDocument/2006/relationships/hyperlink" Target="https://www.google.com/maps/search/?api=1&amp;query=Manger%20Autrement%20Toulouse" TargetMode="External"/><Relationship Id="rId632" Type="http://schemas.openxmlformats.org/officeDocument/2006/relationships/hyperlink" Target="https://www.google.com/maps/search/?api=1&amp;query=Mantesino%20Toulouse" TargetMode="External"/><Relationship Id="rId633" Type="http://schemas.openxmlformats.org/officeDocument/2006/relationships/hyperlink" Target="https://www.google.com/maps/search/?api=1&amp;query=Marcello%20Toulouse" TargetMode="External"/><Relationship Id="rId634" Type="http://schemas.openxmlformats.org/officeDocument/2006/relationships/hyperlink" Target="https://www.google.com/maps/search/?api=1&amp;query=Marcello%20Toulouse" TargetMode="External"/><Relationship Id="rId635" Type="http://schemas.openxmlformats.org/officeDocument/2006/relationships/hyperlink" Target="https://www.google.com/maps/search/?api=1&amp;query=Marcello%20Saint-Georges%20Toulouse" TargetMode="External"/><Relationship Id="rId636" Type="http://schemas.openxmlformats.org/officeDocument/2006/relationships/hyperlink" Target="https://www.google.com/maps/search/?api=1&amp;query=Marinade%20%26%20limonade%20Toulouse" TargetMode="External"/><Relationship Id="rId637" Type="http://schemas.openxmlformats.org/officeDocument/2006/relationships/hyperlink" Target="https://www.google.com/maps/search/?api=1&amp;query=Marmites%20des%20&#238;les%20Toulouse" TargetMode="External"/><Relationship Id="rId638" Type="http://schemas.openxmlformats.org/officeDocument/2006/relationships/hyperlink" Target="https://www.google.com/maps/search/?api=1&amp;query=Marrakech%20Toulouse" TargetMode="External"/><Relationship Id="rId639" Type="http://schemas.openxmlformats.org/officeDocument/2006/relationships/hyperlink" Target="https://www.google.com/maps/search/?api=1&amp;query=Matsuya%20Toulouse" TargetMode="External"/><Relationship Id="rId640" Type="http://schemas.openxmlformats.org/officeDocument/2006/relationships/hyperlink" Target="https://www.google.com/maps/search/?api=1&amp;query=Mauna%20Loa%20Toulouse" TargetMode="External"/><Relationship Id="rId641" Type="http://schemas.openxmlformats.org/officeDocument/2006/relationships/hyperlink" Target="https://www.google.com/maps/search/?api=1&amp;query=Maya%20Bay%2036-54%20Route%20de%20Bayonne%20Toulouse" TargetMode="External"/><Relationship Id="rId642" Type="http://schemas.openxmlformats.org/officeDocument/2006/relationships/hyperlink" Target="https://www.google.com/maps/search/?api=1&amp;query=Mayumi%20Toulouse" TargetMode="External"/><Relationship Id="rId643" Type="http://schemas.openxmlformats.org/officeDocument/2006/relationships/hyperlink" Target="https://www.google.com/maps/search/?api=1&amp;query=Mazzolina%20Toulouse" TargetMode="External"/><Relationship Id="rId644" Type="http://schemas.openxmlformats.org/officeDocument/2006/relationships/hyperlink" Target="https://www.google.com/maps/search/?api=1&amp;query=Ma&#238;tre%20Ramen%20Toulouse" TargetMode="External"/><Relationship Id="rId645" Type="http://schemas.openxmlformats.org/officeDocument/2006/relationships/hyperlink" Target="https://www.google.com/maps/search/?api=1&amp;query=Meet%20The%20Meat%20Toulouse" TargetMode="External"/><Relationship Id="rId646" Type="http://schemas.openxmlformats.org/officeDocument/2006/relationships/hyperlink" Target="https://www.google.com/maps/search/?api=1&amp;query=Memphis%20Toulouse" TargetMode="External"/><Relationship Id="rId647" Type="http://schemas.openxmlformats.org/officeDocument/2006/relationships/hyperlink" Target="https://www.google.com/maps/search/?api=1&amp;query=Metrhotel%20Toulouse" TargetMode="External"/><Relationship Id="rId648" Type="http://schemas.openxmlformats.org/officeDocument/2006/relationships/hyperlink" Target="https://www.google.com/maps/search/?api=1&amp;query=Mexcal%206%20Rue%20Saint-Charles%20Toulouse" TargetMode="External"/><Relationship Id="rId649" Type="http://schemas.openxmlformats.org/officeDocument/2006/relationships/hyperlink" Target="https://www.google.com/maps/search/?api=1&amp;query=Miam%20Mian%20Toulouse" TargetMode="External"/><Relationship Id="rId650" Type="http://schemas.openxmlformats.org/officeDocument/2006/relationships/hyperlink" Target="https://www.google.com/maps/search/?api=1&amp;query=Michel%20Sarran%20Toulouse" TargetMode="External"/><Relationship Id="rId651" Type="http://schemas.openxmlformats.org/officeDocument/2006/relationships/hyperlink" Target="https://www.google.com/maps/search/?api=1&amp;query=Midi%20Minuit%20Toulouse" TargetMode="External"/><Relationship Id="rId652" Type="http://schemas.openxmlformats.org/officeDocument/2006/relationships/hyperlink" Target="https://www.google.com/maps/search/?api=1&amp;query=Mille%20et%20une%20P&#226;tes%20Toulouse" TargetMode="External"/><Relationship Id="rId653" Type="http://schemas.openxmlformats.org/officeDocument/2006/relationships/hyperlink" Target="https://www.google.com/maps/search/?api=1&amp;query=Ming%20Ming%20148%20Boulevard%20de%20Suisse%20Toulouse" TargetMode="External"/><Relationship Id="rId654" Type="http://schemas.openxmlformats.org/officeDocument/2006/relationships/hyperlink" Target="https://www.google.com/maps/search/?api=1&amp;query=Minimum%20Toulouse" TargetMode="External"/><Relationship Id="rId655" Type="http://schemas.openxmlformats.org/officeDocument/2006/relationships/hyperlink" Target="https://www.google.com/maps/search/?api=1&amp;query=Ministry%20of%20Crabs%20Toulouse" TargetMode="External"/><Relationship Id="rId656" Type="http://schemas.openxmlformats.org/officeDocument/2006/relationships/hyperlink" Target="https://www.google.com/maps/search/?api=1&amp;query=Miss%20Fish%20Toulouse" TargetMode="External"/><Relationship Id="rId657" Type="http://schemas.openxmlformats.org/officeDocument/2006/relationships/hyperlink" Target="https://www.google.com/maps/search/?api=1&amp;query=Mix%20food%20Toulouse" TargetMode="External"/><Relationship Id="rId658" Type="http://schemas.openxmlformats.org/officeDocument/2006/relationships/hyperlink" Target="https://www.google.com/maps/search/?api=1&amp;query=Miya%20Fondue%20Toulouse" TargetMode="External"/><Relationship Id="rId659" Type="http://schemas.openxmlformats.org/officeDocument/2006/relationships/hyperlink" Target="https://www.google.com/maps/search/?api=1&amp;query=Miyama%20Toulouse" TargetMode="External"/><Relationship Id="rId660" Type="http://schemas.openxmlformats.org/officeDocument/2006/relationships/hyperlink" Target="https://www.google.com/maps/search/?api=1&amp;query=Mizuki%20Ramen%20Toulouse" TargetMode="External"/><Relationship Id="rId661" Type="http://schemas.openxmlformats.org/officeDocument/2006/relationships/hyperlink" Target="https://www.google.com/maps/search/?api=1&amp;query=Mme%20Pompette%2029%20Route%20de%20Blagnac%20Toulouse" TargetMode="External"/><Relationship Id="rId662" Type="http://schemas.openxmlformats.org/officeDocument/2006/relationships/hyperlink" Target="https://www.google.com/maps/search/?api=1&amp;query=Moji%2036-54%20Route%20de%20Bayonne%20Toulouse" TargetMode="External"/><Relationship Id="rId663" Type="http://schemas.openxmlformats.org/officeDocument/2006/relationships/hyperlink" Target="https://www.google.com/maps/search/?api=1&amp;query=Molette%20Toulouse" TargetMode="External"/><Relationship Id="rId664" Type="http://schemas.openxmlformats.org/officeDocument/2006/relationships/hyperlink" Target="https://www.google.com/maps/search/?api=1&amp;query=Momone%202%20Boulevard%20Lascrosses%20Toulouse" TargetMode="External"/><Relationship Id="rId665" Type="http://schemas.openxmlformats.org/officeDocument/2006/relationships/hyperlink" Target="https://www.google.com/maps/search/?api=1&amp;query=Mon%20petit%20plaisir%20gourmet%20Toulouse" TargetMode="External"/><Relationship Id="rId666" Type="http://schemas.openxmlformats.org/officeDocument/2006/relationships/hyperlink" Target="https://www.google.com/maps/search/?api=1&amp;query=Mona%20Pizza%209%20Rue%20Louise%20Weiss%20Toulouse" TargetMode="External"/><Relationship Id="rId667" Type="http://schemas.openxmlformats.org/officeDocument/2006/relationships/hyperlink" Target="https://www.google.com/maps/search/?api=1&amp;query=Muay%20Tha&#239;%20Toulouse" TargetMode="External"/><Relationship Id="rId668" Type="http://schemas.openxmlformats.org/officeDocument/2006/relationships/hyperlink" Target="https://www.google.com/maps/search/?api=1&amp;query=Museau%20Musette%2088%20Boulevard%20Pierre%20Semard%20Toulouse" TargetMode="External"/><Relationship Id="rId669" Type="http://schemas.openxmlformats.org/officeDocument/2006/relationships/hyperlink" Target="https://www.google.com/maps/search/?api=1&amp;query=My%20Kebab%2010%20Avenue%20de%20Muret%20Toulouse" TargetMode="External"/><Relationship Id="rId670" Type="http://schemas.openxmlformats.org/officeDocument/2006/relationships/hyperlink" Target="https://www.google.com/maps/search/?api=1&amp;query=M&#232;re%20Grand%20Toulouse" TargetMode="External"/><Relationship Id="rId671" Type="http://schemas.openxmlformats.org/officeDocument/2006/relationships/hyperlink" Target="https://www.google.com/maps/search/?api=1&amp;query=M&#243;n%20Vi&#7879;t%2040%20Rue%20du%20G&#233;n&#233;ral%20Jean%20Compans%20Toulouse" TargetMode="External"/><Relationship Id="rId672" Type="http://schemas.openxmlformats.org/officeDocument/2006/relationships/hyperlink" Target="https://www.google.com/maps/search/?api=1&amp;query=N88dles%2034%20Rue%20de%20la%20Colombette%20Toulouse" TargetMode="External"/><Relationship Id="rId673" Type="http://schemas.openxmlformats.org/officeDocument/2006/relationships/hyperlink" Target="https://www.google.com/maps/search/?api=1&amp;query=N88dles%20Capitole%206%20Rue%20L&#233;on%20Gambetta%20Toulouse" TargetMode="External"/><Relationship Id="rId674" Type="http://schemas.openxmlformats.org/officeDocument/2006/relationships/hyperlink" Target="https://www.google.com/maps/search/?api=1&amp;query=Nakama%20Gyudon%20Toulouse" TargetMode="External"/><Relationship Id="rId675" Type="http://schemas.openxmlformats.org/officeDocument/2006/relationships/hyperlink" Target="https://www.google.com/maps/search/?api=1&amp;query=Namaste%20Toulouse" TargetMode="External"/><Relationship Id="rId676" Type="http://schemas.openxmlformats.org/officeDocument/2006/relationships/hyperlink" Target="https://www.google.com/maps/search/?api=1&amp;query=Nara&#239;%20Tha&#239;%20Toulouse" TargetMode="External"/><Relationship Id="rId677" Type="http://schemas.openxmlformats.org/officeDocument/2006/relationships/hyperlink" Target="https://www.google.com/maps/search/?api=1&amp;query=Native%20Canteen%20Toulouse" TargetMode="External"/><Relationship Id="rId678" Type="http://schemas.openxmlformats.org/officeDocument/2006/relationships/hyperlink" Target="https://www.google.com/maps/search/?api=1&amp;query=Neo%20Samoura&#239;%20158%20Avenue%20Jean%20Chaubet%20Toulouse" TargetMode="External"/><Relationship Id="rId679" Type="http://schemas.openxmlformats.org/officeDocument/2006/relationships/hyperlink" Target="https://www.google.com/maps/search/?api=1&amp;query=New%20Dehli%20Toulouse" TargetMode="External"/><Relationship Id="rId680" Type="http://schemas.openxmlformats.org/officeDocument/2006/relationships/hyperlink" Target="https://www.google.com/maps/search/?api=1&amp;query=New%20Delhi%20Palace%20Toulouse" TargetMode="External"/><Relationship Id="rId681" Type="http://schemas.openxmlformats.org/officeDocument/2006/relationships/hyperlink" Target="https://www.google.com/maps/search/?api=1&amp;query=Nice%20Time%20Toulouse" TargetMode="External"/><Relationship Id="rId682" Type="http://schemas.openxmlformats.org/officeDocument/2006/relationships/hyperlink" Target="https://www.google.com/maps/search/?api=1&amp;query=Noodles%20Spot%20Toulouse" TargetMode="External"/><Relationship Id="rId683" Type="http://schemas.openxmlformats.org/officeDocument/2006/relationships/hyperlink" Target="https://www.google.com/maps/search/?api=1&amp;query=Noshi%20Sushi%20Toulouse" TargetMode="External"/><Relationship Id="rId684" Type="http://schemas.openxmlformats.org/officeDocument/2006/relationships/hyperlink" Target="https://www.google.com/maps/search/?api=1&amp;query=Noumi%27s%20Grill%20Toulouse" TargetMode="External"/><Relationship Id="rId685" Type="http://schemas.openxmlformats.org/officeDocument/2006/relationships/hyperlink" Target="https://www.google.com/maps/search/?api=1&amp;query=O%27b&#226;oli%20Toulouse" TargetMode="External"/><Relationship Id="rId686" Type="http://schemas.openxmlformats.org/officeDocument/2006/relationships/hyperlink" Target="https://www.google.com/maps/search/?api=1&amp;query=Odom%20Toulouse" TargetMode="External"/><Relationship Id="rId687" Type="http://schemas.openxmlformats.org/officeDocument/2006/relationships/hyperlink" Target="https://www.google.com/maps/search/?api=1&amp;query=Officina%20Gusto%20Toulouse" TargetMode="External"/><Relationship Id="rId688" Type="http://schemas.openxmlformats.org/officeDocument/2006/relationships/hyperlink" Target="https://www.google.com/maps/search/?api=1&amp;query=Oh%20Fada%20Toulouse" TargetMode="External"/><Relationship Id="rId689" Type="http://schemas.openxmlformats.org/officeDocument/2006/relationships/hyperlink" Target="https://www.google.com/maps/search/?api=1&amp;query=Oh%20la%20vache%20%21%20Toulouse" TargetMode="External"/><Relationship Id="rId690" Type="http://schemas.openxmlformats.org/officeDocument/2006/relationships/hyperlink" Target="https://www.google.com/maps/search/?api=1&amp;query=Oishi%20Ramen%20Toulouse" TargetMode="External"/><Relationship Id="rId691" Type="http://schemas.openxmlformats.org/officeDocument/2006/relationships/hyperlink" Target="https://www.google.com/maps/search/?api=1&amp;query=Okaeri%20Toulouse" TargetMode="External"/><Relationship Id="rId692" Type="http://schemas.openxmlformats.org/officeDocument/2006/relationships/hyperlink" Target="https://www.google.com/maps/search/?api=1&amp;query=On%27Nador%20Toulouse" TargetMode="External"/><Relationship Id="rId693" Type="http://schemas.openxmlformats.org/officeDocument/2006/relationships/hyperlink" Target="https://www.google.com/maps/search/?api=1&amp;query=Oppa%20food%20Toulouse" TargetMode="External"/><Relationship Id="rId694" Type="http://schemas.openxmlformats.org/officeDocument/2006/relationships/hyperlink" Target="https://www.google.com/maps/search/?api=1&amp;query=Osaka%20Fusion%20Food%20Toulouse" TargetMode="External"/><Relationship Id="rId695" Type="http://schemas.openxmlformats.org/officeDocument/2006/relationships/hyperlink" Target="https://www.google.com/maps/search/?api=1&amp;query=Osmoz%27%20Toulouse" TargetMode="External"/><Relationship Id="rId696" Type="http://schemas.openxmlformats.org/officeDocument/2006/relationships/hyperlink" Target="https://www.google.com/maps/search/?api=1&amp;query=Otoya%20sushi%20Toulouse" TargetMode="External"/><Relationship Id="rId697" Type="http://schemas.openxmlformats.org/officeDocument/2006/relationships/hyperlink" Target="https://www.google.com/maps/search/?api=1&amp;query=Pachinee%20Tha&#239;%20Street%20Food%20Toulouse" TargetMode="External"/><Relationship Id="rId698" Type="http://schemas.openxmlformats.org/officeDocument/2006/relationships/hyperlink" Target="https://www.google.com/maps/search/?api=1&amp;query=Papi%209%20Rue%20du%20Pont%20Saint-Pierre%20Toulouse" TargetMode="External"/><Relationship Id="rId699" Type="http://schemas.openxmlformats.org/officeDocument/2006/relationships/hyperlink" Target="https://www.google.com/maps/search/?api=1&amp;query=Papilles%20Toulouse" TargetMode="External"/><Relationship Id="rId700" Type="http://schemas.openxmlformats.org/officeDocument/2006/relationships/hyperlink" Target="https://www.google.com/maps/search/?api=1&amp;query=Pastel%20et%20Sarrasin%20Toulouse" TargetMode="External"/><Relationship Id="rId701" Type="http://schemas.openxmlformats.org/officeDocument/2006/relationships/hyperlink" Target="https://www.google.com/maps/search/?api=1&amp;query=Pat%20%26%20Pizz%20Toulouse" TargetMode="External"/><Relationship Id="rId702" Type="http://schemas.openxmlformats.org/officeDocument/2006/relationships/hyperlink" Target="https://www.google.com/maps/search/?api=1&amp;query=Peppino%20170%20Avenue%20Jean%20Rieux%20Toulouse" TargetMode="External"/><Relationship Id="rId703" Type="http://schemas.openxmlformats.org/officeDocument/2006/relationships/hyperlink" Target="https://www.google.com/maps/search/?api=1&amp;query=Pepponita%2065%20All&#233;es%20Charles%20de%20Fitte%20Toulouse" TargetMode="External"/><Relationship Id="rId704" Type="http://schemas.openxmlformats.org/officeDocument/2006/relationships/hyperlink" Target="https://www.google.com/maps/search/?api=1&amp;query=Pho%20Quy&#234;n%20Toulouse" TargetMode="External"/><Relationship Id="rId705" Type="http://schemas.openxmlformats.org/officeDocument/2006/relationships/hyperlink" Target="https://www.google.com/maps/search/?api=1&amp;query=Ph&#7903;%20L&#7897;c%20Ph&#225;t%20Toulouse" TargetMode="External"/><Relationship Id="rId706" Type="http://schemas.openxmlformats.org/officeDocument/2006/relationships/hyperlink" Target="https://www.google.com/maps/search/?api=1&amp;query=Pitaya%203%20Toulouse" TargetMode="External"/><Relationship Id="rId707" Type="http://schemas.openxmlformats.org/officeDocument/2006/relationships/hyperlink" Target="https://www.google.com/maps/search/?api=1&amp;query=Pititto%20Toulouse" TargetMode="External"/><Relationship Id="rId708" Type="http://schemas.openxmlformats.org/officeDocument/2006/relationships/hyperlink" Target="https://www.google.com/maps/search/?api=1&amp;query=Pizz%27Art%20Toulouse" TargetMode="External"/><Relationship Id="rId709" Type="http://schemas.openxmlformats.org/officeDocument/2006/relationships/hyperlink" Target="https://www.google.com/maps/search/?api=1&amp;query=Pizz%40%20Luce%207%20Rue%20des%20Trente-Six%20Ponts%20Toulouse" TargetMode="External"/><Relationship Id="rId710" Type="http://schemas.openxmlformats.org/officeDocument/2006/relationships/hyperlink" Target="https://www.google.com/maps/search/?api=1&amp;query=Pizza%20Arlequin%20Toulouse" TargetMode="External"/><Relationship Id="rId711" Type="http://schemas.openxmlformats.org/officeDocument/2006/relationships/hyperlink" Target="https://www.google.com/maps/search/?api=1&amp;query=Pizza%20di%20Mama%2027%20Boulevard%20Pierre%20et%20Marie%20Curie%20Toulouse" TargetMode="External"/><Relationship Id="rId712" Type="http://schemas.openxmlformats.org/officeDocument/2006/relationships/hyperlink" Target="https://www.google.com/maps/search/?api=1&amp;query=Pizza%20du%20Faubourg%2044%20Rue%20du%20Faubourg%20Bonnefoy%20Toulouse" TargetMode="External"/><Relationship Id="rId713" Type="http://schemas.openxmlformats.org/officeDocument/2006/relationships/hyperlink" Target="https://www.google.com/maps/search/?api=1&amp;query=Pizza%20Hut%20Toulouse" TargetMode="External"/><Relationship Id="rId714" Type="http://schemas.openxmlformats.org/officeDocument/2006/relationships/hyperlink" Target="https://www.google.com/maps/search/?api=1&amp;query=Pizza%20Hut%20Place%20Roquelaine%20Toulouse" TargetMode="External"/><Relationship Id="rId715" Type="http://schemas.openxmlformats.org/officeDocument/2006/relationships/hyperlink" Target="https://www.google.com/maps/search/?api=1&amp;query=Pizza%20Hut%20Toulouse" TargetMode="External"/><Relationship Id="rId716" Type="http://schemas.openxmlformats.org/officeDocument/2006/relationships/hyperlink" Target="https://www.google.com/maps/search/?api=1&amp;query=Pizza%20Luna%20Rossa%20Toulouse" TargetMode="External"/><Relationship Id="rId717" Type="http://schemas.openxmlformats.org/officeDocument/2006/relationships/hyperlink" Target="https://www.google.com/maps/search/?api=1&amp;query=Pizza%20Mongelli%202%20Place%20Auguste-Albert%20Toulouse" TargetMode="External"/><Relationship Id="rId718" Type="http://schemas.openxmlformats.org/officeDocument/2006/relationships/hyperlink" Target="https://www.google.com/maps/search/?api=1&amp;query=Pizza%20Nostra%20Toulouse" TargetMode="External"/><Relationship Id="rId719" Type="http://schemas.openxmlformats.org/officeDocument/2006/relationships/hyperlink" Target="https://www.google.com/maps/search/?api=1&amp;query=Pizza%20Zio%20Toulouse" TargetMode="External"/><Relationship Id="rId720" Type="http://schemas.openxmlformats.org/officeDocument/2006/relationships/hyperlink" Target="https://www.google.com/maps/search/?api=1&amp;query=Pizzaliano%20Toulouse" TargetMode="External"/><Relationship Id="rId721" Type="http://schemas.openxmlformats.org/officeDocument/2006/relationships/hyperlink" Target="https://www.google.com/maps/search/?api=1&amp;query=Pizzas%20&#224;%20emporter%20Toulouse" TargetMode="External"/><Relationship Id="rId722" Type="http://schemas.openxmlformats.org/officeDocument/2006/relationships/hyperlink" Target="https://www.google.com/maps/search/?api=1&amp;query=Pizze%20e%20Basta%20Cosi%2017%20Rue%20Caraman%20Toulouse" TargetMode="External"/><Relationship Id="rId723" Type="http://schemas.openxmlformats.org/officeDocument/2006/relationships/hyperlink" Target="https://www.google.com/maps/search/?api=1&amp;query=Pizzeria%20Bambino%20Toulouse" TargetMode="External"/><Relationship Id="rId724" Type="http://schemas.openxmlformats.org/officeDocument/2006/relationships/hyperlink" Target="https://www.google.com/maps/search/?api=1&amp;query=Pizzeria%20d%27Alexis%20Toulouse" TargetMode="External"/><Relationship Id="rId725" Type="http://schemas.openxmlformats.org/officeDocument/2006/relationships/hyperlink" Target="https://www.google.com/maps/search/?api=1&amp;query=Pizzeria%20Di%20Nando%20Toulouse" TargetMode="External"/><Relationship Id="rId726" Type="http://schemas.openxmlformats.org/officeDocument/2006/relationships/hyperlink" Target="https://www.google.com/maps/search/?api=1&amp;query=Pizz&#233;ria%20Belfort%20Toulouse" TargetMode="External"/><Relationship Id="rId727" Type="http://schemas.openxmlformats.org/officeDocument/2006/relationships/hyperlink" Target="https://www.google.com/maps/search/?api=1&amp;query=PL%20Pizza%20L&#233;o%20Toulouse" TargetMode="External"/><Relationship Id="rId728" Type="http://schemas.openxmlformats.org/officeDocument/2006/relationships/hyperlink" Target="https://www.google.com/maps/search/?api=1&amp;query=Plat%27O%20Gourmand%206%20All&#233;e%20Paul%20Harris%20Toulouse" TargetMode="External"/><Relationship Id="rId729" Type="http://schemas.openxmlformats.org/officeDocument/2006/relationships/hyperlink" Target="https://www.google.com/maps/search/?api=1&amp;query=Poketeria%20Toulouse" TargetMode="External"/><Relationship Id="rId730" Type="http://schemas.openxmlformats.org/officeDocument/2006/relationships/hyperlink" Target="https://www.google.com/maps/search/?api=1&amp;query=Pok&#233;%20Lab%20Toulouse" TargetMode="External"/><Relationship Id="rId731" Type="http://schemas.openxmlformats.org/officeDocument/2006/relationships/hyperlink" Target="https://www.google.com/maps/search/?api=1&amp;query=Potiche%2050%20Avenue%20d%27Italie%20Toulouse" TargetMode="External"/><Relationship Id="rId732" Type="http://schemas.openxmlformats.org/officeDocument/2006/relationships/hyperlink" Target="https://www.google.com/maps/search/?api=1&amp;query=Prima%20bonheur%20Toulouse" TargetMode="External"/><Relationship Id="rId733" Type="http://schemas.openxmlformats.org/officeDocument/2006/relationships/hyperlink" Target="https://www.google.com/maps/search/?api=1&amp;query=Prima%20Circus%20Toulouse" TargetMode="External"/><Relationship Id="rId734" Type="http://schemas.openxmlformats.org/officeDocument/2006/relationships/hyperlink" Target="https://www.google.com/maps/search/?api=1&amp;query=Prima%20Fabbrica%20Toulouse" TargetMode="External"/><Relationship Id="rId735" Type="http://schemas.openxmlformats.org/officeDocument/2006/relationships/hyperlink" Target="https://www.google.com/maps/search/?api=1&amp;query=Prima%20Lova%20Toulouse" TargetMode="External"/><Relationship Id="rId736" Type="http://schemas.openxmlformats.org/officeDocument/2006/relationships/hyperlink" Target="https://www.google.com/maps/search/?api=1&amp;query=Proteine%20Eat%2014%20Rue%20Marie-Louise%20Dissard%20Toulouse" TargetMode="External"/><Relationship Id="rId737" Type="http://schemas.openxmlformats.org/officeDocument/2006/relationships/hyperlink" Target="https://www.google.com/maps/search/?api=1&amp;query=Prot&#233;ine%20Eat%20Toulouse" TargetMode="External"/><Relationship Id="rId738" Type="http://schemas.openxmlformats.org/officeDocument/2006/relationships/hyperlink" Target="https://www.google.com/maps/search/?api=1&amp;query=PY-R%20Toulouse" TargetMode="External"/><Relationship Id="rId739" Type="http://schemas.openxmlformats.org/officeDocument/2006/relationships/hyperlink" Target="https://www.google.com/maps/search/?api=1&amp;query=P&#233;p&#232;re%20Toulouse" TargetMode="External"/><Relationship Id="rId740" Type="http://schemas.openxmlformats.org/officeDocument/2006/relationships/hyperlink" Target="https://www.google.com/maps/search/?api=1&amp;query=Qu&#225;n%20Ph&#7903;%2083%20Toulouse" TargetMode="External"/><Relationship Id="rId741" Type="http://schemas.openxmlformats.org/officeDocument/2006/relationships/hyperlink" Target="https://www.google.com/maps/search/?api=1&amp;query=Rajasthan%20Villa%204%20Rue%20de%20l%27Esquile%20Toulouse" TargetMode="External"/><Relationship Id="rId742" Type="http://schemas.openxmlformats.org/officeDocument/2006/relationships/hyperlink" Target="https://www.google.com/maps/search/?api=1&amp;query=Ramones%20Toulouse" TargetMode="External"/><Relationship Id="rId743" Type="http://schemas.openxmlformats.org/officeDocument/2006/relationships/hyperlink" Target="https://www.google.com/maps/search/?api=1&amp;query=Ravigote%20Toulouse" TargetMode="External"/><Relationship Id="rId744" Type="http://schemas.openxmlformats.org/officeDocument/2006/relationships/hyperlink" Target="https://www.google.com/maps/search/?api=1&amp;query=Redstar%20Pizza%20Toulouse" TargetMode="External"/><Relationship Id="rId745" Type="http://schemas.openxmlformats.org/officeDocument/2006/relationships/hyperlink" Target="https://www.google.com/maps/search/?api=1&amp;query=Reflets%20Toulouse" TargetMode="External"/><Relationship Id="rId746" Type="http://schemas.openxmlformats.org/officeDocument/2006/relationships/hyperlink" Target="https://www.google.com/maps/search/?api=1&amp;query=Restaurant%20Chez%20Nicole%20Toulouse" TargetMode="External"/><Relationship Id="rId747" Type="http://schemas.openxmlformats.org/officeDocument/2006/relationships/hyperlink" Target="https://www.google.com/maps/search/?api=1&amp;query=Restaurant%20CNRS%20Toulouse" TargetMode="External"/><Relationship Id="rId748" Type="http://schemas.openxmlformats.org/officeDocument/2006/relationships/hyperlink" Target="https://www.google.com/maps/search/?api=1&amp;query=Restaurant%20de%20l%27Ayguette%20Chemin%20de%20la%20Fronde%20Toulouse" TargetMode="External"/><Relationship Id="rId749" Type="http://schemas.openxmlformats.org/officeDocument/2006/relationships/hyperlink" Target="https://www.google.com/maps/search/?api=1&amp;query=Restaurant%20L%27H&#233;micycle%20Toulouse" TargetMode="External"/><Relationship Id="rId750" Type="http://schemas.openxmlformats.org/officeDocument/2006/relationships/hyperlink" Target="https://www.google.com/maps/search/?api=1&amp;query=Restaurant%20Loubnane%20Toulouse" TargetMode="External"/><Relationship Id="rId751" Type="http://schemas.openxmlformats.org/officeDocument/2006/relationships/hyperlink" Target="https://www.google.com/maps/search/?api=1&amp;query=Restaurant%20Mordus%2090%20Rue%20Saint-Roch%20Toulouse" TargetMode="External"/><Relationship Id="rId752" Type="http://schemas.openxmlformats.org/officeDocument/2006/relationships/hyperlink" Target="https://www.google.com/maps/search/?api=1&amp;query=Restaurant%20Papillons%2033%20Route%20de%20Bayonne%20Toulouse" TargetMode="External"/><Relationship Id="rId753" Type="http://schemas.openxmlformats.org/officeDocument/2006/relationships/hyperlink" Target="https://www.google.com/maps/search/?api=1&amp;query=Restaurant%20Universitaire%20de%20l%27Arsenal%20Toulouse" TargetMode="External"/><Relationship Id="rId754" Type="http://schemas.openxmlformats.org/officeDocument/2006/relationships/hyperlink" Target="https://www.google.com/maps/search/?api=1&amp;query=Restaurant%20Universitaire%20ENSEEIHT%20Toulouse" TargetMode="External"/><Relationship Id="rId755" Type="http://schemas.openxmlformats.org/officeDocument/2006/relationships/hyperlink" Target="https://www.google.com/maps/search/?api=1&amp;query=Restaurant%20&#201;mile%2013%20Place%20Saint-Georges%20Toulouse" TargetMode="External"/><Relationship Id="rId756" Type="http://schemas.openxmlformats.org/officeDocument/2006/relationships/hyperlink" Target="https://www.google.com/maps/search/?api=1&amp;query=Resto%20U%27%20Envt%2023%20Chemin%20des%20Capelles%20Toulouse" TargetMode="External"/><Relationship Id="rId757" Type="http://schemas.openxmlformats.org/officeDocument/2006/relationships/hyperlink" Target="https://www.google.com/maps/search/?api=1&amp;query=Resto%20U%27%20Insa%20Toulouse" TargetMode="External"/><Relationship Id="rId758" Type="http://schemas.openxmlformats.org/officeDocument/2006/relationships/hyperlink" Target="https://www.google.com/maps/search/?api=1&amp;query=Resto%20U%27%20Le%20Canal%20585%20Cours%20Rosalind%20Franklin%20Toulouse" TargetMode="External"/><Relationship Id="rId759" Type="http://schemas.openxmlformats.org/officeDocument/2006/relationships/hyperlink" Target="https://www.google.com/maps/search/?api=1&amp;query=Resto%20U%27%20Le%20Th&#233;or&#232;me%20Toulouse" TargetMode="External"/><Relationship Id="rId760" Type="http://schemas.openxmlformats.org/officeDocument/2006/relationships/hyperlink" Target="https://www.google.com/maps/search/?api=1&amp;query=Resto%20U%27%20M&#233;decine%20Toulouse" TargetMode="External"/><Relationship Id="rId761" Type="http://schemas.openxmlformats.org/officeDocument/2006/relationships/hyperlink" Target="https://www.google.com/maps/search/?api=1&amp;query=Riviera%20Tolosa%2012%20Place%20de%20la%20Daurade%20Toulouse" TargetMode="External"/><Relationship Id="rId762" Type="http://schemas.openxmlformats.org/officeDocument/2006/relationships/hyperlink" Target="https://www.google.com/maps/search/?api=1&amp;query=Roll%20%26%20Bowl%20Toulouse" TargetMode="External"/><Relationship Id="rId763" Type="http://schemas.openxmlformats.org/officeDocument/2006/relationships/hyperlink" Target="https://www.google.com/maps/search/?api=1&amp;query=Royal%20Buffet%202%20Avenue%20d%27Atlanta%20Toulouse" TargetMode="External"/><Relationship Id="rId764" Type="http://schemas.openxmlformats.org/officeDocument/2006/relationships/hyperlink" Target="https://www.google.com/maps/search/?api=1&amp;query=Royal%20Buffet%20312%20Avenue%20des%20&#201;tats-Unis%20Toulouse" TargetMode="External"/><Relationship Id="rId765" Type="http://schemas.openxmlformats.org/officeDocument/2006/relationships/hyperlink" Target="https://www.google.com/maps/search/?api=1&amp;query=Royal%20Buffet%20281%20Route%20d%27Espagne%20Toulouse" TargetMode="External"/><Relationship Id="rId766" Type="http://schemas.openxmlformats.org/officeDocument/2006/relationships/hyperlink" Target="https://www.google.com/maps/search/?api=1&amp;query=Rue%20de%20Vietnam%2015%20Avenue%20de%20la%20Gloire%20Toulouse" TargetMode="External"/><Relationship Id="rId767" Type="http://schemas.openxmlformats.org/officeDocument/2006/relationships/hyperlink" Target="https://www.google.com/maps/search/?api=1&amp;query=Sagu&#233;%20Toulouse" TargetMode="External"/><Relationship Id="rId768" Type="http://schemas.openxmlformats.org/officeDocument/2006/relationships/hyperlink" Target="https://www.google.com/maps/search/?api=1&amp;query=Saignant%20Toulouse" TargetMode="External"/><Relationship Id="rId769" Type="http://schemas.openxmlformats.org/officeDocument/2006/relationships/hyperlink" Target="https://www.google.com/maps/search/?api=1&amp;query=SAJ%20%26%20Co.%20Toulouse" TargetMode="External"/><Relationship Id="rId770" Type="http://schemas.openxmlformats.org/officeDocument/2006/relationships/hyperlink" Target="https://www.google.com/maps/search/?api=1&amp;query=Sakuraya%20Toulouse" TargetMode="External"/><Relationship Id="rId771" Type="http://schemas.openxmlformats.org/officeDocument/2006/relationships/hyperlink" Target="https://www.google.com/maps/search/?api=1&amp;query=Santosha%20Toulouse" TargetMode="External"/><Relationship Id="rId772" Type="http://schemas.openxmlformats.org/officeDocument/2006/relationships/hyperlink" Target="https://www.google.com/maps/search/?api=1&amp;query=Sapiens%2055%20Avenue%20Louis%20Breguet%20Toulouse" TargetMode="External"/><Relationship Id="rId773" Type="http://schemas.openxmlformats.org/officeDocument/2006/relationships/hyperlink" Target="https://www.google.com/maps/search/?api=1&amp;query=Sapori%20di%20italia%20Toulouse" TargetMode="External"/><Relationship Id="rId774" Type="http://schemas.openxmlformats.org/officeDocument/2006/relationships/hyperlink" Target="https://www.google.com/maps/search/?api=1&amp;query=Sarbacane%20Toulouse" TargetMode="External"/><Relationship Id="rId775" Type="http://schemas.openxmlformats.org/officeDocument/2006/relationships/hyperlink" Target="https://www.google.com/maps/search/?api=1&amp;query=Sashimi%20Food%20Toulouse" TargetMode="External"/><Relationship Id="rId776" Type="http://schemas.openxmlformats.org/officeDocument/2006/relationships/hyperlink" Target="https://www.google.com/maps/search/?api=1&amp;query=Saveur%20d%27Asie%20Express%204%20Rue%20de%20la%20R&#233;publique%20Toulouse" TargetMode="External"/><Relationship Id="rId777" Type="http://schemas.openxmlformats.org/officeDocument/2006/relationships/hyperlink" Target="https://www.google.com/maps/search/?api=1&amp;query=Saveurs%20Basilic%20Toulouse" TargetMode="External"/><Relationship Id="rId778" Type="http://schemas.openxmlformats.org/officeDocument/2006/relationships/hyperlink" Target="https://www.google.com/maps/search/?api=1&amp;query=Saveurs%20de%20l%27Everest%20Toulouse" TargetMode="External"/><Relationship Id="rId779" Type="http://schemas.openxmlformats.org/officeDocument/2006/relationships/hyperlink" Target="https://www.google.com/maps/search/?api=1&amp;query=Saveurs%20du%20M&#233;kong%20Toulouse" TargetMode="External"/><Relationship Id="rId780" Type="http://schemas.openxmlformats.org/officeDocument/2006/relationships/hyperlink" Target="https://www.google.com/maps/search/?api=1&amp;query=Sept%20Toulouse" TargetMode="External"/><Relationship Id="rId781" Type="http://schemas.openxmlformats.org/officeDocument/2006/relationships/hyperlink" Target="https://www.google.com/maps/search/?api=1&amp;query=Seven%20Bistro%20334%20Avenue%20de%20Grande%20Bretagne%20Toulouse" TargetMode="External"/><Relationship Id="rId782" Type="http://schemas.openxmlformats.org/officeDocument/2006/relationships/hyperlink" Target="https://www.google.com/maps/search/?api=1&amp;query=Shalizar%20100%20Rue%20Achille%20Viadieu%20Toulouse" TargetMode="External"/><Relationship Id="rId783" Type="http://schemas.openxmlformats.org/officeDocument/2006/relationships/hyperlink" Target="https://www.google.com/maps/search/?api=1&amp;query=Sham%20Toulouse" TargetMode="External"/><Relationship Id="rId784" Type="http://schemas.openxmlformats.org/officeDocument/2006/relationships/hyperlink" Target="https://www.google.com/maps/search/?api=1&amp;query=shin%20ya%20ramen%20Toulouse" TargetMode="External"/><Relationship Id="rId785" Type="http://schemas.openxmlformats.org/officeDocument/2006/relationships/hyperlink" Target="https://www.google.com/maps/search/?api=1&amp;query=Shin-Ya%20Ramen%2068%20Rue%20Lancefoc%20Toulouse" TargetMode="External"/><Relationship Id="rId786" Type="http://schemas.openxmlformats.org/officeDocument/2006/relationships/hyperlink" Target="https://www.google.com/maps/search/?api=1&amp;query=Si%20ma%20cantine%20m%27&#233;tait%20cont&#233;e%202%20Chemin%20des%20Izards%20Toulouse" TargetMode="External"/><Relationship Id="rId787" Type="http://schemas.openxmlformats.org/officeDocument/2006/relationships/hyperlink" Target="https://www.google.com/maps/search/?api=1&amp;query=Signorizza%202%20Avenue%20Hermes%20Toulouse" TargetMode="External"/><Relationship Id="rId788" Type="http://schemas.openxmlformats.org/officeDocument/2006/relationships/hyperlink" Target="https://www.google.com/maps/search/?api=1&amp;query=Silex%20%26%20Fourchette%20Toulouse" TargetMode="External"/><Relationship Id="rId789" Type="http://schemas.openxmlformats.org/officeDocument/2006/relationships/hyperlink" Target="https://www.google.com/maps/search/?api=1&amp;query=Sixta%20Toulouse" TargetMode="External"/><Relationship Id="rId790" Type="http://schemas.openxmlformats.org/officeDocument/2006/relationships/hyperlink" Target="https://www.google.com/maps/search/?api=1&amp;query=Sixty%20Two%20Toulouse" TargetMode="External"/><Relationship Id="rId791" Type="http://schemas.openxmlformats.org/officeDocument/2006/relationships/hyperlink" Target="https://www.google.com/maps/search/?api=1&amp;query=So%20Delice%20Toulouse" TargetMode="External"/><Relationship Id="rId792" Type="http://schemas.openxmlformats.org/officeDocument/2006/relationships/hyperlink" Target="https://www.google.com/maps/search/?api=1&amp;query=So%27Salad%20Toulouse" TargetMode="External"/><Relationship Id="rId793" Type="http://schemas.openxmlformats.org/officeDocument/2006/relationships/hyperlink" Target="https://www.google.com/maps/search/?api=1&amp;query=Sodexo%20105%20Avenue%20du%20G&#233;n&#233;ral%20Eisenhower%20Toulouse" TargetMode="External"/><Relationship Id="rId794" Type="http://schemas.openxmlformats.org/officeDocument/2006/relationships/hyperlink" Target="https://www.google.com/maps/search/?api=1&amp;query=Soleil%20d%27Istanbul%20Toulouse" TargetMode="External"/><Relationship Id="rId795" Type="http://schemas.openxmlformats.org/officeDocument/2006/relationships/hyperlink" Target="https://www.google.com/maps/search/?api=1&amp;query=Solides%20Toulouse" TargetMode="External"/><Relationship Id="rId796" Type="http://schemas.openxmlformats.org/officeDocument/2006/relationships/hyperlink" Target="https://www.google.com/maps/search/?api=1&amp;query=Solyles%201%20Place%20Pierre%20Mendes%20France%20Toulouse" TargetMode="External"/><Relationship Id="rId797" Type="http://schemas.openxmlformats.org/officeDocument/2006/relationships/hyperlink" Target="https://www.google.com/maps/search/?api=1&amp;query=Sorami%20Burger%20Toulouse" TargetMode="External"/><Relationship Id="rId798" Type="http://schemas.openxmlformats.org/officeDocument/2006/relationships/hyperlink" Target="https://www.google.com/maps/search/?api=1&amp;query=Soul%20Kitchen%2059%20Avenue%20Maurice%20Bourg&#232;s-Maunoury%20Toulouse" TargetMode="External"/><Relationship Id="rId799" Type="http://schemas.openxmlformats.org/officeDocument/2006/relationships/hyperlink" Target="https://www.google.com/maps/search/?api=1&amp;query=Source%2064%20Avenue%20Antoine%20de%20Saint-Exup&#233;ry%20Toulouse" TargetMode="External"/><Relationship Id="rId800" Type="http://schemas.openxmlformats.org/officeDocument/2006/relationships/hyperlink" Target="https://www.google.com/maps/search/?api=1&amp;query=Spicchizzi%20Toulouse" TargetMode="External"/><Relationship Id="rId801" Type="http://schemas.openxmlformats.org/officeDocument/2006/relationships/hyperlink" Target="https://www.google.com/maps/search/?api=1&amp;query=Spice%20Palatte%20Toulouse" TargetMode="External"/><Relationship Id="rId802" Type="http://schemas.openxmlformats.org/officeDocument/2006/relationships/hyperlink" Target="https://www.google.com/maps/search/?api=1&amp;query=Spritzza%20Toulouse" TargetMode="External"/><Relationship Id="rId803" Type="http://schemas.openxmlformats.org/officeDocument/2006/relationships/hyperlink" Target="https://www.google.com/maps/search/?api=1&amp;query=Standard%20Toulouse" TargetMode="External"/><Relationship Id="rId804" Type="http://schemas.openxmlformats.org/officeDocument/2006/relationships/hyperlink" Target="https://www.google.com/maps/search/?api=1&amp;query=Supernova%2010%20Bertrand%20de%20Born%20Toulouse" TargetMode="External"/><Relationship Id="rId805" Type="http://schemas.openxmlformats.org/officeDocument/2006/relationships/hyperlink" Target="https://www.google.com/maps/search/?api=1&amp;query=Susanoo%204%20Rue%20Charles%20de%20R&#233;musat%20Toulouse" TargetMode="External"/><Relationship Id="rId806" Type="http://schemas.openxmlformats.org/officeDocument/2006/relationships/hyperlink" Target="https://www.google.com/maps/search/?api=1&amp;query=Sushi%20Avenue%20Toulouse" TargetMode="External"/><Relationship Id="rId807" Type="http://schemas.openxmlformats.org/officeDocument/2006/relationships/hyperlink" Target="https://www.google.com/maps/search/?api=1&amp;query=Sushi%20Kare%20House%2015%20Avenue%20de%20la%20Gloire%20Toulouse" TargetMode="External"/><Relationship Id="rId808" Type="http://schemas.openxmlformats.org/officeDocument/2006/relationships/hyperlink" Target="https://www.google.com/maps/search/?api=1&amp;query=Sushi%20Kinjo%20Toulouse" TargetMode="External"/><Relationship Id="rId809" Type="http://schemas.openxmlformats.org/officeDocument/2006/relationships/hyperlink" Target="https://www.google.com/maps/search/?api=1&amp;query=Sushi%20N%20Wok%20Toulouse" TargetMode="External"/><Relationship Id="rId810" Type="http://schemas.openxmlformats.org/officeDocument/2006/relationships/hyperlink" Target="https://www.google.com/maps/search/?api=1&amp;query=SushiYaki%20Toulouse" TargetMode="External"/><Relationship Id="rId811" Type="http://schemas.openxmlformats.org/officeDocument/2006/relationships/hyperlink" Target="https://www.google.com/maps/search/?api=1&amp;query=S%20com%20Saj%20Toulouse" TargetMode="External"/><Relationship Id="rId812" Type="http://schemas.openxmlformats.org/officeDocument/2006/relationships/hyperlink" Target="https://www.google.com/maps/search/?api=1&amp;query=S&#233;oul%20Toulouse" TargetMode="External"/><Relationship Id="rId813" Type="http://schemas.openxmlformats.org/officeDocument/2006/relationships/hyperlink" Target="https://www.google.com/maps/search/?api=1&amp;query=Tante%20Margit%20Toulouse" TargetMode="External"/><Relationship Id="rId814" Type="http://schemas.openxmlformats.org/officeDocument/2006/relationships/hyperlink" Target="https://www.google.com/maps/search/?api=1&amp;query=Temp&#234;te%20Toulouse" TargetMode="External"/><Relationship Id="rId815" Type="http://schemas.openxmlformats.org/officeDocument/2006/relationships/hyperlink" Target="https://www.google.com/maps/search/?api=1&amp;query=Terra%20Tolosa%202%20Rue%20Tolosane%20Toulouse" TargetMode="External"/><Relationship Id="rId816" Type="http://schemas.openxmlformats.org/officeDocument/2006/relationships/hyperlink" Target="https://www.google.com/maps/search/?api=1&amp;query=Thai-Thai%20Sushi%20Toulouse" TargetMode="External"/><Relationship Id="rId817" Type="http://schemas.openxmlformats.org/officeDocument/2006/relationships/hyperlink" Target="https://www.google.com/maps/search/?api=1&amp;query=Tha&#239;%20Food%20Toulouse" TargetMode="External"/><Relationship Id="rId818" Type="http://schemas.openxmlformats.org/officeDocument/2006/relationships/hyperlink" Target="https://www.google.com/maps/search/?api=1&amp;query=The%20Fusion%20bar%20Toulouse" TargetMode="External"/><Relationship Id="rId819" Type="http://schemas.openxmlformats.org/officeDocument/2006/relationships/hyperlink" Target="https://www.google.com/maps/search/?api=1&amp;query=The%20Green%20Tiger%20Toulouse" TargetMode="External"/><Relationship Id="rId820" Type="http://schemas.openxmlformats.org/officeDocument/2006/relationships/hyperlink" Target="https://www.google.com/maps/search/?api=1&amp;query=The%20Kanteen%20Restaurant%20Toulouse" TargetMode="External"/><Relationship Id="rId821" Type="http://schemas.openxmlformats.org/officeDocument/2006/relationships/hyperlink" Target="https://www.google.com/maps/search/?api=1&amp;query=The%20Roof%20Toulouse" TargetMode="External"/><Relationship Id="rId822" Type="http://schemas.openxmlformats.org/officeDocument/2006/relationships/hyperlink" Target="https://www.google.com/maps/search/?api=1&amp;query=Tinos%20Pizza%2027%20Rue%20de%20la%20R&#233;publique%20Toulouse" TargetMode="External"/><Relationship Id="rId823" Type="http://schemas.openxmlformats.org/officeDocument/2006/relationships/hyperlink" Target="https://www.google.com/maps/search/?api=1&amp;query=Tokyo%20Bento%20Toulouse" TargetMode="External"/><Relationship Id="rId824" Type="http://schemas.openxmlformats.org/officeDocument/2006/relationships/hyperlink" Target="https://www.google.com/maps/search/?api=1&amp;query=Tolosa%20Cooking%20109%20Avenue%20du%20G&#233;n&#233;ral%20Eisenhower%20Toulouse" TargetMode="External"/><Relationship Id="rId825" Type="http://schemas.openxmlformats.org/officeDocument/2006/relationships/hyperlink" Target="https://www.google.com/maps/search/?api=1&amp;query=Tommy%27s%20City%20Diner%20Toulouse" TargetMode="External"/><Relationship Id="rId826" Type="http://schemas.openxmlformats.org/officeDocument/2006/relationships/hyperlink" Target="https://www.google.com/maps/search/?api=1&amp;query=Toroya%20Toulouse" TargetMode="External"/><Relationship Id="rId827" Type="http://schemas.openxmlformats.org/officeDocument/2006/relationships/hyperlink" Target="https://www.google.com/maps/search/?api=1&amp;query=Toulouse%20Pasta%20Club%20Toulouse" TargetMode="External"/><Relationship Id="rId828" Type="http://schemas.openxmlformats.org/officeDocument/2006/relationships/hyperlink" Target="https://www.google.com/maps/search/?api=1&amp;query=Tourneflam%20Toulouse" TargetMode="External"/><Relationship Id="rId829" Type="http://schemas.openxmlformats.org/officeDocument/2006/relationships/hyperlink" Target="https://www.google.com/maps/search/?api=1&amp;query=Troika%20Royale%20Toulouse" TargetMode="External"/><Relationship Id="rId830" Type="http://schemas.openxmlformats.org/officeDocument/2006/relationships/hyperlink" Target="https://www.google.com/maps/search/?api=1&amp;query=Trois%20S&#339;urs%20L&#224;%20Suite%20Toulouse" TargetMode="External"/><Relationship Id="rId831" Type="http://schemas.openxmlformats.org/officeDocument/2006/relationships/hyperlink" Target="https://www.google.com/maps/search/?api=1&amp;query=Tsing%20Tao%20&#206;le%20Verte%20Toulouse" TargetMode="External"/><Relationship Id="rId832" Type="http://schemas.openxmlformats.org/officeDocument/2006/relationships/hyperlink" Target="https://www.google.com/maps/search/?api=1&amp;query=Turbine%20Bazacle%20Toulouse" TargetMode="External"/><Relationship Id="rId833" Type="http://schemas.openxmlformats.org/officeDocument/2006/relationships/hyperlink" Target="https://www.google.com/maps/search/?api=1&amp;query=T&#234;te%20en%20l&#8217;air%20Toulouse" TargetMode="External"/><Relationship Id="rId834" Type="http://schemas.openxmlformats.org/officeDocument/2006/relationships/hyperlink" Target="https://www.google.com/maps/search/?api=1&amp;query=T&#244;t%20ou%20tard%20-%20De%20la%20mer%20Toulouse" TargetMode="External"/><Relationship Id="rId835" Type="http://schemas.openxmlformats.org/officeDocument/2006/relationships/hyperlink" Target="https://www.google.com/maps/search/?api=1&amp;query=Une%20Table%20&#224;%20Deux%2010%20Rue%20de%20la%20Pleau%20Toulouse" TargetMode="External"/><Relationship Id="rId836" Type="http://schemas.openxmlformats.org/officeDocument/2006/relationships/hyperlink" Target="https://www.google.com/maps/search/?api=1&amp;query=Unica%20Toulouse" TargetMode="External"/><Relationship Id="rId837" Type="http://schemas.openxmlformats.org/officeDocument/2006/relationships/hyperlink" Target="https://www.google.com/maps/search/?api=1&amp;query=Upsidum%20655%20Cours%20des%20Sciences%20Toulouse" TargetMode="External"/><Relationship Id="rId838" Type="http://schemas.openxmlformats.org/officeDocument/2006/relationships/hyperlink" Target="https://www.google.com/maps/search/?api=1&amp;query=Va%20Fanciullo%20%21%2045%20Rue%20Gabriel%20P&#233;ri%20Toulouse" TargetMode="External"/><Relationship Id="rId839" Type="http://schemas.openxmlformats.org/officeDocument/2006/relationships/hyperlink" Target="https://www.google.com/maps/search/?api=1&amp;query=Valentina%20Toulouse" TargetMode="External"/><Relationship Id="rId840" Type="http://schemas.openxmlformats.org/officeDocument/2006/relationships/hyperlink" Target="https://www.google.com/maps/search/?api=1&amp;query=Valentino%20Toulouse" TargetMode="External"/><Relationship Id="rId841" Type="http://schemas.openxmlformats.org/officeDocument/2006/relationships/hyperlink" Target="https://www.google.com/maps/search/?api=1&amp;query=Van%20L&#244;c%20Toulouse" TargetMode="External"/><Relationship Id="rId842" Type="http://schemas.openxmlformats.org/officeDocument/2006/relationships/hyperlink" Target="https://www.google.com/maps/search/?api=1&amp;query=Vasinic&#242;%209%20Rue%20Marius%20Terc&#233;%20Toulouse" TargetMode="External"/><Relationship Id="rId843" Type="http://schemas.openxmlformats.org/officeDocument/2006/relationships/hyperlink" Target="https://www.google.com/maps/search/?api=1&amp;query=Vaudeville%202%20Toulouse" TargetMode="External"/><Relationship Id="rId844" Type="http://schemas.openxmlformats.org/officeDocument/2006/relationships/hyperlink" Target="https://www.google.com/maps/search/?api=1&amp;query=Vents%20d%27Est%20Toulouse" TargetMode="External"/><Relationship Id="rId845" Type="http://schemas.openxmlformats.org/officeDocument/2006/relationships/hyperlink" Target="https://www.google.com/maps/search/?api=1&amp;query=Vesubio%20Toulouse" TargetMode="External"/><Relationship Id="rId846" Type="http://schemas.openxmlformats.org/officeDocument/2006/relationships/hyperlink" Target="https://www.google.com/maps/search/?api=1&amp;query=Viet-An%2017%20Impasse%20Didier%20Daurat%20Toulouse" TargetMode="External"/><Relationship Id="rId847" Type="http://schemas.openxmlformats.org/officeDocument/2006/relationships/hyperlink" Target="https://www.google.com/maps/search/?api=1&amp;query=Vietnam%20delices%2050%20Avenue%20de%20Lardenne%20Toulouse" TargetMode="External"/><Relationship Id="rId848" Type="http://schemas.openxmlformats.org/officeDocument/2006/relationships/hyperlink" Target="https://www.google.com/maps/search/?api=1&amp;query=Viko%20House%2071%20Rue%20de%20la%20Pomme%20Toulouse" TargetMode="External"/><Relationship Id="rId849" Type="http://schemas.openxmlformats.org/officeDocument/2006/relationships/hyperlink" Target="https://www.google.com/maps/search/?api=1&amp;query=Vitano%20Pizzeria%20254%20Avenue%20de%20Muret%20Toulouse" TargetMode="External"/><Relationship Id="rId850" Type="http://schemas.openxmlformats.org/officeDocument/2006/relationships/hyperlink" Target="https://www.google.com/maps/search/?api=1&amp;query=Vivants%20Toulouse" TargetMode="External"/><Relationship Id="rId851" Type="http://schemas.openxmlformats.org/officeDocument/2006/relationships/hyperlink" Target="https://www.google.com/maps/search/?api=1&amp;query=Voila%20by%20Mo%20Bachir%2012%20Rue%20Perchepinte%20Toulouse" TargetMode="External"/><Relationship Id="rId852" Type="http://schemas.openxmlformats.org/officeDocument/2006/relationships/hyperlink" Target="https://www.google.com/maps/search/?api=1&amp;query=Volfoni%20Toulouse" TargetMode="External"/><Relationship Id="rId853" Type="http://schemas.openxmlformats.org/officeDocument/2006/relationships/hyperlink" Target="https://www.google.com/maps/search/?api=1&amp;query=Wagyuya%20Toulouse" TargetMode="External"/><Relationship Id="rId854" Type="http://schemas.openxmlformats.org/officeDocument/2006/relationships/hyperlink" Target="https://www.google.com/maps/search/?api=1&amp;query=Wok%20%26%20Pok&#233;%20Toulouse" TargetMode="External"/><Relationship Id="rId855" Type="http://schemas.openxmlformats.org/officeDocument/2006/relationships/hyperlink" Target="https://www.google.com/maps/search/?api=1&amp;query=Wo&#233;zon%2038%20Avenue%20L&#233;on%20Blum%20Toulouse" TargetMode="External"/><Relationship Id="rId856" Type="http://schemas.openxmlformats.org/officeDocument/2006/relationships/hyperlink" Target="https://www.google.com/maps/search/?api=1&amp;query=Yaba%2018%20Place%20des%20Pradettes%20Toulouse" TargetMode="External"/><Relationship Id="rId857" Type="http://schemas.openxmlformats.org/officeDocument/2006/relationships/hyperlink" Target="https://www.google.com/maps/search/?api=1&amp;query=Yankee%20Grill%20Toulouse" TargetMode="External"/><Relationship Id="rId858" Type="http://schemas.openxmlformats.org/officeDocument/2006/relationships/hyperlink" Target="https://www.google.com/maps/search/?api=1&amp;query=Yaz%20cantine%20Toulouse" TargetMode="External"/><Relationship Id="rId859" Type="http://schemas.openxmlformats.org/officeDocument/2006/relationships/hyperlink" Target="https://www.google.com/maps/search/?api=1&amp;query=Yeti%20Toulouse" TargetMode="External"/><Relationship Id="rId860" Type="http://schemas.openxmlformats.org/officeDocument/2006/relationships/hyperlink" Target="https://www.google.com/maps/search/?api=1&amp;query=Yoko%20Sushi%20Toulouse" TargetMode="External"/><Relationship Id="rId861" Type="http://schemas.openxmlformats.org/officeDocument/2006/relationships/hyperlink" Target="https://www.google.com/maps/search/?api=1&amp;query=YokoSushi%20Toulouse" TargetMode="External"/><Relationship Id="rId862" Type="http://schemas.openxmlformats.org/officeDocument/2006/relationships/hyperlink" Target="https://www.google.com/maps/search/?api=1&amp;query=Yoshi%20Toulouse" TargetMode="External"/><Relationship Id="rId863" Type="http://schemas.openxmlformats.org/officeDocument/2006/relationships/hyperlink" Target="https://www.google.com/maps/search/?api=1&amp;query=Youco%20Toulouse" TargetMode="External"/><Relationship Id="rId864" Type="http://schemas.openxmlformats.org/officeDocument/2006/relationships/hyperlink" Target="https://www.google.com/maps/search/?api=1&amp;query=Ytaing%20-%20fast%20food%20-%20sp&#233;cialit&#233;s%20asiatiques%2014%20Avenue%20&#201;tienne%20Billi&#232;res%20Toulouse" TargetMode="External"/><Relationship Id="rId865" Type="http://schemas.openxmlformats.org/officeDocument/2006/relationships/hyperlink" Target="https://www.google.com/maps/search/?api=1&amp;query=Yujo%20Ramen%20Saint-Cyprien%20Toulouse" TargetMode="External"/><Relationship Id="rId866" Type="http://schemas.openxmlformats.org/officeDocument/2006/relationships/hyperlink" Target="https://www.google.com/maps/search/?api=1&amp;query=Yukiko%20Toulouse" TargetMode="External"/><Relationship Id="rId867" Type="http://schemas.openxmlformats.org/officeDocument/2006/relationships/hyperlink" Target="https://www.google.com/maps/search/?api=1&amp;query=Y&#363;j&#333;%20Ramen%20Toulouse" TargetMode="External"/><Relationship Id="rId868" Type="http://schemas.openxmlformats.org/officeDocument/2006/relationships/hyperlink" Target="https://www.google.com/maps/search/?api=1&amp;query=Zen-Sa&#239;%20Toulouse" TargetMode="External"/><Relationship Id="rId869" Type="http://schemas.openxmlformats.org/officeDocument/2006/relationships/hyperlink" Target="https://www.google.com/maps/search/?api=1&amp;query=Zenasia%20Toulouse" TargetMode="External"/><Relationship Id="rId870" Type="http://schemas.openxmlformats.org/officeDocument/2006/relationships/hyperlink" Target="https://www.google.com/maps/search/?api=1&amp;query=Zokwezo%20Toulouse" TargetMode="External"/><Relationship Id="rId871" Type="http://schemas.openxmlformats.org/officeDocument/2006/relationships/hyperlink" Target="https://www.google.com/maps/search/?api=1&amp;query=Zorkot%20Toulouse" TargetMode="External"/><Relationship Id="rId872" Type="http://schemas.openxmlformats.org/officeDocument/2006/relationships/hyperlink" Target="https://www.google.com/maps/search/?api=1&amp;query=&#201;lie%20Cara&#239;bes%20Toulouse" TargetMode="External"/><Relationship Id="rId873" Type="http://schemas.openxmlformats.org/officeDocument/2006/relationships/hyperlink" Target="https://www.google.com/maps/search/?api=1&amp;query=&#201;picerie%20Musicale%20Toulouse" TargetMode="External"/><Relationship Id="rId874" Type="http://schemas.openxmlformats.org/officeDocument/2006/relationships/hyperlink" Target="https://www.google.com/maps/search/?api=1&amp;query=&#201;toile%20d%27orient%20-%20&#201;picerie%20orientale%2C%20patisserie%2C%20salon%20de%20th&#233;%20%26%20restauration%20149%20Grande%20Rue%20Saint-Michel%20Toulouse" TargetMode="External"/><Relationship Id="rId875" Type="http://schemas.openxmlformats.org/officeDocument/2006/relationships/hyperlink" Target="https://www.google.com/maps/search/?api=1&amp;query=&#212;%20Bali%20Toulouse" TargetMode="External"/><Relationship Id="rId876" Type="http://schemas.openxmlformats.org/officeDocument/2006/relationships/hyperlink" Target="https://www.google.com/maps/search/?api=1&amp;query=&#212;%20Bro%27chette%20397%20Route%20de%20Saint-Simon%20Toulouse" TargetMode="External"/><Relationship Id="rId877" Type="http://schemas.openxmlformats.org/officeDocument/2006/relationships/hyperlink" Target="https://www.google.com/maps/search/?api=1&amp;query=&#212;%20Cent%20Couverts%202%20Rue%20Maurice%20Caunes%20Toulouse" TargetMode="External"/><Relationship Id="rId878" Type="http://schemas.openxmlformats.org/officeDocument/2006/relationships/hyperlink" Target="https://www.google.com/maps/search/?api=1&amp;query=&#212;%20Cuiz%27In%20Toulouse" TargetMode="External"/><Relationship Id="rId879" Type="http://schemas.openxmlformats.org/officeDocument/2006/relationships/hyperlink" Target="https://www.google.com/maps/search/?api=1&amp;query=&#212;%20Jardin%20Gourmand%20Toulouse" TargetMode="External"/><Relationship Id="rId880" Type="http://schemas.openxmlformats.org/officeDocument/2006/relationships/hyperlink" Target="https://www.google.com/maps/search/?api=1&amp;query=&#212;%20Mana%20Toulouse" TargetMode="External"/><Relationship Id="rId881" Type="http://schemas.openxmlformats.org/officeDocument/2006/relationships/hyperlink" Target="https://www.google.com/maps/search/?api=1&amp;query=&#212;%20p%27tit%20LOL%20Toulouse" TargetMode="External"/><Relationship Id="rId882" Type="http://schemas.openxmlformats.org/officeDocument/2006/relationships/hyperlink" Target="https://www.google.com/maps/search/?api=1&amp;query=&#212;%20p%27tit%20zinc%20Toulouse" TargetMode="External"/><Relationship Id="rId883" Type="http://schemas.openxmlformats.org/officeDocument/2006/relationships/hyperlink" Target="https://www.google.com/maps/search/?api=1&amp;query=&#212;%20Saveurs%20Dor&#233;es%20Toulouse" TargetMode="External"/><Relationship Id="rId884" Type="http://schemas.openxmlformats.org/officeDocument/2006/relationships/hyperlink" Target="https://www.google.com/maps/search/?api=1&amp;query=&#212;%20Zen%20Toulouse" TargetMode="External"/><Relationship Id="rId88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15"/>
    <col collapsed="false" customWidth="true" hidden="false" outlineLevel="0" max="12" min="12" style="0" width="44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4"/>
      <c r="E2" s="3" t="s">
        <v>15</v>
      </c>
      <c r="F2" s="3"/>
      <c r="G2" s="5" t="s">
        <v>16</v>
      </c>
      <c r="H2" s="6"/>
      <c r="I2" s="5"/>
      <c r="J2" s="5"/>
      <c r="K2" s="6"/>
      <c r="L2" s="7"/>
      <c r="M2" s="8" t="s">
        <v>17</v>
      </c>
    </row>
    <row r="3" customFormat="false" ht="15" hidden="false" customHeight="false" outlineLevel="0" collapsed="false">
      <c r="A3" s="2" t="n">
        <v>2</v>
      </c>
      <c r="B3" s="3" t="s">
        <v>18</v>
      </c>
      <c r="C3" s="3" t="s">
        <v>19</v>
      </c>
      <c r="D3" s="4" t="s">
        <v>20</v>
      </c>
      <c r="E3" s="3" t="s">
        <v>15</v>
      </c>
      <c r="F3" s="3"/>
      <c r="G3" s="5" t="s">
        <v>16</v>
      </c>
      <c r="H3" s="6"/>
      <c r="I3" s="5"/>
      <c r="J3" s="5"/>
      <c r="K3" s="6"/>
      <c r="L3" s="7"/>
      <c r="M3" s="8" t="s">
        <v>17</v>
      </c>
    </row>
    <row r="4" customFormat="false" ht="15" hidden="false" customHeight="false" outlineLevel="0" collapsed="false">
      <c r="A4" s="2" t="n">
        <v>3</v>
      </c>
      <c r="B4" s="3" t="s">
        <v>21</v>
      </c>
      <c r="C4" s="3" t="s">
        <v>22</v>
      </c>
      <c r="D4" s="4" t="s">
        <v>23</v>
      </c>
      <c r="E4" s="3" t="s">
        <v>15</v>
      </c>
      <c r="F4" s="3" t="s">
        <v>24</v>
      </c>
      <c r="G4" s="5" t="s">
        <v>16</v>
      </c>
      <c r="H4" s="6"/>
      <c r="I4" s="5"/>
      <c r="J4" s="5"/>
      <c r="K4" s="6"/>
      <c r="L4" s="7"/>
      <c r="M4" s="8" t="s">
        <v>17</v>
      </c>
    </row>
    <row r="5" customFormat="false" ht="15" hidden="false" customHeight="false" outlineLevel="0" collapsed="false">
      <c r="A5" s="2" t="n">
        <v>4</v>
      </c>
      <c r="B5" s="3" t="s">
        <v>25</v>
      </c>
      <c r="C5" s="3" t="s">
        <v>26</v>
      </c>
      <c r="D5" s="4" t="s">
        <v>27</v>
      </c>
      <c r="E5" s="3" t="s">
        <v>15</v>
      </c>
      <c r="F5" s="3" t="s">
        <v>28</v>
      </c>
      <c r="G5" s="5" t="s">
        <v>16</v>
      </c>
      <c r="H5" s="6"/>
      <c r="I5" s="5"/>
      <c r="J5" s="5"/>
      <c r="K5" s="6"/>
      <c r="L5" s="7"/>
      <c r="M5" s="8" t="s">
        <v>17</v>
      </c>
    </row>
    <row r="6" customFormat="false" ht="15" hidden="false" customHeight="false" outlineLevel="0" collapsed="false">
      <c r="A6" s="2" t="n">
        <v>5</v>
      </c>
      <c r="B6" s="3" t="s">
        <v>29</v>
      </c>
      <c r="C6" s="3" t="s">
        <v>30</v>
      </c>
      <c r="D6" s="4"/>
      <c r="E6" s="3" t="s">
        <v>15</v>
      </c>
      <c r="F6" s="3"/>
      <c r="G6" s="5" t="s">
        <v>16</v>
      </c>
      <c r="H6" s="6"/>
      <c r="I6" s="5"/>
      <c r="J6" s="5"/>
      <c r="K6" s="6"/>
      <c r="L6" s="7"/>
      <c r="M6" s="8" t="s">
        <v>17</v>
      </c>
    </row>
    <row r="7" customFormat="false" ht="15" hidden="false" customHeight="false" outlineLevel="0" collapsed="false">
      <c r="A7" s="2" t="n">
        <v>6</v>
      </c>
      <c r="B7" s="3" t="s">
        <v>31</v>
      </c>
      <c r="C7" s="3" t="s">
        <v>32</v>
      </c>
      <c r="D7" s="4"/>
      <c r="E7" s="3" t="s">
        <v>15</v>
      </c>
      <c r="F7" s="3" t="s">
        <v>33</v>
      </c>
      <c r="G7" s="5" t="s">
        <v>16</v>
      </c>
      <c r="H7" s="6"/>
      <c r="I7" s="5"/>
      <c r="J7" s="5"/>
      <c r="K7" s="6"/>
      <c r="L7" s="7"/>
      <c r="M7" s="8" t="s">
        <v>17</v>
      </c>
    </row>
    <row r="8" customFormat="false" ht="15" hidden="false" customHeight="false" outlineLevel="0" collapsed="false">
      <c r="A8" s="2" t="n">
        <v>7</v>
      </c>
      <c r="B8" s="3" t="s">
        <v>34</v>
      </c>
      <c r="C8" s="3" t="s">
        <v>35</v>
      </c>
      <c r="D8" s="4"/>
      <c r="E8" s="3" t="s">
        <v>15</v>
      </c>
      <c r="F8" s="3" t="s">
        <v>36</v>
      </c>
      <c r="G8" s="5" t="s">
        <v>16</v>
      </c>
      <c r="H8" s="6"/>
      <c r="I8" s="5"/>
      <c r="J8" s="5"/>
      <c r="K8" s="6"/>
      <c r="L8" s="7"/>
      <c r="M8" s="8" t="s">
        <v>17</v>
      </c>
    </row>
    <row r="9" customFormat="false" ht="15" hidden="false" customHeight="false" outlineLevel="0" collapsed="false">
      <c r="A9" s="2" t="n">
        <v>8</v>
      </c>
      <c r="B9" s="3" t="s">
        <v>37</v>
      </c>
      <c r="C9" s="3" t="s">
        <v>38</v>
      </c>
      <c r="D9" s="4"/>
      <c r="E9" s="3" t="s">
        <v>15</v>
      </c>
      <c r="F9" s="3"/>
      <c r="G9" s="5" t="s">
        <v>16</v>
      </c>
      <c r="H9" s="6"/>
      <c r="I9" s="5"/>
      <c r="J9" s="5"/>
      <c r="K9" s="6"/>
      <c r="L9" s="7"/>
      <c r="M9" s="8" t="s">
        <v>17</v>
      </c>
    </row>
    <row r="10" customFormat="false" ht="15" hidden="false" customHeight="false" outlineLevel="0" collapsed="false">
      <c r="A10" s="2" t="n">
        <v>9</v>
      </c>
      <c r="B10" s="3" t="s">
        <v>39</v>
      </c>
      <c r="C10" s="3" t="s">
        <v>40</v>
      </c>
      <c r="D10" s="4" t="s">
        <v>41</v>
      </c>
      <c r="E10" s="3" t="s">
        <v>15</v>
      </c>
      <c r="F10" s="3" t="s">
        <v>42</v>
      </c>
      <c r="G10" s="5" t="s">
        <v>16</v>
      </c>
      <c r="H10" s="6"/>
      <c r="I10" s="5"/>
      <c r="J10" s="5"/>
      <c r="K10" s="6"/>
      <c r="L10" s="7"/>
      <c r="M10" s="8" t="s">
        <v>17</v>
      </c>
    </row>
    <row r="11" customFormat="false" ht="15" hidden="false" customHeight="false" outlineLevel="0" collapsed="false">
      <c r="A11" s="2" t="n">
        <v>10</v>
      </c>
      <c r="B11" s="3" t="s">
        <v>43</v>
      </c>
      <c r="C11" s="3" t="s">
        <v>44</v>
      </c>
      <c r="D11" s="4"/>
      <c r="E11" s="3" t="s">
        <v>15</v>
      </c>
      <c r="F11" s="3"/>
      <c r="G11" s="5" t="s">
        <v>16</v>
      </c>
      <c r="H11" s="6"/>
      <c r="I11" s="5"/>
      <c r="J11" s="5"/>
      <c r="K11" s="6"/>
      <c r="L11" s="7"/>
      <c r="M11" s="8" t="s">
        <v>17</v>
      </c>
    </row>
    <row r="12" customFormat="false" ht="15" hidden="false" customHeight="false" outlineLevel="0" collapsed="false">
      <c r="A12" s="2" t="n">
        <v>11</v>
      </c>
      <c r="B12" s="3" t="s">
        <v>45</v>
      </c>
      <c r="C12" s="3" t="s">
        <v>46</v>
      </c>
      <c r="D12" s="4"/>
      <c r="E12" s="3" t="s">
        <v>15</v>
      </c>
      <c r="F12" s="3" t="s">
        <v>47</v>
      </c>
      <c r="G12" s="5" t="s">
        <v>16</v>
      </c>
      <c r="H12" s="6"/>
      <c r="I12" s="5"/>
      <c r="J12" s="5"/>
      <c r="K12" s="6"/>
      <c r="L12" s="7"/>
      <c r="M12" s="8" t="s">
        <v>17</v>
      </c>
    </row>
    <row r="13" customFormat="false" ht="15" hidden="false" customHeight="false" outlineLevel="0" collapsed="false">
      <c r="A13" s="2" t="n">
        <v>12</v>
      </c>
      <c r="B13" s="3" t="s">
        <v>48</v>
      </c>
      <c r="C13" s="3"/>
      <c r="D13" s="4"/>
      <c r="E13" s="3" t="s">
        <v>15</v>
      </c>
      <c r="F13" s="3" t="s">
        <v>49</v>
      </c>
      <c r="G13" s="5" t="s">
        <v>16</v>
      </c>
      <c r="H13" s="6"/>
      <c r="I13" s="5"/>
      <c r="J13" s="5"/>
      <c r="K13" s="6"/>
      <c r="L13" s="7"/>
      <c r="M13" s="8" t="s">
        <v>17</v>
      </c>
    </row>
    <row r="14" customFormat="false" ht="15" hidden="false" customHeight="false" outlineLevel="0" collapsed="false">
      <c r="A14" s="2" t="n">
        <v>13</v>
      </c>
      <c r="B14" s="3" t="s">
        <v>50</v>
      </c>
      <c r="C14" s="3" t="s">
        <v>51</v>
      </c>
      <c r="D14" s="4"/>
      <c r="E14" s="3" t="s">
        <v>15</v>
      </c>
      <c r="F14" s="3" t="s">
        <v>52</v>
      </c>
      <c r="G14" s="5" t="s">
        <v>16</v>
      </c>
      <c r="H14" s="6"/>
      <c r="I14" s="5"/>
      <c r="J14" s="5"/>
      <c r="K14" s="6"/>
      <c r="L14" s="7"/>
      <c r="M14" s="8" t="s">
        <v>17</v>
      </c>
    </row>
    <row r="15" customFormat="false" ht="15" hidden="false" customHeight="false" outlineLevel="0" collapsed="false">
      <c r="A15" s="2" t="n">
        <v>14</v>
      </c>
      <c r="B15" s="3" t="s">
        <v>53</v>
      </c>
      <c r="C15" s="3" t="s">
        <v>54</v>
      </c>
      <c r="D15" s="4" t="s">
        <v>55</v>
      </c>
      <c r="E15" s="3" t="s">
        <v>15</v>
      </c>
      <c r="F15" s="3"/>
      <c r="G15" s="5" t="s">
        <v>16</v>
      </c>
      <c r="H15" s="6"/>
      <c r="I15" s="5"/>
      <c r="J15" s="5"/>
      <c r="K15" s="6"/>
      <c r="L15" s="7"/>
      <c r="M15" s="8" t="s">
        <v>17</v>
      </c>
    </row>
    <row r="16" customFormat="false" ht="15" hidden="false" customHeight="false" outlineLevel="0" collapsed="false">
      <c r="A16" s="2" t="n">
        <v>15</v>
      </c>
      <c r="B16" s="3" t="s">
        <v>56</v>
      </c>
      <c r="C16" s="3" t="s">
        <v>19</v>
      </c>
      <c r="D16" s="4"/>
      <c r="E16" s="3" t="s">
        <v>15</v>
      </c>
      <c r="F16" s="3" t="s">
        <v>57</v>
      </c>
      <c r="G16" s="5" t="s">
        <v>16</v>
      </c>
      <c r="H16" s="6"/>
      <c r="I16" s="5"/>
      <c r="J16" s="5"/>
      <c r="K16" s="6"/>
      <c r="L16" s="7"/>
      <c r="M16" s="8" t="s">
        <v>17</v>
      </c>
    </row>
    <row r="17" customFormat="false" ht="15" hidden="false" customHeight="false" outlineLevel="0" collapsed="false">
      <c r="A17" s="2" t="n">
        <v>16</v>
      </c>
      <c r="B17" s="3" t="s">
        <v>58</v>
      </c>
      <c r="C17" s="3" t="s">
        <v>59</v>
      </c>
      <c r="D17" s="4"/>
      <c r="E17" s="3" t="s">
        <v>15</v>
      </c>
      <c r="F17" s="3" t="s">
        <v>60</v>
      </c>
      <c r="G17" s="5" t="s">
        <v>16</v>
      </c>
      <c r="H17" s="6"/>
      <c r="I17" s="5"/>
      <c r="J17" s="5"/>
      <c r="K17" s="6"/>
      <c r="L17" s="7"/>
      <c r="M17" s="8" t="s">
        <v>17</v>
      </c>
    </row>
    <row r="18" customFormat="false" ht="15" hidden="false" customHeight="false" outlineLevel="0" collapsed="false">
      <c r="A18" s="2" t="n">
        <v>17</v>
      </c>
      <c r="B18" s="3" t="s">
        <v>61</v>
      </c>
      <c r="C18" s="3" t="s">
        <v>62</v>
      </c>
      <c r="D18" s="4"/>
      <c r="E18" s="3" t="s">
        <v>15</v>
      </c>
      <c r="F18" s="3"/>
      <c r="G18" s="5" t="s">
        <v>16</v>
      </c>
      <c r="H18" s="6"/>
      <c r="I18" s="5"/>
      <c r="J18" s="5"/>
      <c r="K18" s="6"/>
      <c r="L18" s="7"/>
      <c r="M18" s="8" t="s">
        <v>17</v>
      </c>
    </row>
    <row r="19" customFormat="false" ht="15" hidden="false" customHeight="false" outlineLevel="0" collapsed="false">
      <c r="A19" s="2" t="n">
        <v>18</v>
      </c>
      <c r="B19" s="3" t="s">
        <v>63</v>
      </c>
      <c r="C19" s="3" t="s">
        <v>64</v>
      </c>
      <c r="D19" s="4" t="s">
        <v>65</v>
      </c>
      <c r="E19" s="3" t="s">
        <v>15</v>
      </c>
      <c r="F19" s="3" t="s">
        <v>66</v>
      </c>
      <c r="G19" s="5" t="s">
        <v>16</v>
      </c>
      <c r="H19" s="6"/>
      <c r="I19" s="5"/>
      <c r="J19" s="5"/>
      <c r="K19" s="6"/>
      <c r="L19" s="7"/>
      <c r="M19" s="8" t="s">
        <v>17</v>
      </c>
    </row>
    <row r="20" customFormat="false" ht="15" hidden="false" customHeight="false" outlineLevel="0" collapsed="false">
      <c r="A20" s="2" t="n">
        <v>19</v>
      </c>
      <c r="B20" s="3" t="s">
        <v>67</v>
      </c>
      <c r="C20" s="3" t="s">
        <v>62</v>
      </c>
      <c r="D20" s="4" t="s">
        <v>68</v>
      </c>
      <c r="E20" s="3" t="s">
        <v>15</v>
      </c>
      <c r="F20" s="3" t="s">
        <v>69</v>
      </c>
      <c r="G20" s="5" t="s">
        <v>16</v>
      </c>
      <c r="H20" s="6"/>
      <c r="I20" s="5"/>
      <c r="J20" s="5"/>
      <c r="K20" s="6"/>
      <c r="L20" s="7"/>
      <c r="M20" s="8" t="s">
        <v>17</v>
      </c>
    </row>
    <row r="21" customFormat="false" ht="15" hidden="false" customHeight="false" outlineLevel="0" collapsed="false">
      <c r="A21" s="2" t="n">
        <v>20</v>
      </c>
      <c r="B21" s="3" t="s">
        <v>70</v>
      </c>
      <c r="C21" s="3"/>
      <c r="D21" s="4" t="s">
        <v>71</v>
      </c>
      <c r="E21" s="3" t="s">
        <v>15</v>
      </c>
      <c r="F21" s="3" t="s">
        <v>72</v>
      </c>
      <c r="G21" s="5" t="s">
        <v>16</v>
      </c>
      <c r="H21" s="6"/>
      <c r="I21" s="5"/>
      <c r="J21" s="5"/>
      <c r="K21" s="6"/>
      <c r="L21" s="7"/>
      <c r="M21" s="8" t="s">
        <v>17</v>
      </c>
    </row>
    <row r="22" customFormat="false" ht="15" hidden="false" customHeight="false" outlineLevel="0" collapsed="false">
      <c r="A22" s="2" t="n">
        <v>21</v>
      </c>
      <c r="B22" s="3" t="s">
        <v>73</v>
      </c>
      <c r="C22" s="3" t="s">
        <v>64</v>
      </c>
      <c r="D22" s="4"/>
      <c r="E22" s="3" t="s">
        <v>15</v>
      </c>
      <c r="F22" s="3"/>
      <c r="G22" s="5" t="s">
        <v>16</v>
      </c>
      <c r="H22" s="6"/>
      <c r="I22" s="5"/>
      <c r="J22" s="5"/>
      <c r="K22" s="6"/>
      <c r="L22" s="7"/>
      <c r="M22" s="8" t="s">
        <v>17</v>
      </c>
    </row>
    <row r="23" customFormat="false" ht="15" hidden="false" customHeight="false" outlineLevel="0" collapsed="false">
      <c r="A23" s="2" t="n">
        <v>22</v>
      </c>
      <c r="B23" s="3" t="s">
        <v>74</v>
      </c>
      <c r="C23" s="3" t="s">
        <v>75</v>
      </c>
      <c r="D23" s="4"/>
      <c r="E23" s="3" t="s">
        <v>15</v>
      </c>
      <c r="F23" s="3"/>
      <c r="G23" s="5" t="s">
        <v>16</v>
      </c>
      <c r="H23" s="6"/>
      <c r="I23" s="5"/>
      <c r="J23" s="5"/>
      <c r="K23" s="6"/>
      <c r="L23" s="7"/>
      <c r="M23" s="8" t="s">
        <v>17</v>
      </c>
    </row>
    <row r="24" customFormat="false" ht="15" hidden="false" customHeight="false" outlineLevel="0" collapsed="false">
      <c r="A24" s="2" t="n">
        <v>23</v>
      </c>
      <c r="B24" s="3" t="s">
        <v>76</v>
      </c>
      <c r="C24" s="3" t="s">
        <v>77</v>
      </c>
      <c r="D24" s="4" t="s">
        <v>78</v>
      </c>
      <c r="E24" s="3" t="s">
        <v>15</v>
      </c>
      <c r="F24" s="3"/>
      <c r="G24" s="5" t="s">
        <v>16</v>
      </c>
      <c r="H24" s="6"/>
      <c r="I24" s="5"/>
      <c r="J24" s="5"/>
      <c r="K24" s="6"/>
      <c r="L24" s="7"/>
      <c r="M24" s="8" t="s">
        <v>17</v>
      </c>
    </row>
    <row r="25" customFormat="false" ht="15" hidden="false" customHeight="false" outlineLevel="0" collapsed="false">
      <c r="A25" s="2" t="n">
        <v>24</v>
      </c>
      <c r="B25" s="3" t="s">
        <v>79</v>
      </c>
      <c r="C25" s="3"/>
      <c r="D25" s="4"/>
      <c r="E25" s="3" t="s">
        <v>15</v>
      </c>
      <c r="F25" s="3"/>
      <c r="G25" s="5" t="s">
        <v>16</v>
      </c>
      <c r="H25" s="6"/>
      <c r="I25" s="5"/>
      <c r="J25" s="5"/>
      <c r="K25" s="6"/>
      <c r="L25" s="7"/>
      <c r="M25" s="8" t="s">
        <v>17</v>
      </c>
    </row>
    <row r="26" customFormat="false" ht="15" hidden="false" customHeight="false" outlineLevel="0" collapsed="false">
      <c r="A26" s="2" t="n">
        <v>25</v>
      </c>
      <c r="B26" s="3" t="s">
        <v>80</v>
      </c>
      <c r="C26" s="3" t="s">
        <v>81</v>
      </c>
      <c r="D26" s="4"/>
      <c r="E26" s="3" t="s">
        <v>15</v>
      </c>
      <c r="F26" s="3" t="s">
        <v>82</v>
      </c>
      <c r="G26" s="5" t="s">
        <v>16</v>
      </c>
      <c r="H26" s="6"/>
      <c r="I26" s="5"/>
      <c r="J26" s="5"/>
      <c r="K26" s="6"/>
      <c r="L26" s="7"/>
      <c r="M26" s="8" t="s">
        <v>17</v>
      </c>
    </row>
    <row r="27" customFormat="false" ht="15" hidden="false" customHeight="false" outlineLevel="0" collapsed="false">
      <c r="A27" s="2" t="n">
        <v>26</v>
      </c>
      <c r="B27" s="3" t="s">
        <v>83</v>
      </c>
      <c r="C27" s="3" t="s">
        <v>84</v>
      </c>
      <c r="D27" s="4"/>
      <c r="E27" s="3" t="s">
        <v>15</v>
      </c>
      <c r="F27" s="3"/>
      <c r="G27" s="5" t="s">
        <v>16</v>
      </c>
      <c r="H27" s="6"/>
      <c r="I27" s="5"/>
      <c r="J27" s="5"/>
      <c r="K27" s="6"/>
      <c r="L27" s="7"/>
      <c r="M27" s="8" t="s">
        <v>17</v>
      </c>
    </row>
    <row r="28" customFormat="false" ht="15" hidden="false" customHeight="false" outlineLevel="0" collapsed="false">
      <c r="A28" s="2" t="n">
        <v>27</v>
      </c>
      <c r="B28" s="3" t="s">
        <v>85</v>
      </c>
      <c r="C28" s="3"/>
      <c r="D28" s="4"/>
      <c r="E28" s="3" t="s">
        <v>15</v>
      </c>
      <c r="F28" s="3" t="s">
        <v>86</v>
      </c>
      <c r="G28" s="5" t="s">
        <v>16</v>
      </c>
      <c r="H28" s="6"/>
      <c r="I28" s="5"/>
      <c r="J28" s="5"/>
      <c r="K28" s="6"/>
      <c r="L28" s="7"/>
      <c r="M28" s="8" t="s">
        <v>17</v>
      </c>
    </row>
    <row r="29" customFormat="false" ht="15" hidden="false" customHeight="false" outlineLevel="0" collapsed="false">
      <c r="A29" s="2" t="n">
        <v>28</v>
      </c>
      <c r="B29" s="3" t="s">
        <v>87</v>
      </c>
      <c r="C29" s="3" t="s">
        <v>88</v>
      </c>
      <c r="D29" s="4"/>
      <c r="E29" s="3" t="s">
        <v>15</v>
      </c>
      <c r="F29" s="3" t="s">
        <v>89</v>
      </c>
      <c r="G29" s="5" t="s">
        <v>16</v>
      </c>
      <c r="H29" s="6"/>
      <c r="I29" s="5"/>
      <c r="J29" s="5"/>
      <c r="K29" s="6"/>
      <c r="L29" s="7"/>
      <c r="M29" s="8" t="s">
        <v>17</v>
      </c>
    </row>
    <row r="30" customFormat="false" ht="15" hidden="false" customHeight="false" outlineLevel="0" collapsed="false">
      <c r="A30" s="2" t="n">
        <v>29</v>
      </c>
      <c r="B30" s="3" t="s">
        <v>90</v>
      </c>
      <c r="C30" s="3" t="s">
        <v>81</v>
      </c>
      <c r="D30" s="4"/>
      <c r="E30" s="3" t="s">
        <v>15</v>
      </c>
      <c r="F30" s="3"/>
      <c r="G30" s="5" t="s">
        <v>16</v>
      </c>
      <c r="H30" s="6"/>
      <c r="I30" s="5"/>
      <c r="J30" s="5"/>
      <c r="K30" s="6"/>
      <c r="L30" s="7"/>
      <c r="M30" s="8" t="s">
        <v>17</v>
      </c>
    </row>
    <row r="31" customFormat="false" ht="15" hidden="false" customHeight="false" outlineLevel="0" collapsed="false">
      <c r="A31" s="2" t="n">
        <v>30</v>
      </c>
      <c r="B31" s="3" t="s">
        <v>91</v>
      </c>
      <c r="C31" s="3" t="s">
        <v>19</v>
      </c>
      <c r="D31" s="4"/>
      <c r="E31" s="3" t="s">
        <v>15</v>
      </c>
      <c r="F31" s="3"/>
      <c r="G31" s="5" t="s">
        <v>16</v>
      </c>
      <c r="H31" s="6"/>
      <c r="I31" s="5"/>
      <c r="J31" s="5"/>
      <c r="K31" s="6"/>
      <c r="L31" s="7"/>
      <c r="M31" s="8" t="s">
        <v>17</v>
      </c>
    </row>
    <row r="32" customFormat="false" ht="15" hidden="false" customHeight="false" outlineLevel="0" collapsed="false">
      <c r="A32" s="2" t="n">
        <v>31</v>
      </c>
      <c r="B32" s="3" t="s">
        <v>91</v>
      </c>
      <c r="C32" s="3"/>
      <c r="D32" s="4" t="s">
        <v>92</v>
      </c>
      <c r="E32" s="3" t="s">
        <v>15</v>
      </c>
      <c r="F32" s="3"/>
      <c r="G32" s="5" t="s">
        <v>16</v>
      </c>
      <c r="H32" s="6"/>
      <c r="I32" s="5"/>
      <c r="J32" s="5"/>
      <c r="K32" s="6"/>
      <c r="L32" s="7"/>
      <c r="M32" s="8" t="s">
        <v>17</v>
      </c>
    </row>
    <row r="33" customFormat="false" ht="15" hidden="false" customHeight="false" outlineLevel="0" collapsed="false">
      <c r="A33" s="2" t="n">
        <v>32</v>
      </c>
      <c r="B33" s="3" t="s">
        <v>93</v>
      </c>
      <c r="C33" s="3" t="s">
        <v>94</v>
      </c>
      <c r="D33" s="4"/>
      <c r="E33" s="3" t="s">
        <v>15</v>
      </c>
      <c r="F33" s="3" t="s">
        <v>95</v>
      </c>
      <c r="G33" s="5" t="s">
        <v>16</v>
      </c>
      <c r="H33" s="6"/>
      <c r="I33" s="5"/>
      <c r="J33" s="5"/>
      <c r="K33" s="6"/>
      <c r="L33" s="7"/>
      <c r="M33" s="8" t="s">
        <v>17</v>
      </c>
    </row>
    <row r="34" customFormat="false" ht="15" hidden="false" customHeight="false" outlineLevel="0" collapsed="false">
      <c r="A34" s="2" t="n">
        <v>33</v>
      </c>
      <c r="B34" s="3" t="s">
        <v>96</v>
      </c>
      <c r="C34" s="3" t="s">
        <v>97</v>
      </c>
      <c r="D34" s="4"/>
      <c r="E34" s="3" t="s">
        <v>15</v>
      </c>
      <c r="F34" s="3" t="s">
        <v>98</v>
      </c>
      <c r="G34" s="5" t="s">
        <v>16</v>
      </c>
      <c r="H34" s="6"/>
      <c r="I34" s="5"/>
      <c r="J34" s="5"/>
      <c r="K34" s="6"/>
      <c r="L34" s="7"/>
      <c r="M34" s="8" t="s">
        <v>17</v>
      </c>
    </row>
    <row r="35" customFormat="false" ht="15" hidden="false" customHeight="false" outlineLevel="0" collapsed="false">
      <c r="A35" s="2" t="n">
        <v>34</v>
      </c>
      <c r="B35" s="3" t="s">
        <v>99</v>
      </c>
      <c r="C35" s="3"/>
      <c r="D35" s="4"/>
      <c r="E35" s="3" t="s">
        <v>15</v>
      </c>
      <c r="F35" s="3"/>
      <c r="G35" s="5" t="s">
        <v>16</v>
      </c>
      <c r="H35" s="6"/>
      <c r="I35" s="5"/>
      <c r="J35" s="5"/>
      <c r="K35" s="6"/>
      <c r="L35" s="7"/>
      <c r="M35" s="8" t="s">
        <v>17</v>
      </c>
    </row>
    <row r="36" customFormat="false" ht="15" hidden="false" customHeight="false" outlineLevel="0" collapsed="false">
      <c r="A36" s="2" t="n">
        <v>35</v>
      </c>
      <c r="B36" s="3" t="s">
        <v>100</v>
      </c>
      <c r="C36" s="3"/>
      <c r="D36" s="4" t="s">
        <v>101</v>
      </c>
      <c r="E36" s="3" t="s">
        <v>15</v>
      </c>
      <c r="F36" s="3" t="s">
        <v>102</v>
      </c>
      <c r="G36" s="5" t="s">
        <v>16</v>
      </c>
      <c r="H36" s="6"/>
      <c r="I36" s="5"/>
      <c r="J36" s="5"/>
      <c r="K36" s="6"/>
      <c r="L36" s="7"/>
      <c r="M36" s="8" t="s">
        <v>17</v>
      </c>
    </row>
    <row r="37" customFormat="false" ht="15" hidden="false" customHeight="false" outlineLevel="0" collapsed="false">
      <c r="A37" s="2" t="n">
        <v>36</v>
      </c>
      <c r="B37" s="3" t="s">
        <v>103</v>
      </c>
      <c r="C37" s="3" t="s">
        <v>104</v>
      </c>
      <c r="D37" s="4"/>
      <c r="E37" s="3" t="s">
        <v>15</v>
      </c>
      <c r="F37" s="3" t="s">
        <v>105</v>
      </c>
      <c r="G37" s="5" t="s">
        <v>16</v>
      </c>
      <c r="H37" s="6"/>
      <c r="I37" s="5"/>
      <c r="J37" s="5"/>
      <c r="K37" s="6"/>
      <c r="L37" s="7"/>
      <c r="M37" s="8" t="s">
        <v>17</v>
      </c>
    </row>
    <row r="38" customFormat="false" ht="15" hidden="false" customHeight="false" outlineLevel="0" collapsed="false">
      <c r="A38" s="2" t="n">
        <v>37</v>
      </c>
      <c r="B38" s="3" t="s">
        <v>106</v>
      </c>
      <c r="C38" s="3" t="s">
        <v>19</v>
      </c>
      <c r="D38" s="4" t="s">
        <v>107</v>
      </c>
      <c r="E38" s="3" t="s">
        <v>15</v>
      </c>
      <c r="F38" s="3" t="s">
        <v>108</v>
      </c>
      <c r="G38" s="5" t="s">
        <v>16</v>
      </c>
      <c r="H38" s="6"/>
      <c r="I38" s="5"/>
      <c r="J38" s="5"/>
      <c r="K38" s="6"/>
      <c r="L38" s="7"/>
      <c r="M38" s="8" t="s">
        <v>17</v>
      </c>
    </row>
    <row r="39" customFormat="false" ht="15" hidden="false" customHeight="false" outlineLevel="0" collapsed="false">
      <c r="A39" s="2" t="n">
        <v>38</v>
      </c>
      <c r="B39" s="3" t="s">
        <v>109</v>
      </c>
      <c r="C39" s="3" t="s">
        <v>104</v>
      </c>
      <c r="D39" s="4"/>
      <c r="E39" s="3" t="s">
        <v>15</v>
      </c>
      <c r="F39" s="3"/>
      <c r="G39" s="5" t="s">
        <v>16</v>
      </c>
      <c r="H39" s="6"/>
      <c r="I39" s="5"/>
      <c r="J39" s="5"/>
      <c r="K39" s="6"/>
      <c r="L39" s="7"/>
      <c r="M39" s="8" t="s">
        <v>17</v>
      </c>
    </row>
    <row r="40" customFormat="false" ht="15" hidden="false" customHeight="false" outlineLevel="0" collapsed="false">
      <c r="A40" s="2" t="n">
        <v>39</v>
      </c>
      <c r="B40" s="3" t="s">
        <v>110</v>
      </c>
      <c r="C40" s="3" t="s">
        <v>81</v>
      </c>
      <c r="D40" s="4" t="s">
        <v>111</v>
      </c>
      <c r="E40" s="3" t="s">
        <v>15</v>
      </c>
      <c r="F40" s="3" t="s">
        <v>112</v>
      </c>
      <c r="G40" s="5" t="s">
        <v>16</v>
      </c>
      <c r="H40" s="6"/>
      <c r="I40" s="5"/>
      <c r="J40" s="5"/>
      <c r="K40" s="6"/>
      <c r="L40" s="7"/>
      <c r="M40" s="8" t="s">
        <v>17</v>
      </c>
    </row>
    <row r="41" customFormat="false" ht="15" hidden="false" customHeight="false" outlineLevel="0" collapsed="false">
      <c r="A41" s="2" t="n">
        <v>40</v>
      </c>
      <c r="B41" s="3" t="s">
        <v>113</v>
      </c>
      <c r="C41" s="3" t="s">
        <v>84</v>
      </c>
      <c r="D41" s="4"/>
      <c r="E41" s="3" t="s">
        <v>15</v>
      </c>
      <c r="F41" s="3" t="s">
        <v>114</v>
      </c>
      <c r="G41" s="5" t="s">
        <v>16</v>
      </c>
      <c r="H41" s="6"/>
      <c r="I41" s="5"/>
      <c r="J41" s="5"/>
      <c r="K41" s="6"/>
      <c r="L41" s="7"/>
      <c r="M41" s="8" t="s">
        <v>17</v>
      </c>
    </row>
    <row r="42" customFormat="false" ht="15" hidden="false" customHeight="false" outlineLevel="0" collapsed="false">
      <c r="A42" s="2" t="n">
        <v>41</v>
      </c>
      <c r="B42" s="3" t="s">
        <v>115</v>
      </c>
      <c r="C42" s="3" t="s">
        <v>116</v>
      </c>
      <c r="D42" s="4"/>
      <c r="E42" s="3" t="s">
        <v>15</v>
      </c>
      <c r="F42" s="3"/>
      <c r="G42" s="5" t="s">
        <v>16</v>
      </c>
      <c r="H42" s="6"/>
      <c r="I42" s="5"/>
      <c r="J42" s="5"/>
      <c r="K42" s="6"/>
      <c r="L42" s="7"/>
      <c r="M42" s="8" t="s">
        <v>17</v>
      </c>
    </row>
    <row r="43" customFormat="false" ht="15" hidden="false" customHeight="false" outlineLevel="0" collapsed="false">
      <c r="A43" s="2" t="n">
        <v>42</v>
      </c>
      <c r="B43" s="3" t="s">
        <v>117</v>
      </c>
      <c r="C43" s="3" t="s">
        <v>118</v>
      </c>
      <c r="D43" s="4" t="s">
        <v>119</v>
      </c>
      <c r="E43" s="3" t="s">
        <v>15</v>
      </c>
      <c r="F43" s="3"/>
      <c r="G43" s="5" t="s">
        <v>16</v>
      </c>
      <c r="H43" s="6"/>
      <c r="I43" s="5"/>
      <c r="J43" s="5"/>
      <c r="K43" s="6"/>
      <c r="L43" s="7"/>
      <c r="M43" s="8" t="s">
        <v>17</v>
      </c>
    </row>
    <row r="44" customFormat="false" ht="15" hidden="false" customHeight="false" outlineLevel="0" collapsed="false">
      <c r="A44" s="2" t="n">
        <v>43</v>
      </c>
      <c r="B44" s="3" t="s">
        <v>120</v>
      </c>
      <c r="C44" s="3"/>
      <c r="D44" s="4" t="s">
        <v>121</v>
      </c>
      <c r="E44" s="3" t="s">
        <v>15</v>
      </c>
      <c r="F44" s="3"/>
      <c r="G44" s="5" t="s">
        <v>16</v>
      </c>
      <c r="H44" s="6"/>
      <c r="I44" s="5"/>
      <c r="J44" s="5"/>
      <c r="K44" s="6"/>
      <c r="L44" s="7"/>
      <c r="M44" s="8" t="s">
        <v>17</v>
      </c>
    </row>
    <row r="45" customFormat="false" ht="15" hidden="false" customHeight="false" outlineLevel="0" collapsed="false">
      <c r="A45" s="2" t="n">
        <v>44</v>
      </c>
      <c r="B45" s="3" t="s">
        <v>122</v>
      </c>
      <c r="C45" s="3" t="s">
        <v>75</v>
      </c>
      <c r="D45" s="4"/>
      <c r="E45" s="3" t="s">
        <v>15</v>
      </c>
      <c r="F45" s="3"/>
      <c r="G45" s="5" t="s">
        <v>16</v>
      </c>
      <c r="H45" s="6"/>
      <c r="I45" s="5"/>
      <c r="J45" s="5"/>
      <c r="K45" s="6"/>
      <c r="L45" s="7"/>
      <c r="M45" s="8" t="s">
        <v>17</v>
      </c>
    </row>
    <row r="46" customFormat="false" ht="15" hidden="false" customHeight="false" outlineLevel="0" collapsed="false">
      <c r="A46" s="2" t="n">
        <v>45</v>
      </c>
      <c r="B46" s="3" t="s">
        <v>123</v>
      </c>
      <c r="C46" s="3" t="s">
        <v>124</v>
      </c>
      <c r="D46" s="4"/>
      <c r="E46" s="3" t="s">
        <v>15</v>
      </c>
      <c r="F46" s="3"/>
      <c r="G46" s="5" t="s">
        <v>16</v>
      </c>
      <c r="H46" s="6"/>
      <c r="I46" s="5"/>
      <c r="J46" s="5"/>
      <c r="K46" s="6"/>
      <c r="L46" s="7"/>
      <c r="M46" s="8" t="s">
        <v>17</v>
      </c>
    </row>
    <row r="47" customFormat="false" ht="15" hidden="false" customHeight="false" outlineLevel="0" collapsed="false">
      <c r="A47" s="2" t="n">
        <v>46</v>
      </c>
      <c r="B47" s="3" t="s">
        <v>125</v>
      </c>
      <c r="C47" s="3" t="s">
        <v>126</v>
      </c>
      <c r="D47" s="4"/>
      <c r="E47" s="3" t="s">
        <v>15</v>
      </c>
      <c r="F47" s="3" t="s">
        <v>127</v>
      </c>
      <c r="G47" s="5" t="s">
        <v>16</v>
      </c>
      <c r="H47" s="6"/>
      <c r="I47" s="5"/>
      <c r="J47" s="5"/>
      <c r="K47" s="6"/>
      <c r="L47" s="7"/>
      <c r="M47" s="8" t="s">
        <v>17</v>
      </c>
    </row>
    <row r="48" customFormat="false" ht="15" hidden="false" customHeight="false" outlineLevel="0" collapsed="false">
      <c r="A48" s="2" t="n">
        <v>47</v>
      </c>
      <c r="B48" s="3" t="s">
        <v>128</v>
      </c>
      <c r="C48" s="3" t="s">
        <v>81</v>
      </c>
      <c r="D48" s="4"/>
      <c r="E48" s="3" t="s">
        <v>15</v>
      </c>
      <c r="F48" s="3"/>
      <c r="G48" s="5" t="s">
        <v>16</v>
      </c>
      <c r="H48" s="6"/>
      <c r="I48" s="5"/>
      <c r="J48" s="5"/>
      <c r="K48" s="6"/>
      <c r="L48" s="7"/>
      <c r="M48" s="8" t="s">
        <v>17</v>
      </c>
    </row>
    <row r="49" customFormat="false" ht="15" hidden="false" customHeight="false" outlineLevel="0" collapsed="false">
      <c r="A49" s="2" t="n">
        <v>48</v>
      </c>
      <c r="B49" s="3" t="s">
        <v>129</v>
      </c>
      <c r="C49" s="3"/>
      <c r="D49" s="4" t="s">
        <v>130</v>
      </c>
      <c r="E49" s="3" t="s">
        <v>15</v>
      </c>
      <c r="F49" s="3" t="s">
        <v>131</v>
      </c>
      <c r="G49" s="5" t="s">
        <v>16</v>
      </c>
      <c r="H49" s="6"/>
      <c r="I49" s="5"/>
      <c r="J49" s="5"/>
      <c r="K49" s="6"/>
      <c r="L49" s="7"/>
      <c r="M49" s="8" t="s">
        <v>17</v>
      </c>
    </row>
    <row r="50" customFormat="false" ht="15" hidden="false" customHeight="false" outlineLevel="0" collapsed="false">
      <c r="A50" s="2" t="n">
        <v>49</v>
      </c>
      <c r="B50" s="3" t="s">
        <v>132</v>
      </c>
      <c r="C50" s="3"/>
      <c r="D50" s="4"/>
      <c r="E50" s="3" t="s">
        <v>15</v>
      </c>
      <c r="F50" s="3"/>
      <c r="G50" s="5" t="s">
        <v>16</v>
      </c>
      <c r="H50" s="6"/>
      <c r="I50" s="5"/>
      <c r="J50" s="5"/>
      <c r="K50" s="6"/>
      <c r="L50" s="7"/>
      <c r="M50" s="8" t="s">
        <v>17</v>
      </c>
    </row>
    <row r="51" customFormat="false" ht="15" hidden="false" customHeight="false" outlineLevel="0" collapsed="false">
      <c r="A51" s="2" t="n">
        <v>50</v>
      </c>
      <c r="B51" s="3" t="s">
        <v>132</v>
      </c>
      <c r="C51" s="3"/>
      <c r="D51" s="4"/>
      <c r="E51" s="3" t="s">
        <v>15</v>
      </c>
      <c r="F51" s="3"/>
      <c r="G51" s="5" t="s">
        <v>16</v>
      </c>
      <c r="H51" s="6"/>
      <c r="I51" s="5"/>
      <c r="J51" s="5"/>
      <c r="K51" s="6"/>
      <c r="L51" s="7"/>
      <c r="M51" s="8" t="s">
        <v>17</v>
      </c>
    </row>
    <row r="52" customFormat="false" ht="15" hidden="false" customHeight="false" outlineLevel="0" collapsed="false">
      <c r="A52" s="2" t="n">
        <v>51</v>
      </c>
      <c r="B52" s="3" t="s">
        <v>133</v>
      </c>
      <c r="C52" s="3" t="s">
        <v>134</v>
      </c>
      <c r="D52" s="4"/>
      <c r="E52" s="3" t="s">
        <v>15</v>
      </c>
      <c r="F52" s="3" t="s">
        <v>135</v>
      </c>
      <c r="G52" s="5" t="s">
        <v>16</v>
      </c>
      <c r="H52" s="6"/>
      <c r="I52" s="5"/>
      <c r="J52" s="5"/>
      <c r="K52" s="6"/>
      <c r="L52" s="7"/>
      <c r="M52" s="8" t="s">
        <v>17</v>
      </c>
    </row>
    <row r="53" customFormat="false" ht="15" hidden="false" customHeight="false" outlineLevel="0" collapsed="false">
      <c r="A53" s="2" t="n">
        <v>52</v>
      </c>
      <c r="B53" s="3" t="s">
        <v>136</v>
      </c>
      <c r="C53" s="3"/>
      <c r="D53" s="4" t="s">
        <v>137</v>
      </c>
      <c r="E53" s="3" t="s">
        <v>15</v>
      </c>
      <c r="F53" s="3" t="s">
        <v>138</v>
      </c>
      <c r="G53" s="5" t="s">
        <v>16</v>
      </c>
      <c r="H53" s="6"/>
      <c r="I53" s="5"/>
      <c r="J53" s="5"/>
      <c r="K53" s="6"/>
      <c r="L53" s="7"/>
      <c r="M53" s="8" t="s">
        <v>17</v>
      </c>
    </row>
    <row r="54" customFormat="false" ht="15" hidden="false" customHeight="false" outlineLevel="0" collapsed="false">
      <c r="A54" s="2" t="n">
        <v>53</v>
      </c>
      <c r="B54" s="3" t="s">
        <v>139</v>
      </c>
      <c r="C54" s="3" t="s">
        <v>14</v>
      </c>
      <c r="D54" s="4"/>
      <c r="E54" s="3" t="s">
        <v>15</v>
      </c>
      <c r="F54" s="3"/>
      <c r="G54" s="5" t="s">
        <v>16</v>
      </c>
      <c r="H54" s="6"/>
      <c r="I54" s="5"/>
      <c r="J54" s="5"/>
      <c r="K54" s="6"/>
      <c r="L54" s="7"/>
      <c r="M54" s="8" t="s">
        <v>17</v>
      </c>
    </row>
    <row r="55" customFormat="false" ht="15" hidden="false" customHeight="false" outlineLevel="0" collapsed="false">
      <c r="A55" s="2" t="n">
        <v>54</v>
      </c>
      <c r="B55" s="3" t="s">
        <v>140</v>
      </c>
      <c r="C55" s="3" t="s">
        <v>141</v>
      </c>
      <c r="D55" s="4" t="s">
        <v>142</v>
      </c>
      <c r="E55" s="3" t="s">
        <v>15</v>
      </c>
      <c r="F55" s="3" t="s">
        <v>143</v>
      </c>
      <c r="G55" s="5" t="s">
        <v>16</v>
      </c>
      <c r="H55" s="6"/>
      <c r="I55" s="5"/>
      <c r="J55" s="5"/>
      <c r="K55" s="6"/>
      <c r="L55" s="7"/>
      <c r="M55" s="8" t="s">
        <v>17</v>
      </c>
    </row>
    <row r="56" customFormat="false" ht="15" hidden="false" customHeight="false" outlineLevel="0" collapsed="false">
      <c r="A56" s="2" t="n">
        <v>55</v>
      </c>
      <c r="B56" s="3" t="s">
        <v>144</v>
      </c>
      <c r="C56" s="3" t="s">
        <v>145</v>
      </c>
      <c r="D56" s="4"/>
      <c r="E56" s="3" t="s">
        <v>15</v>
      </c>
      <c r="F56" s="3" t="s">
        <v>146</v>
      </c>
      <c r="G56" s="5" t="s">
        <v>16</v>
      </c>
      <c r="H56" s="6"/>
      <c r="I56" s="5"/>
      <c r="J56" s="5"/>
      <c r="K56" s="6"/>
      <c r="L56" s="7"/>
      <c r="M56" s="8" t="s">
        <v>17</v>
      </c>
    </row>
    <row r="57" customFormat="false" ht="15" hidden="false" customHeight="false" outlineLevel="0" collapsed="false">
      <c r="A57" s="2" t="n">
        <v>56</v>
      </c>
      <c r="B57" s="3" t="s">
        <v>147</v>
      </c>
      <c r="C57" s="3"/>
      <c r="D57" s="4"/>
      <c r="E57" s="3" t="s">
        <v>15</v>
      </c>
      <c r="F57" s="3" t="s">
        <v>148</v>
      </c>
      <c r="G57" s="5" t="s">
        <v>16</v>
      </c>
      <c r="H57" s="6"/>
      <c r="I57" s="5"/>
      <c r="J57" s="5"/>
      <c r="K57" s="6"/>
      <c r="L57" s="7"/>
      <c r="M57" s="8" t="s">
        <v>17</v>
      </c>
    </row>
    <row r="58" customFormat="false" ht="15" hidden="false" customHeight="false" outlineLevel="0" collapsed="false">
      <c r="A58" s="2" t="n">
        <v>57</v>
      </c>
      <c r="B58" s="3" t="s">
        <v>149</v>
      </c>
      <c r="C58" s="3" t="s">
        <v>126</v>
      </c>
      <c r="D58" s="4"/>
      <c r="E58" s="3" t="s">
        <v>15</v>
      </c>
      <c r="F58" s="3" t="s">
        <v>150</v>
      </c>
      <c r="G58" s="5" t="s">
        <v>16</v>
      </c>
      <c r="H58" s="6"/>
      <c r="I58" s="5"/>
      <c r="J58" s="5"/>
      <c r="K58" s="6"/>
      <c r="L58" s="7"/>
      <c r="M58" s="8" t="s">
        <v>17</v>
      </c>
    </row>
    <row r="59" customFormat="false" ht="15" hidden="false" customHeight="false" outlineLevel="0" collapsed="false">
      <c r="A59" s="2" t="n">
        <v>58</v>
      </c>
      <c r="B59" s="3" t="s">
        <v>151</v>
      </c>
      <c r="C59" s="3" t="s">
        <v>81</v>
      </c>
      <c r="D59" s="4"/>
      <c r="E59" s="3" t="s">
        <v>15</v>
      </c>
      <c r="F59" s="3"/>
      <c r="G59" s="5" t="s">
        <v>16</v>
      </c>
      <c r="H59" s="6"/>
      <c r="I59" s="5"/>
      <c r="J59" s="5"/>
      <c r="K59" s="6"/>
      <c r="L59" s="7"/>
      <c r="M59" s="8" t="s">
        <v>17</v>
      </c>
    </row>
    <row r="60" customFormat="false" ht="15" hidden="false" customHeight="false" outlineLevel="0" collapsed="false">
      <c r="A60" s="2" t="n">
        <v>59</v>
      </c>
      <c r="B60" s="3" t="s">
        <v>152</v>
      </c>
      <c r="C60" s="3"/>
      <c r="D60" s="4"/>
      <c r="E60" s="3" t="s">
        <v>15</v>
      </c>
      <c r="F60" s="3"/>
      <c r="G60" s="5" t="s">
        <v>16</v>
      </c>
      <c r="H60" s="6"/>
      <c r="I60" s="5"/>
      <c r="J60" s="5"/>
      <c r="K60" s="6"/>
      <c r="L60" s="7"/>
      <c r="M60" s="8" t="s">
        <v>17</v>
      </c>
    </row>
    <row r="61" customFormat="false" ht="15" hidden="false" customHeight="false" outlineLevel="0" collapsed="false">
      <c r="A61" s="2" t="n">
        <v>60</v>
      </c>
      <c r="B61" s="3" t="s">
        <v>153</v>
      </c>
      <c r="C61" s="3" t="s">
        <v>154</v>
      </c>
      <c r="D61" s="4"/>
      <c r="E61" s="3" t="s">
        <v>15</v>
      </c>
      <c r="F61" s="3" t="s">
        <v>155</v>
      </c>
      <c r="G61" s="5" t="s">
        <v>16</v>
      </c>
      <c r="H61" s="6"/>
      <c r="I61" s="5"/>
      <c r="J61" s="5"/>
      <c r="K61" s="6"/>
      <c r="L61" s="7"/>
      <c r="M61" s="8" t="s">
        <v>17</v>
      </c>
    </row>
    <row r="62" customFormat="false" ht="15" hidden="false" customHeight="false" outlineLevel="0" collapsed="false">
      <c r="A62" s="2" t="n">
        <v>61</v>
      </c>
      <c r="B62" s="3" t="s">
        <v>156</v>
      </c>
      <c r="C62" s="3" t="s">
        <v>84</v>
      </c>
      <c r="D62" s="4" t="s">
        <v>157</v>
      </c>
      <c r="E62" s="3" t="s">
        <v>15</v>
      </c>
      <c r="F62" s="3" t="s">
        <v>158</v>
      </c>
      <c r="G62" s="5" t="s">
        <v>16</v>
      </c>
      <c r="H62" s="6"/>
      <c r="I62" s="5"/>
      <c r="J62" s="5"/>
      <c r="K62" s="6"/>
      <c r="L62" s="7"/>
      <c r="M62" s="8" t="s">
        <v>17</v>
      </c>
    </row>
    <row r="63" customFormat="false" ht="15" hidden="false" customHeight="false" outlineLevel="0" collapsed="false">
      <c r="A63" s="2" t="n">
        <v>62</v>
      </c>
      <c r="B63" s="3" t="s">
        <v>159</v>
      </c>
      <c r="C63" s="3" t="s">
        <v>84</v>
      </c>
      <c r="D63" s="4"/>
      <c r="E63" s="3" t="s">
        <v>15</v>
      </c>
      <c r="F63" s="3" t="s">
        <v>160</v>
      </c>
      <c r="G63" s="5" t="s">
        <v>16</v>
      </c>
      <c r="H63" s="6"/>
      <c r="I63" s="5"/>
      <c r="J63" s="5"/>
      <c r="K63" s="6"/>
      <c r="L63" s="7"/>
      <c r="M63" s="8" t="s">
        <v>17</v>
      </c>
    </row>
    <row r="64" customFormat="false" ht="15" hidden="false" customHeight="false" outlineLevel="0" collapsed="false">
      <c r="A64" s="2" t="n">
        <v>63</v>
      </c>
      <c r="B64" s="3" t="s">
        <v>161</v>
      </c>
      <c r="C64" s="3"/>
      <c r="D64" s="4"/>
      <c r="E64" s="3" t="s">
        <v>15</v>
      </c>
      <c r="F64" s="3"/>
      <c r="G64" s="5" t="s">
        <v>16</v>
      </c>
      <c r="H64" s="6"/>
      <c r="I64" s="5"/>
      <c r="J64" s="5"/>
      <c r="K64" s="6"/>
      <c r="L64" s="7"/>
      <c r="M64" s="8" t="s">
        <v>17</v>
      </c>
    </row>
    <row r="65" customFormat="false" ht="15" hidden="false" customHeight="false" outlineLevel="0" collapsed="false">
      <c r="A65" s="2" t="n">
        <v>64</v>
      </c>
      <c r="B65" s="3" t="s">
        <v>162</v>
      </c>
      <c r="C65" s="3" t="s">
        <v>163</v>
      </c>
      <c r="D65" s="4"/>
      <c r="E65" s="3" t="s">
        <v>15</v>
      </c>
      <c r="F65" s="3"/>
      <c r="G65" s="5" t="s">
        <v>16</v>
      </c>
      <c r="H65" s="6"/>
      <c r="I65" s="5"/>
      <c r="J65" s="5"/>
      <c r="K65" s="6"/>
      <c r="L65" s="7"/>
      <c r="M65" s="8" t="s">
        <v>17</v>
      </c>
    </row>
    <row r="66" customFormat="false" ht="15" hidden="false" customHeight="false" outlineLevel="0" collapsed="false">
      <c r="A66" s="2" t="n">
        <v>65</v>
      </c>
      <c r="B66" s="3" t="s">
        <v>162</v>
      </c>
      <c r="C66" s="3" t="s">
        <v>163</v>
      </c>
      <c r="D66" s="4" t="s">
        <v>164</v>
      </c>
      <c r="E66" s="3" t="s">
        <v>15</v>
      </c>
      <c r="F66" s="3" t="s">
        <v>165</v>
      </c>
      <c r="G66" s="5" t="s">
        <v>16</v>
      </c>
      <c r="H66" s="6"/>
      <c r="I66" s="5"/>
      <c r="J66" s="5"/>
      <c r="K66" s="6"/>
      <c r="L66" s="7"/>
      <c r="M66" s="8" t="s">
        <v>17</v>
      </c>
    </row>
    <row r="67" customFormat="false" ht="15" hidden="false" customHeight="false" outlineLevel="0" collapsed="false">
      <c r="A67" s="2" t="n">
        <v>66</v>
      </c>
      <c r="B67" s="3" t="s">
        <v>162</v>
      </c>
      <c r="C67" s="3" t="s">
        <v>163</v>
      </c>
      <c r="D67" s="4"/>
      <c r="E67" s="3" t="s">
        <v>15</v>
      </c>
      <c r="F67" s="3"/>
      <c r="G67" s="5" t="s">
        <v>16</v>
      </c>
      <c r="H67" s="6"/>
      <c r="I67" s="5"/>
      <c r="J67" s="5"/>
      <c r="K67" s="6"/>
      <c r="L67" s="7"/>
      <c r="M67" s="8" t="s">
        <v>17</v>
      </c>
    </row>
    <row r="68" customFormat="false" ht="15" hidden="false" customHeight="false" outlineLevel="0" collapsed="false">
      <c r="A68" s="2" t="n">
        <v>67</v>
      </c>
      <c r="B68" s="3" t="s">
        <v>166</v>
      </c>
      <c r="C68" s="3"/>
      <c r="D68" s="4"/>
      <c r="E68" s="3" t="s">
        <v>15</v>
      </c>
      <c r="F68" s="3"/>
      <c r="G68" s="5" t="s">
        <v>16</v>
      </c>
      <c r="H68" s="6"/>
      <c r="I68" s="5"/>
      <c r="J68" s="5"/>
      <c r="K68" s="6"/>
      <c r="L68" s="7"/>
      <c r="M68" s="8" t="s">
        <v>17</v>
      </c>
    </row>
    <row r="69" customFormat="false" ht="15" hidden="false" customHeight="false" outlineLevel="0" collapsed="false">
      <c r="A69" s="2" t="n">
        <v>68</v>
      </c>
      <c r="B69" s="3" t="s">
        <v>167</v>
      </c>
      <c r="C69" s="3"/>
      <c r="D69" s="4"/>
      <c r="E69" s="3" t="s">
        <v>15</v>
      </c>
      <c r="F69" s="3" t="s">
        <v>168</v>
      </c>
      <c r="G69" s="5" t="s">
        <v>16</v>
      </c>
      <c r="H69" s="6"/>
      <c r="I69" s="5"/>
      <c r="J69" s="5"/>
      <c r="K69" s="6"/>
      <c r="L69" s="7"/>
      <c r="M69" s="8" t="s">
        <v>17</v>
      </c>
    </row>
    <row r="70" customFormat="false" ht="15" hidden="false" customHeight="false" outlineLevel="0" collapsed="false">
      <c r="A70" s="2" t="n">
        <v>69</v>
      </c>
      <c r="B70" s="3" t="s">
        <v>169</v>
      </c>
      <c r="C70" s="3"/>
      <c r="D70" s="4" t="s">
        <v>170</v>
      </c>
      <c r="E70" s="3" t="s">
        <v>15</v>
      </c>
      <c r="F70" s="3" t="s">
        <v>171</v>
      </c>
      <c r="G70" s="5" t="s">
        <v>16</v>
      </c>
      <c r="H70" s="6"/>
      <c r="I70" s="5"/>
      <c r="J70" s="5"/>
      <c r="K70" s="6"/>
      <c r="L70" s="7"/>
      <c r="M70" s="8" t="s">
        <v>17</v>
      </c>
    </row>
    <row r="71" customFormat="false" ht="15" hidden="false" customHeight="false" outlineLevel="0" collapsed="false">
      <c r="A71" s="2" t="n">
        <v>70</v>
      </c>
      <c r="B71" s="3" t="s">
        <v>172</v>
      </c>
      <c r="C71" s="3" t="s">
        <v>84</v>
      </c>
      <c r="D71" s="4"/>
      <c r="E71" s="3" t="s">
        <v>15</v>
      </c>
      <c r="F71" s="3"/>
      <c r="G71" s="5" t="s">
        <v>16</v>
      </c>
      <c r="H71" s="6"/>
      <c r="I71" s="5"/>
      <c r="J71" s="5"/>
      <c r="K71" s="6"/>
      <c r="L71" s="7"/>
      <c r="M71" s="8" t="s">
        <v>17</v>
      </c>
    </row>
    <row r="72" customFormat="false" ht="15" hidden="false" customHeight="false" outlineLevel="0" collapsed="false">
      <c r="A72" s="2" t="n">
        <v>71</v>
      </c>
      <c r="B72" s="3" t="s">
        <v>173</v>
      </c>
      <c r="C72" s="3" t="s">
        <v>174</v>
      </c>
      <c r="D72" s="4" t="s">
        <v>175</v>
      </c>
      <c r="E72" s="3" t="s">
        <v>15</v>
      </c>
      <c r="F72" s="3" t="s">
        <v>176</v>
      </c>
      <c r="G72" s="5" t="s">
        <v>16</v>
      </c>
      <c r="H72" s="6"/>
      <c r="I72" s="5"/>
      <c r="J72" s="5"/>
      <c r="K72" s="6"/>
      <c r="L72" s="7"/>
      <c r="M72" s="8" t="s">
        <v>17</v>
      </c>
    </row>
    <row r="73" customFormat="false" ht="15" hidden="false" customHeight="false" outlineLevel="0" collapsed="false">
      <c r="A73" s="2" t="n">
        <v>72</v>
      </c>
      <c r="B73" s="3" t="s">
        <v>177</v>
      </c>
      <c r="C73" s="3" t="s">
        <v>178</v>
      </c>
      <c r="D73" s="4"/>
      <c r="E73" s="3" t="s">
        <v>15</v>
      </c>
      <c r="F73" s="3"/>
      <c r="G73" s="5" t="s">
        <v>16</v>
      </c>
      <c r="H73" s="6"/>
      <c r="I73" s="5"/>
      <c r="J73" s="5"/>
      <c r="K73" s="6"/>
      <c r="L73" s="7"/>
      <c r="M73" s="8" t="s">
        <v>17</v>
      </c>
    </row>
    <row r="74" customFormat="false" ht="15" hidden="false" customHeight="false" outlineLevel="0" collapsed="false">
      <c r="A74" s="2" t="n">
        <v>73</v>
      </c>
      <c r="B74" s="3" t="s">
        <v>179</v>
      </c>
      <c r="C74" s="3" t="s">
        <v>180</v>
      </c>
      <c r="D74" s="4"/>
      <c r="E74" s="3" t="s">
        <v>15</v>
      </c>
      <c r="F74" s="3" t="s">
        <v>181</v>
      </c>
      <c r="G74" s="5" t="s">
        <v>16</v>
      </c>
      <c r="H74" s="6"/>
      <c r="I74" s="5"/>
      <c r="J74" s="5"/>
      <c r="K74" s="6"/>
      <c r="L74" s="7"/>
      <c r="M74" s="8" t="s">
        <v>17</v>
      </c>
    </row>
    <row r="75" customFormat="false" ht="15" hidden="false" customHeight="false" outlineLevel="0" collapsed="false">
      <c r="A75" s="2" t="n">
        <v>74</v>
      </c>
      <c r="B75" s="3" t="s">
        <v>182</v>
      </c>
      <c r="C75" s="3"/>
      <c r="D75" s="4"/>
      <c r="E75" s="3" t="s">
        <v>15</v>
      </c>
      <c r="F75" s="3" t="s">
        <v>183</v>
      </c>
      <c r="G75" s="5" t="s">
        <v>16</v>
      </c>
      <c r="H75" s="6"/>
      <c r="I75" s="5"/>
      <c r="J75" s="5"/>
      <c r="K75" s="6"/>
      <c r="L75" s="7"/>
      <c r="M75" s="8" t="s">
        <v>17</v>
      </c>
    </row>
    <row r="76" customFormat="false" ht="15" hidden="false" customHeight="false" outlineLevel="0" collapsed="false">
      <c r="A76" s="2" t="n">
        <v>75</v>
      </c>
      <c r="B76" s="3" t="s">
        <v>184</v>
      </c>
      <c r="C76" s="3" t="s">
        <v>75</v>
      </c>
      <c r="D76" s="4" t="s">
        <v>185</v>
      </c>
      <c r="E76" s="3" t="s">
        <v>15</v>
      </c>
      <c r="F76" s="3" t="s">
        <v>186</v>
      </c>
      <c r="G76" s="5" t="s">
        <v>16</v>
      </c>
      <c r="H76" s="6"/>
      <c r="I76" s="5"/>
      <c r="J76" s="5"/>
      <c r="K76" s="6"/>
      <c r="L76" s="7"/>
      <c r="M76" s="8" t="s">
        <v>17</v>
      </c>
    </row>
    <row r="77" customFormat="false" ht="15" hidden="false" customHeight="false" outlineLevel="0" collapsed="false">
      <c r="A77" s="2" t="n">
        <v>76</v>
      </c>
      <c r="B77" s="3" t="s">
        <v>187</v>
      </c>
      <c r="C77" s="3" t="s">
        <v>88</v>
      </c>
      <c r="D77" s="4" t="s">
        <v>188</v>
      </c>
      <c r="E77" s="3" t="s">
        <v>15</v>
      </c>
      <c r="F77" s="3" t="s">
        <v>189</v>
      </c>
      <c r="G77" s="5" t="s">
        <v>16</v>
      </c>
      <c r="H77" s="6"/>
      <c r="I77" s="5"/>
      <c r="J77" s="5"/>
      <c r="K77" s="6"/>
      <c r="L77" s="7"/>
      <c r="M77" s="8" t="s">
        <v>17</v>
      </c>
    </row>
    <row r="78" customFormat="false" ht="15" hidden="false" customHeight="false" outlineLevel="0" collapsed="false">
      <c r="A78" s="2" t="n">
        <v>77</v>
      </c>
      <c r="B78" s="3" t="s">
        <v>190</v>
      </c>
      <c r="C78" s="3" t="s">
        <v>191</v>
      </c>
      <c r="D78" s="4" t="s">
        <v>192</v>
      </c>
      <c r="E78" s="3" t="s">
        <v>15</v>
      </c>
      <c r="F78" s="3" t="s">
        <v>193</v>
      </c>
      <c r="G78" s="5" t="s">
        <v>16</v>
      </c>
      <c r="H78" s="6"/>
      <c r="I78" s="5"/>
      <c r="J78" s="5"/>
      <c r="K78" s="6"/>
      <c r="L78" s="7"/>
      <c r="M78" s="8" t="s">
        <v>17</v>
      </c>
    </row>
    <row r="79" customFormat="false" ht="15" hidden="false" customHeight="false" outlineLevel="0" collapsed="false">
      <c r="A79" s="2" t="n">
        <v>78</v>
      </c>
      <c r="B79" s="3" t="s">
        <v>194</v>
      </c>
      <c r="C79" s="3"/>
      <c r="D79" s="4"/>
      <c r="E79" s="3" t="s">
        <v>15</v>
      </c>
      <c r="F79" s="3"/>
      <c r="G79" s="5" t="s">
        <v>16</v>
      </c>
      <c r="H79" s="6"/>
      <c r="I79" s="5"/>
      <c r="J79" s="5"/>
      <c r="K79" s="6"/>
      <c r="L79" s="7"/>
      <c r="M79" s="8" t="s">
        <v>17</v>
      </c>
    </row>
    <row r="80" customFormat="false" ht="15" hidden="false" customHeight="false" outlineLevel="0" collapsed="false">
      <c r="A80" s="2" t="n">
        <v>79</v>
      </c>
      <c r="B80" s="3" t="s">
        <v>195</v>
      </c>
      <c r="C80" s="3"/>
      <c r="D80" s="4"/>
      <c r="E80" s="3" t="s">
        <v>15</v>
      </c>
      <c r="F80" s="3"/>
      <c r="G80" s="5" t="s">
        <v>16</v>
      </c>
      <c r="H80" s="6"/>
      <c r="I80" s="5"/>
      <c r="J80" s="5"/>
      <c r="K80" s="6"/>
      <c r="L80" s="7"/>
      <c r="M80" s="8" t="s">
        <v>17</v>
      </c>
    </row>
    <row r="81" customFormat="false" ht="15" hidden="false" customHeight="false" outlineLevel="0" collapsed="false">
      <c r="A81" s="2" t="n">
        <v>80</v>
      </c>
      <c r="B81" s="3" t="s">
        <v>196</v>
      </c>
      <c r="C81" s="3"/>
      <c r="D81" s="4"/>
      <c r="E81" s="3" t="s">
        <v>15</v>
      </c>
      <c r="F81" s="3" t="s">
        <v>197</v>
      </c>
      <c r="G81" s="5" t="s">
        <v>16</v>
      </c>
      <c r="H81" s="6"/>
      <c r="I81" s="5"/>
      <c r="J81" s="5"/>
      <c r="K81" s="6"/>
      <c r="L81" s="7"/>
      <c r="M81" s="8" t="s">
        <v>17</v>
      </c>
    </row>
    <row r="82" customFormat="false" ht="15" hidden="false" customHeight="false" outlineLevel="0" collapsed="false">
      <c r="A82" s="2" t="n">
        <v>81</v>
      </c>
      <c r="B82" s="3" t="s">
        <v>198</v>
      </c>
      <c r="C82" s="3" t="s">
        <v>84</v>
      </c>
      <c r="D82" s="4"/>
      <c r="E82" s="3" t="s">
        <v>15</v>
      </c>
      <c r="F82" s="3" t="s">
        <v>199</v>
      </c>
      <c r="G82" s="5" t="s">
        <v>16</v>
      </c>
      <c r="H82" s="6"/>
      <c r="I82" s="5"/>
      <c r="J82" s="5"/>
      <c r="K82" s="6"/>
      <c r="L82" s="7"/>
      <c r="M82" s="8" t="s">
        <v>17</v>
      </c>
    </row>
    <row r="83" customFormat="false" ht="15" hidden="false" customHeight="false" outlineLevel="0" collapsed="false">
      <c r="A83" s="2" t="n">
        <v>82</v>
      </c>
      <c r="B83" s="3" t="s">
        <v>200</v>
      </c>
      <c r="C83" s="3"/>
      <c r="D83" s="4"/>
      <c r="E83" s="3" t="s">
        <v>15</v>
      </c>
      <c r="F83" s="3"/>
      <c r="G83" s="5" t="s">
        <v>16</v>
      </c>
      <c r="H83" s="6"/>
      <c r="I83" s="5"/>
      <c r="J83" s="5"/>
      <c r="K83" s="6"/>
      <c r="L83" s="7"/>
      <c r="M83" s="8" t="s">
        <v>17</v>
      </c>
    </row>
    <row r="84" customFormat="false" ht="15" hidden="false" customHeight="false" outlineLevel="0" collapsed="false">
      <c r="A84" s="2" t="n">
        <v>83</v>
      </c>
      <c r="B84" s="3" t="s">
        <v>201</v>
      </c>
      <c r="C84" s="3"/>
      <c r="D84" s="4" t="s">
        <v>202</v>
      </c>
      <c r="E84" s="3" t="s">
        <v>15</v>
      </c>
      <c r="F84" s="3" t="s">
        <v>203</v>
      </c>
      <c r="G84" s="5" t="s">
        <v>16</v>
      </c>
      <c r="H84" s="6"/>
      <c r="I84" s="5"/>
      <c r="J84" s="5"/>
      <c r="K84" s="6"/>
      <c r="L84" s="7"/>
      <c r="M84" s="8" t="s">
        <v>17</v>
      </c>
    </row>
    <row r="85" customFormat="false" ht="15" hidden="false" customHeight="false" outlineLevel="0" collapsed="false">
      <c r="A85" s="2" t="n">
        <v>84</v>
      </c>
      <c r="B85" s="3" t="s">
        <v>204</v>
      </c>
      <c r="C85" s="3"/>
      <c r="D85" s="4" t="s">
        <v>205</v>
      </c>
      <c r="E85" s="3" t="s">
        <v>15</v>
      </c>
      <c r="F85" s="3" t="s">
        <v>206</v>
      </c>
      <c r="G85" s="5" t="s">
        <v>16</v>
      </c>
      <c r="H85" s="6"/>
      <c r="I85" s="5"/>
      <c r="J85" s="5"/>
      <c r="K85" s="6"/>
      <c r="L85" s="7"/>
      <c r="M85" s="8" t="s">
        <v>17</v>
      </c>
    </row>
    <row r="86" customFormat="false" ht="15" hidden="false" customHeight="false" outlineLevel="0" collapsed="false">
      <c r="A86" s="2" t="n">
        <v>85</v>
      </c>
      <c r="B86" s="3" t="s">
        <v>207</v>
      </c>
      <c r="C86" s="3" t="s">
        <v>208</v>
      </c>
      <c r="D86" s="4"/>
      <c r="E86" s="3" t="s">
        <v>15</v>
      </c>
      <c r="F86" s="3"/>
      <c r="G86" s="5" t="s">
        <v>16</v>
      </c>
      <c r="H86" s="6"/>
      <c r="I86" s="5"/>
      <c r="J86" s="5"/>
      <c r="K86" s="6"/>
      <c r="L86" s="7"/>
      <c r="M86" s="8" t="s">
        <v>17</v>
      </c>
    </row>
    <row r="87" customFormat="false" ht="15" hidden="false" customHeight="false" outlineLevel="0" collapsed="false">
      <c r="A87" s="2" t="n">
        <v>86</v>
      </c>
      <c r="B87" s="3" t="s">
        <v>209</v>
      </c>
      <c r="C87" s="3"/>
      <c r="D87" s="4"/>
      <c r="E87" s="3" t="s">
        <v>15</v>
      </c>
      <c r="F87" s="3"/>
      <c r="G87" s="5" t="s">
        <v>16</v>
      </c>
      <c r="H87" s="6"/>
      <c r="I87" s="5"/>
      <c r="J87" s="5"/>
      <c r="K87" s="6"/>
      <c r="L87" s="7"/>
      <c r="M87" s="8" t="s">
        <v>17</v>
      </c>
    </row>
    <row r="88" customFormat="false" ht="15" hidden="false" customHeight="false" outlineLevel="0" collapsed="false">
      <c r="A88" s="2" t="n">
        <v>87</v>
      </c>
      <c r="B88" s="3" t="s">
        <v>210</v>
      </c>
      <c r="C88" s="3" t="s">
        <v>211</v>
      </c>
      <c r="D88" s="4"/>
      <c r="E88" s="3" t="s">
        <v>15</v>
      </c>
      <c r="F88" s="3" t="s">
        <v>212</v>
      </c>
      <c r="G88" s="5" t="s">
        <v>16</v>
      </c>
      <c r="H88" s="6"/>
      <c r="I88" s="5"/>
      <c r="J88" s="5"/>
      <c r="K88" s="6"/>
      <c r="L88" s="7"/>
      <c r="M88" s="8" t="s">
        <v>17</v>
      </c>
    </row>
    <row r="89" customFormat="false" ht="15" hidden="false" customHeight="false" outlineLevel="0" collapsed="false">
      <c r="A89" s="2" t="n">
        <v>88</v>
      </c>
      <c r="B89" s="3" t="s">
        <v>213</v>
      </c>
      <c r="C89" s="3" t="s">
        <v>124</v>
      </c>
      <c r="D89" s="4" t="s">
        <v>214</v>
      </c>
      <c r="E89" s="3" t="s">
        <v>15</v>
      </c>
      <c r="F89" s="3" t="s">
        <v>215</v>
      </c>
      <c r="G89" s="5" t="s">
        <v>16</v>
      </c>
      <c r="H89" s="6"/>
      <c r="I89" s="5"/>
      <c r="J89" s="5"/>
      <c r="K89" s="6"/>
      <c r="L89" s="7"/>
      <c r="M89" s="8" t="s">
        <v>17</v>
      </c>
    </row>
    <row r="90" customFormat="false" ht="15" hidden="false" customHeight="false" outlineLevel="0" collapsed="false">
      <c r="A90" s="2" t="n">
        <v>89</v>
      </c>
      <c r="B90" s="3" t="s">
        <v>216</v>
      </c>
      <c r="C90" s="3"/>
      <c r="D90" s="4"/>
      <c r="E90" s="3" t="s">
        <v>15</v>
      </c>
      <c r="F90" s="3" t="s">
        <v>217</v>
      </c>
      <c r="G90" s="5" t="s">
        <v>16</v>
      </c>
      <c r="H90" s="6"/>
      <c r="I90" s="5"/>
      <c r="J90" s="5"/>
      <c r="K90" s="6"/>
      <c r="L90" s="7"/>
      <c r="M90" s="8" t="s">
        <v>17</v>
      </c>
    </row>
    <row r="91" customFormat="false" ht="15" hidden="false" customHeight="false" outlineLevel="0" collapsed="false">
      <c r="A91" s="2" t="n">
        <v>90</v>
      </c>
      <c r="B91" s="3" t="s">
        <v>218</v>
      </c>
      <c r="C91" s="3"/>
      <c r="D91" s="4"/>
      <c r="E91" s="3" t="s">
        <v>15</v>
      </c>
      <c r="F91" s="3"/>
      <c r="G91" s="5" t="s">
        <v>16</v>
      </c>
      <c r="H91" s="6"/>
      <c r="I91" s="5"/>
      <c r="J91" s="5"/>
      <c r="K91" s="6"/>
      <c r="L91" s="7"/>
      <c r="M91" s="8" t="s">
        <v>17</v>
      </c>
    </row>
    <row r="92" customFormat="false" ht="15" hidden="false" customHeight="false" outlineLevel="0" collapsed="false">
      <c r="A92" s="2" t="n">
        <v>91</v>
      </c>
      <c r="B92" s="3" t="s">
        <v>219</v>
      </c>
      <c r="C92" s="3"/>
      <c r="D92" s="4"/>
      <c r="E92" s="3" t="s">
        <v>15</v>
      </c>
      <c r="F92" s="3"/>
      <c r="G92" s="5" t="s">
        <v>16</v>
      </c>
      <c r="H92" s="6"/>
      <c r="I92" s="5"/>
      <c r="J92" s="5"/>
      <c r="K92" s="6"/>
      <c r="L92" s="7"/>
      <c r="M92" s="8" t="s">
        <v>17</v>
      </c>
    </row>
    <row r="93" customFormat="false" ht="15" hidden="false" customHeight="false" outlineLevel="0" collapsed="false">
      <c r="A93" s="2" t="n">
        <v>92</v>
      </c>
      <c r="B93" s="3" t="s">
        <v>220</v>
      </c>
      <c r="C93" s="3" t="s">
        <v>62</v>
      </c>
      <c r="D93" s="4" t="s">
        <v>221</v>
      </c>
      <c r="E93" s="3" t="s">
        <v>15</v>
      </c>
      <c r="F93" s="3" t="s">
        <v>222</v>
      </c>
      <c r="G93" s="5" t="s">
        <v>16</v>
      </c>
      <c r="H93" s="6"/>
      <c r="I93" s="5"/>
      <c r="J93" s="5"/>
      <c r="K93" s="6"/>
      <c r="L93" s="7"/>
      <c r="M93" s="8" t="s">
        <v>17</v>
      </c>
    </row>
    <row r="94" customFormat="false" ht="15" hidden="false" customHeight="false" outlineLevel="0" collapsed="false">
      <c r="A94" s="2" t="n">
        <v>93</v>
      </c>
      <c r="B94" s="3" t="s">
        <v>223</v>
      </c>
      <c r="C94" s="3" t="s">
        <v>224</v>
      </c>
      <c r="D94" s="4" t="s">
        <v>225</v>
      </c>
      <c r="E94" s="3" t="s">
        <v>15</v>
      </c>
      <c r="F94" s="3"/>
      <c r="G94" s="5" t="s">
        <v>16</v>
      </c>
      <c r="H94" s="6"/>
      <c r="I94" s="5"/>
      <c r="J94" s="5"/>
      <c r="K94" s="6"/>
      <c r="L94" s="7"/>
      <c r="M94" s="8" t="s">
        <v>17</v>
      </c>
    </row>
    <row r="95" customFormat="false" ht="15" hidden="false" customHeight="false" outlineLevel="0" collapsed="false">
      <c r="A95" s="2" t="n">
        <v>94</v>
      </c>
      <c r="B95" s="3" t="s">
        <v>226</v>
      </c>
      <c r="C95" s="3"/>
      <c r="D95" s="4"/>
      <c r="E95" s="3" t="s">
        <v>15</v>
      </c>
      <c r="F95" s="3"/>
      <c r="G95" s="5" t="s">
        <v>16</v>
      </c>
      <c r="H95" s="6"/>
      <c r="I95" s="5"/>
      <c r="J95" s="5"/>
      <c r="K95" s="6"/>
      <c r="L95" s="7"/>
      <c r="M95" s="8" t="s">
        <v>17</v>
      </c>
    </row>
    <row r="96" customFormat="false" ht="15" hidden="false" customHeight="false" outlineLevel="0" collapsed="false">
      <c r="A96" s="2" t="n">
        <v>95</v>
      </c>
      <c r="B96" s="3" t="s">
        <v>227</v>
      </c>
      <c r="C96" s="3"/>
      <c r="D96" s="4"/>
      <c r="E96" s="3" t="s">
        <v>15</v>
      </c>
      <c r="F96" s="3" t="s">
        <v>228</v>
      </c>
      <c r="G96" s="5" t="s">
        <v>16</v>
      </c>
      <c r="H96" s="6"/>
      <c r="I96" s="5"/>
      <c r="J96" s="5"/>
      <c r="K96" s="6"/>
      <c r="L96" s="7"/>
      <c r="M96" s="8" t="s">
        <v>17</v>
      </c>
    </row>
    <row r="97" customFormat="false" ht="15" hidden="false" customHeight="false" outlineLevel="0" collapsed="false">
      <c r="A97" s="2" t="n">
        <v>96</v>
      </c>
      <c r="B97" s="3" t="s">
        <v>229</v>
      </c>
      <c r="C97" s="3" t="s">
        <v>230</v>
      </c>
      <c r="D97" s="4"/>
      <c r="E97" s="3" t="s">
        <v>15</v>
      </c>
      <c r="F97" s="3"/>
      <c r="G97" s="5" t="s">
        <v>16</v>
      </c>
      <c r="H97" s="6"/>
      <c r="I97" s="5"/>
      <c r="J97" s="5"/>
      <c r="K97" s="6"/>
      <c r="L97" s="7"/>
      <c r="M97" s="8" t="s">
        <v>17</v>
      </c>
    </row>
    <row r="98" customFormat="false" ht="15" hidden="false" customHeight="false" outlineLevel="0" collapsed="false">
      <c r="A98" s="2" t="n">
        <v>97</v>
      </c>
      <c r="B98" s="3" t="s">
        <v>231</v>
      </c>
      <c r="C98" s="3"/>
      <c r="D98" s="4" t="s">
        <v>232</v>
      </c>
      <c r="E98" s="3" t="s">
        <v>15</v>
      </c>
      <c r="F98" s="3" t="s">
        <v>233</v>
      </c>
      <c r="G98" s="5" t="s">
        <v>16</v>
      </c>
      <c r="H98" s="6"/>
      <c r="I98" s="5"/>
      <c r="J98" s="5"/>
      <c r="K98" s="6"/>
      <c r="L98" s="7"/>
      <c r="M98" s="8" t="s">
        <v>17</v>
      </c>
    </row>
    <row r="99" customFormat="false" ht="15" hidden="false" customHeight="false" outlineLevel="0" collapsed="false">
      <c r="A99" s="2" t="n">
        <v>98</v>
      </c>
      <c r="B99" s="3" t="s">
        <v>234</v>
      </c>
      <c r="C99" s="3" t="s">
        <v>64</v>
      </c>
      <c r="D99" s="4"/>
      <c r="E99" s="3" t="s">
        <v>15</v>
      </c>
      <c r="F99" s="3" t="s">
        <v>235</v>
      </c>
      <c r="G99" s="5" t="s">
        <v>16</v>
      </c>
      <c r="H99" s="6"/>
      <c r="I99" s="5"/>
      <c r="J99" s="5"/>
      <c r="K99" s="6"/>
      <c r="L99" s="7"/>
      <c r="M99" s="8" t="s">
        <v>17</v>
      </c>
    </row>
    <row r="100" customFormat="false" ht="15" hidden="false" customHeight="false" outlineLevel="0" collapsed="false">
      <c r="A100" s="2" t="n">
        <v>99</v>
      </c>
      <c r="B100" s="3" t="s">
        <v>236</v>
      </c>
      <c r="C100" s="3" t="s">
        <v>84</v>
      </c>
      <c r="D100" s="4" t="s">
        <v>237</v>
      </c>
      <c r="E100" s="3" t="s">
        <v>15</v>
      </c>
      <c r="F100" s="3" t="s">
        <v>238</v>
      </c>
      <c r="G100" s="5" t="s">
        <v>16</v>
      </c>
      <c r="H100" s="6"/>
      <c r="I100" s="5"/>
      <c r="J100" s="5"/>
      <c r="K100" s="6"/>
      <c r="L100" s="7"/>
      <c r="M100" s="8" t="s">
        <v>17</v>
      </c>
    </row>
    <row r="101" customFormat="false" ht="15" hidden="false" customHeight="false" outlineLevel="0" collapsed="false">
      <c r="A101" s="2" t="n">
        <v>100</v>
      </c>
      <c r="B101" s="3" t="s">
        <v>239</v>
      </c>
      <c r="C101" s="3"/>
      <c r="D101" s="4"/>
      <c r="E101" s="3" t="s">
        <v>15</v>
      </c>
      <c r="F101" s="3"/>
      <c r="G101" s="5" t="s">
        <v>16</v>
      </c>
      <c r="H101" s="6"/>
      <c r="I101" s="5"/>
      <c r="J101" s="5"/>
      <c r="K101" s="6"/>
      <c r="L101" s="7"/>
      <c r="M101" s="8" t="s">
        <v>17</v>
      </c>
    </row>
    <row r="102" customFormat="false" ht="15" hidden="false" customHeight="false" outlineLevel="0" collapsed="false">
      <c r="A102" s="2" t="n">
        <v>101</v>
      </c>
      <c r="B102" s="3" t="s">
        <v>240</v>
      </c>
      <c r="C102" s="3"/>
      <c r="D102" s="4" t="s">
        <v>241</v>
      </c>
      <c r="E102" s="3" t="s">
        <v>15</v>
      </c>
      <c r="F102" s="3" t="s">
        <v>242</v>
      </c>
      <c r="G102" s="5" t="s">
        <v>16</v>
      </c>
      <c r="H102" s="6"/>
      <c r="I102" s="5"/>
      <c r="J102" s="5"/>
      <c r="K102" s="6"/>
      <c r="L102" s="7"/>
      <c r="M102" s="8" t="s">
        <v>17</v>
      </c>
    </row>
    <row r="103" customFormat="false" ht="15" hidden="false" customHeight="false" outlineLevel="0" collapsed="false">
      <c r="A103" s="2" t="n">
        <v>102</v>
      </c>
      <c r="B103" s="3" t="s">
        <v>243</v>
      </c>
      <c r="C103" s="3"/>
      <c r="D103" s="4" t="s">
        <v>244</v>
      </c>
      <c r="E103" s="3" t="s">
        <v>15</v>
      </c>
      <c r="F103" s="3" t="s">
        <v>245</v>
      </c>
      <c r="G103" s="5" t="s">
        <v>16</v>
      </c>
      <c r="H103" s="6"/>
      <c r="I103" s="5"/>
      <c r="J103" s="5"/>
      <c r="K103" s="6"/>
      <c r="L103" s="7"/>
      <c r="M103" s="8" t="s">
        <v>17</v>
      </c>
    </row>
    <row r="104" customFormat="false" ht="15" hidden="false" customHeight="false" outlineLevel="0" collapsed="false">
      <c r="A104" s="2" t="n">
        <v>103</v>
      </c>
      <c r="B104" s="3" t="s">
        <v>246</v>
      </c>
      <c r="C104" s="3" t="s">
        <v>94</v>
      </c>
      <c r="D104" s="4"/>
      <c r="E104" s="3" t="s">
        <v>15</v>
      </c>
      <c r="F104" s="3" t="s">
        <v>247</v>
      </c>
      <c r="G104" s="5" t="s">
        <v>16</v>
      </c>
      <c r="H104" s="6"/>
      <c r="I104" s="5"/>
      <c r="J104" s="5"/>
      <c r="K104" s="6"/>
      <c r="L104" s="7"/>
      <c r="M104" s="8" t="s">
        <v>17</v>
      </c>
    </row>
    <row r="105" customFormat="false" ht="15" hidden="false" customHeight="false" outlineLevel="0" collapsed="false">
      <c r="A105" s="2" t="n">
        <v>104</v>
      </c>
      <c r="B105" s="3" t="s">
        <v>248</v>
      </c>
      <c r="C105" s="3" t="s">
        <v>88</v>
      </c>
      <c r="D105" s="4" t="s">
        <v>249</v>
      </c>
      <c r="E105" s="3" t="s">
        <v>15</v>
      </c>
      <c r="F105" s="3" t="s">
        <v>250</v>
      </c>
      <c r="G105" s="5" t="s">
        <v>16</v>
      </c>
      <c r="H105" s="6"/>
      <c r="I105" s="5"/>
      <c r="J105" s="5"/>
      <c r="K105" s="6"/>
      <c r="L105" s="7"/>
      <c r="M105" s="8" t="s">
        <v>17</v>
      </c>
    </row>
    <row r="106" customFormat="false" ht="15" hidden="false" customHeight="false" outlineLevel="0" collapsed="false">
      <c r="A106" s="2" t="n">
        <v>105</v>
      </c>
      <c r="B106" s="3" t="s">
        <v>251</v>
      </c>
      <c r="C106" s="3" t="s">
        <v>84</v>
      </c>
      <c r="D106" s="4"/>
      <c r="E106" s="3" t="s">
        <v>15</v>
      </c>
      <c r="F106" s="3" t="s">
        <v>252</v>
      </c>
      <c r="G106" s="5" t="s">
        <v>16</v>
      </c>
      <c r="H106" s="6"/>
      <c r="I106" s="5"/>
      <c r="J106" s="5"/>
      <c r="K106" s="6"/>
      <c r="L106" s="7"/>
      <c r="M106" s="8" t="s">
        <v>17</v>
      </c>
    </row>
    <row r="107" customFormat="false" ht="15" hidden="false" customHeight="false" outlineLevel="0" collapsed="false">
      <c r="A107" s="2" t="n">
        <v>106</v>
      </c>
      <c r="B107" s="3" t="s">
        <v>253</v>
      </c>
      <c r="C107" s="3" t="s">
        <v>254</v>
      </c>
      <c r="D107" s="4"/>
      <c r="E107" s="3" t="s">
        <v>15</v>
      </c>
      <c r="F107" s="3"/>
      <c r="G107" s="5" t="s">
        <v>16</v>
      </c>
      <c r="H107" s="6"/>
      <c r="I107" s="5"/>
      <c r="J107" s="5"/>
      <c r="K107" s="6"/>
      <c r="L107" s="7"/>
      <c r="M107" s="8" t="s">
        <v>17</v>
      </c>
    </row>
    <row r="108" customFormat="false" ht="15" hidden="false" customHeight="false" outlineLevel="0" collapsed="false">
      <c r="A108" s="2" t="n">
        <v>107</v>
      </c>
      <c r="B108" s="3" t="s">
        <v>255</v>
      </c>
      <c r="C108" s="3" t="s">
        <v>256</v>
      </c>
      <c r="D108" s="4" t="s">
        <v>257</v>
      </c>
      <c r="E108" s="3" t="s">
        <v>15</v>
      </c>
      <c r="F108" s="3" t="s">
        <v>258</v>
      </c>
      <c r="G108" s="5" t="s">
        <v>16</v>
      </c>
      <c r="H108" s="6"/>
      <c r="I108" s="5"/>
      <c r="J108" s="5"/>
      <c r="K108" s="6"/>
      <c r="L108" s="7"/>
      <c r="M108" s="8" t="s">
        <v>17</v>
      </c>
    </row>
    <row r="109" customFormat="false" ht="15" hidden="false" customHeight="false" outlineLevel="0" collapsed="false">
      <c r="A109" s="2" t="n">
        <v>108</v>
      </c>
      <c r="B109" s="3" t="s">
        <v>259</v>
      </c>
      <c r="C109" s="3" t="s">
        <v>84</v>
      </c>
      <c r="D109" s="4"/>
      <c r="E109" s="3" t="s">
        <v>15</v>
      </c>
      <c r="F109" s="3" t="s">
        <v>260</v>
      </c>
      <c r="G109" s="5" t="s">
        <v>16</v>
      </c>
      <c r="H109" s="6"/>
      <c r="I109" s="5"/>
      <c r="J109" s="5"/>
      <c r="K109" s="6"/>
      <c r="L109" s="7"/>
      <c r="M109" s="8" t="s">
        <v>17</v>
      </c>
    </row>
    <row r="110" customFormat="false" ht="15" hidden="false" customHeight="false" outlineLevel="0" collapsed="false">
      <c r="A110" s="2" t="n">
        <v>109</v>
      </c>
      <c r="B110" s="3" t="s">
        <v>261</v>
      </c>
      <c r="C110" s="3"/>
      <c r="D110" s="4"/>
      <c r="E110" s="3" t="s">
        <v>15</v>
      </c>
      <c r="F110" s="3"/>
      <c r="G110" s="5" t="s">
        <v>16</v>
      </c>
      <c r="H110" s="6"/>
      <c r="I110" s="5"/>
      <c r="J110" s="5"/>
      <c r="K110" s="6"/>
      <c r="L110" s="7"/>
      <c r="M110" s="8" t="s">
        <v>17</v>
      </c>
    </row>
    <row r="111" customFormat="false" ht="15" hidden="false" customHeight="false" outlineLevel="0" collapsed="false">
      <c r="A111" s="2" t="n">
        <v>110</v>
      </c>
      <c r="B111" s="3" t="s">
        <v>261</v>
      </c>
      <c r="C111" s="3" t="s">
        <v>211</v>
      </c>
      <c r="D111" s="4" t="s">
        <v>262</v>
      </c>
      <c r="E111" s="3" t="s">
        <v>15</v>
      </c>
      <c r="F111" s="3" t="s">
        <v>263</v>
      </c>
      <c r="G111" s="5" t="s">
        <v>16</v>
      </c>
      <c r="H111" s="6"/>
      <c r="I111" s="5"/>
      <c r="J111" s="5"/>
      <c r="K111" s="6"/>
      <c r="L111" s="7"/>
      <c r="M111" s="8" t="s">
        <v>17</v>
      </c>
    </row>
    <row r="112" customFormat="false" ht="15" hidden="false" customHeight="false" outlineLevel="0" collapsed="false">
      <c r="A112" s="2" t="n">
        <v>111</v>
      </c>
      <c r="B112" s="3" t="s">
        <v>264</v>
      </c>
      <c r="C112" s="3" t="s">
        <v>265</v>
      </c>
      <c r="D112" s="4"/>
      <c r="E112" s="3" t="s">
        <v>15</v>
      </c>
      <c r="F112" s="3"/>
      <c r="G112" s="5" t="s">
        <v>16</v>
      </c>
      <c r="H112" s="6"/>
      <c r="I112" s="5"/>
      <c r="J112" s="5"/>
      <c r="K112" s="6"/>
      <c r="L112" s="7"/>
      <c r="M112" s="8" t="s">
        <v>17</v>
      </c>
    </row>
    <row r="113" customFormat="false" ht="15" hidden="false" customHeight="false" outlineLevel="0" collapsed="false">
      <c r="A113" s="2" t="n">
        <v>112</v>
      </c>
      <c r="B113" s="3" t="s">
        <v>266</v>
      </c>
      <c r="C113" s="3" t="s">
        <v>84</v>
      </c>
      <c r="D113" s="4"/>
      <c r="E113" s="3" t="s">
        <v>15</v>
      </c>
      <c r="F113" s="3"/>
      <c r="G113" s="5" t="s">
        <v>16</v>
      </c>
      <c r="H113" s="6"/>
      <c r="I113" s="5"/>
      <c r="J113" s="5"/>
      <c r="K113" s="6"/>
      <c r="L113" s="7"/>
      <c r="M113" s="8" t="s">
        <v>17</v>
      </c>
    </row>
    <row r="114" customFormat="false" ht="15" hidden="false" customHeight="false" outlineLevel="0" collapsed="false">
      <c r="A114" s="2" t="n">
        <v>113</v>
      </c>
      <c r="B114" s="3" t="s">
        <v>267</v>
      </c>
      <c r="C114" s="3" t="s">
        <v>268</v>
      </c>
      <c r="D114" s="4" t="s">
        <v>269</v>
      </c>
      <c r="E114" s="3" t="s">
        <v>15</v>
      </c>
      <c r="F114" s="3" t="s">
        <v>270</v>
      </c>
      <c r="G114" s="5" t="s">
        <v>16</v>
      </c>
      <c r="H114" s="6"/>
      <c r="I114" s="5"/>
      <c r="J114" s="5"/>
      <c r="K114" s="6"/>
      <c r="L114" s="7"/>
      <c r="M114" s="8" t="s">
        <v>17</v>
      </c>
    </row>
    <row r="115" customFormat="false" ht="15" hidden="false" customHeight="false" outlineLevel="0" collapsed="false">
      <c r="A115" s="2" t="n">
        <v>114</v>
      </c>
      <c r="B115" s="3" t="s">
        <v>271</v>
      </c>
      <c r="C115" s="3" t="s">
        <v>272</v>
      </c>
      <c r="D115" s="4"/>
      <c r="E115" s="3" t="s">
        <v>15</v>
      </c>
      <c r="F115" s="3"/>
      <c r="G115" s="5" t="s">
        <v>16</v>
      </c>
      <c r="H115" s="6"/>
      <c r="I115" s="5"/>
      <c r="J115" s="5"/>
      <c r="K115" s="6"/>
      <c r="L115" s="7"/>
      <c r="M115" s="8" t="s">
        <v>17</v>
      </c>
    </row>
    <row r="116" customFormat="false" ht="15" hidden="false" customHeight="false" outlineLevel="0" collapsed="false">
      <c r="A116" s="2" t="n">
        <v>115</v>
      </c>
      <c r="B116" s="3" t="s">
        <v>273</v>
      </c>
      <c r="C116" s="3" t="s">
        <v>274</v>
      </c>
      <c r="D116" s="4"/>
      <c r="E116" s="3" t="s">
        <v>15</v>
      </c>
      <c r="F116" s="3" t="s">
        <v>275</v>
      </c>
      <c r="G116" s="5" t="s">
        <v>16</v>
      </c>
      <c r="H116" s="6"/>
      <c r="I116" s="5"/>
      <c r="J116" s="5"/>
      <c r="K116" s="6"/>
      <c r="L116" s="7"/>
      <c r="M116" s="8" t="s">
        <v>17</v>
      </c>
    </row>
    <row r="117" customFormat="false" ht="15" hidden="false" customHeight="false" outlineLevel="0" collapsed="false">
      <c r="A117" s="2" t="n">
        <v>116</v>
      </c>
      <c r="B117" s="3" t="s">
        <v>276</v>
      </c>
      <c r="C117" s="3"/>
      <c r="D117" s="4"/>
      <c r="E117" s="3" t="s">
        <v>15</v>
      </c>
      <c r="F117" s="3"/>
      <c r="G117" s="5" t="s">
        <v>16</v>
      </c>
      <c r="H117" s="6"/>
      <c r="I117" s="5"/>
      <c r="J117" s="5"/>
      <c r="K117" s="6"/>
      <c r="L117" s="7"/>
      <c r="M117" s="8" t="s">
        <v>17</v>
      </c>
    </row>
    <row r="118" customFormat="false" ht="15" hidden="false" customHeight="false" outlineLevel="0" collapsed="false">
      <c r="A118" s="2" t="n">
        <v>117</v>
      </c>
      <c r="B118" s="3" t="s">
        <v>277</v>
      </c>
      <c r="C118" s="3" t="s">
        <v>278</v>
      </c>
      <c r="D118" s="4"/>
      <c r="E118" s="3" t="s">
        <v>15</v>
      </c>
      <c r="F118" s="3"/>
      <c r="G118" s="5" t="s">
        <v>16</v>
      </c>
      <c r="H118" s="6"/>
      <c r="I118" s="5"/>
      <c r="J118" s="5"/>
      <c r="K118" s="6"/>
      <c r="L118" s="7"/>
      <c r="M118" s="8" t="s">
        <v>17</v>
      </c>
    </row>
    <row r="119" customFormat="false" ht="15" hidden="false" customHeight="false" outlineLevel="0" collapsed="false">
      <c r="A119" s="2" t="n">
        <v>118</v>
      </c>
      <c r="B119" s="3" t="s">
        <v>279</v>
      </c>
      <c r="C119" s="3" t="s">
        <v>280</v>
      </c>
      <c r="D119" s="4"/>
      <c r="E119" s="3" t="s">
        <v>15</v>
      </c>
      <c r="F119" s="3" t="s">
        <v>281</v>
      </c>
      <c r="G119" s="5" t="s">
        <v>16</v>
      </c>
      <c r="H119" s="6"/>
      <c r="I119" s="5"/>
      <c r="J119" s="5"/>
      <c r="K119" s="6"/>
      <c r="L119" s="7"/>
      <c r="M119" s="8" t="s">
        <v>17</v>
      </c>
    </row>
    <row r="120" customFormat="false" ht="15" hidden="false" customHeight="false" outlineLevel="0" collapsed="false">
      <c r="A120" s="2" t="n">
        <v>119</v>
      </c>
      <c r="B120" s="3" t="s">
        <v>282</v>
      </c>
      <c r="C120" s="3"/>
      <c r="D120" s="4"/>
      <c r="E120" s="3" t="s">
        <v>15</v>
      </c>
      <c r="F120" s="3" t="s">
        <v>283</v>
      </c>
      <c r="G120" s="5" t="s">
        <v>16</v>
      </c>
      <c r="H120" s="6"/>
      <c r="I120" s="5"/>
      <c r="J120" s="5"/>
      <c r="K120" s="6"/>
      <c r="L120" s="7"/>
      <c r="M120" s="8" t="s">
        <v>17</v>
      </c>
    </row>
    <row r="121" customFormat="false" ht="15" hidden="false" customHeight="false" outlineLevel="0" collapsed="false">
      <c r="A121" s="2" t="n">
        <v>120</v>
      </c>
      <c r="B121" s="3" t="s">
        <v>284</v>
      </c>
      <c r="C121" s="3"/>
      <c r="D121" s="4"/>
      <c r="E121" s="3" t="s">
        <v>15</v>
      </c>
      <c r="F121" s="3"/>
      <c r="G121" s="5" t="s">
        <v>16</v>
      </c>
      <c r="H121" s="6"/>
      <c r="I121" s="5"/>
      <c r="J121" s="5"/>
      <c r="K121" s="6"/>
      <c r="L121" s="7"/>
      <c r="M121" s="8" t="s">
        <v>17</v>
      </c>
    </row>
    <row r="122" customFormat="false" ht="15" hidden="false" customHeight="false" outlineLevel="0" collapsed="false">
      <c r="A122" s="2" t="n">
        <v>121</v>
      </c>
      <c r="B122" s="3" t="s">
        <v>285</v>
      </c>
      <c r="C122" s="3" t="s">
        <v>286</v>
      </c>
      <c r="D122" s="4"/>
      <c r="E122" s="3" t="s">
        <v>15</v>
      </c>
      <c r="F122" s="3" t="s">
        <v>287</v>
      </c>
      <c r="G122" s="5" t="s">
        <v>16</v>
      </c>
      <c r="H122" s="6"/>
      <c r="I122" s="5"/>
      <c r="J122" s="5"/>
      <c r="K122" s="6"/>
      <c r="L122" s="7"/>
      <c r="M122" s="8" t="s">
        <v>17</v>
      </c>
    </row>
    <row r="123" customFormat="false" ht="15" hidden="false" customHeight="false" outlineLevel="0" collapsed="false">
      <c r="A123" s="2" t="n">
        <v>122</v>
      </c>
      <c r="B123" s="3" t="s">
        <v>288</v>
      </c>
      <c r="C123" s="3" t="s">
        <v>289</v>
      </c>
      <c r="D123" s="4"/>
      <c r="E123" s="3" t="s">
        <v>15</v>
      </c>
      <c r="F123" s="3"/>
      <c r="G123" s="5" t="s">
        <v>16</v>
      </c>
      <c r="H123" s="6"/>
      <c r="I123" s="5"/>
      <c r="J123" s="5"/>
      <c r="K123" s="6"/>
      <c r="L123" s="7"/>
      <c r="M123" s="8" t="s">
        <v>17</v>
      </c>
    </row>
    <row r="124" customFormat="false" ht="15" hidden="false" customHeight="false" outlineLevel="0" collapsed="false">
      <c r="A124" s="2" t="n">
        <v>123</v>
      </c>
      <c r="B124" s="3" t="s">
        <v>290</v>
      </c>
      <c r="C124" s="3"/>
      <c r="D124" s="4"/>
      <c r="E124" s="3" t="s">
        <v>15</v>
      </c>
      <c r="F124" s="3" t="s">
        <v>291</v>
      </c>
      <c r="G124" s="5" t="s">
        <v>16</v>
      </c>
      <c r="H124" s="6"/>
      <c r="I124" s="5"/>
      <c r="J124" s="5"/>
      <c r="K124" s="6"/>
      <c r="L124" s="7"/>
      <c r="M124" s="8" t="s">
        <v>17</v>
      </c>
    </row>
    <row r="125" customFormat="false" ht="15" hidden="false" customHeight="false" outlineLevel="0" collapsed="false">
      <c r="A125" s="2" t="n">
        <v>124</v>
      </c>
      <c r="B125" s="3" t="s">
        <v>292</v>
      </c>
      <c r="C125" s="3"/>
      <c r="D125" s="4"/>
      <c r="E125" s="3" t="s">
        <v>15</v>
      </c>
      <c r="F125" s="3" t="s">
        <v>293</v>
      </c>
      <c r="G125" s="5" t="s">
        <v>16</v>
      </c>
      <c r="H125" s="6"/>
      <c r="I125" s="5"/>
      <c r="J125" s="5"/>
      <c r="K125" s="6"/>
      <c r="L125" s="7"/>
      <c r="M125" s="8" t="s">
        <v>17</v>
      </c>
    </row>
    <row r="126" customFormat="false" ht="15" hidden="false" customHeight="false" outlineLevel="0" collapsed="false">
      <c r="A126" s="2" t="n">
        <v>125</v>
      </c>
      <c r="B126" s="3" t="s">
        <v>294</v>
      </c>
      <c r="C126" s="3"/>
      <c r="D126" s="4" t="s">
        <v>295</v>
      </c>
      <c r="E126" s="3" t="s">
        <v>15</v>
      </c>
      <c r="F126" s="3" t="s">
        <v>296</v>
      </c>
      <c r="G126" s="5" t="s">
        <v>16</v>
      </c>
      <c r="H126" s="6"/>
      <c r="I126" s="5"/>
      <c r="J126" s="5"/>
      <c r="K126" s="6"/>
      <c r="L126" s="7"/>
      <c r="M126" s="8" t="s">
        <v>17</v>
      </c>
    </row>
    <row r="127" customFormat="false" ht="15" hidden="false" customHeight="false" outlineLevel="0" collapsed="false">
      <c r="A127" s="2" t="n">
        <v>126</v>
      </c>
      <c r="B127" s="3" t="s">
        <v>297</v>
      </c>
      <c r="C127" s="3"/>
      <c r="D127" s="4"/>
      <c r="E127" s="3" t="s">
        <v>15</v>
      </c>
      <c r="F127" s="3" t="s">
        <v>298</v>
      </c>
      <c r="G127" s="5" t="s">
        <v>16</v>
      </c>
      <c r="H127" s="6"/>
      <c r="I127" s="5"/>
      <c r="J127" s="5"/>
      <c r="K127" s="6"/>
      <c r="L127" s="7"/>
      <c r="M127" s="8" t="s">
        <v>17</v>
      </c>
    </row>
    <row r="128" customFormat="false" ht="15" hidden="false" customHeight="false" outlineLevel="0" collapsed="false">
      <c r="A128" s="2" t="n">
        <v>127</v>
      </c>
      <c r="B128" s="3" t="s">
        <v>299</v>
      </c>
      <c r="C128" s="3"/>
      <c r="D128" s="4"/>
      <c r="E128" s="3" t="s">
        <v>15</v>
      </c>
      <c r="F128" s="3"/>
      <c r="G128" s="5" t="s">
        <v>16</v>
      </c>
      <c r="H128" s="6"/>
      <c r="I128" s="5"/>
      <c r="J128" s="5"/>
      <c r="K128" s="6"/>
      <c r="L128" s="7"/>
      <c r="M128" s="8" t="s">
        <v>17</v>
      </c>
    </row>
    <row r="129" customFormat="false" ht="15" hidden="false" customHeight="false" outlineLevel="0" collapsed="false">
      <c r="A129" s="2" t="n">
        <v>128</v>
      </c>
      <c r="B129" s="3" t="s">
        <v>300</v>
      </c>
      <c r="C129" s="3" t="s">
        <v>256</v>
      </c>
      <c r="D129" s="4"/>
      <c r="E129" s="3" t="s">
        <v>15</v>
      </c>
      <c r="F129" s="3"/>
      <c r="G129" s="5" t="s">
        <v>16</v>
      </c>
      <c r="H129" s="6"/>
      <c r="I129" s="5"/>
      <c r="J129" s="5"/>
      <c r="K129" s="6"/>
      <c r="L129" s="7"/>
      <c r="M129" s="8" t="s">
        <v>17</v>
      </c>
    </row>
    <row r="130" customFormat="false" ht="15" hidden="false" customHeight="false" outlineLevel="0" collapsed="false">
      <c r="A130" s="2" t="n">
        <v>129</v>
      </c>
      <c r="B130" s="3" t="s">
        <v>301</v>
      </c>
      <c r="C130" s="3" t="s">
        <v>19</v>
      </c>
      <c r="D130" s="4"/>
      <c r="E130" s="3" t="s">
        <v>15</v>
      </c>
      <c r="F130" s="3"/>
      <c r="G130" s="5" t="s">
        <v>16</v>
      </c>
      <c r="H130" s="6"/>
      <c r="I130" s="5"/>
      <c r="J130" s="5"/>
      <c r="K130" s="6"/>
      <c r="L130" s="7"/>
      <c r="M130" s="8" t="s">
        <v>17</v>
      </c>
    </row>
    <row r="131" customFormat="false" ht="15" hidden="false" customHeight="false" outlineLevel="0" collapsed="false">
      <c r="A131" s="2" t="n">
        <v>130</v>
      </c>
      <c r="B131" s="3" t="s">
        <v>302</v>
      </c>
      <c r="C131" s="3" t="s">
        <v>26</v>
      </c>
      <c r="D131" s="4" t="s">
        <v>303</v>
      </c>
      <c r="E131" s="3" t="s">
        <v>15</v>
      </c>
      <c r="F131" s="3" t="s">
        <v>304</v>
      </c>
      <c r="G131" s="5" t="s">
        <v>16</v>
      </c>
      <c r="H131" s="6"/>
      <c r="I131" s="5"/>
      <c r="J131" s="5"/>
      <c r="K131" s="6"/>
      <c r="L131" s="7"/>
      <c r="M131" s="8" t="s">
        <v>17</v>
      </c>
    </row>
    <row r="132" customFormat="false" ht="15" hidden="false" customHeight="false" outlineLevel="0" collapsed="false">
      <c r="A132" s="2" t="n">
        <v>131</v>
      </c>
      <c r="B132" s="3" t="s">
        <v>305</v>
      </c>
      <c r="C132" s="3" t="s">
        <v>81</v>
      </c>
      <c r="D132" s="4"/>
      <c r="E132" s="3" t="s">
        <v>15</v>
      </c>
      <c r="F132" s="3"/>
      <c r="G132" s="5" t="s">
        <v>16</v>
      </c>
      <c r="H132" s="6"/>
      <c r="I132" s="5"/>
      <c r="J132" s="5"/>
      <c r="K132" s="6"/>
      <c r="L132" s="7"/>
      <c r="M132" s="8" t="s">
        <v>17</v>
      </c>
    </row>
    <row r="133" customFormat="false" ht="15" hidden="false" customHeight="false" outlineLevel="0" collapsed="false">
      <c r="A133" s="2" t="n">
        <v>132</v>
      </c>
      <c r="B133" s="3" t="s">
        <v>306</v>
      </c>
      <c r="C133" s="3" t="s">
        <v>88</v>
      </c>
      <c r="D133" s="4" t="s">
        <v>307</v>
      </c>
      <c r="E133" s="3" t="s">
        <v>15</v>
      </c>
      <c r="F133" s="3" t="s">
        <v>308</v>
      </c>
      <c r="G133" s="5" t="s">
        <v>16</v>
      </c>
      <c r="H133" s="6"/>
      <c r="I133" s="5"/>
      <c r="J133" s="5"/>
      <c r="K133" s="6"/>
      <c r="L133" s="7"/>
      <c r="M133" s="8" t="s">
        <v>17</v>
      </c>
    </row>
    <row r="134" customFormat="false" ht="15" hidden="false" customHeight="false" outlineLevel="0" collapsed="false">
      <c r="A134" s="2" t="n">
        <v>133</v>
      </c>
      <c r="B134" s="3" t="s">
        <v>309</v>
      </c>
      <c r="C134" s="3" t="s">
        <v>46</v>
      </c>
      <c r="D134" s="4"/>
      <c r="E134" s="3" t="s">
        <v>15</v>
      </c>
      <c r="F134" s="3" t="s">
        <v>310</v>
      </c>
      <c r="G134" s="5" t="s">
        <v>16</v>
      </c>
      <c r="H134" s="6"/>
      <c r="I134" s="5"/>
      <c r="J134" s="5"/>
      <c r="K134" s="6"/>
      <c r="L134" s="7"/>
      <c r="M134" s="8" t="s">
        <v>17</v>
      </c>
    </row>
    <row r="135" customFormat="false" ht="15" hidden="false" customHeight="false" outlineLevel="0" collapsed="false">
      <c r="A135" s="2" t="n">
        <v>134</v>
      </c>
      <c r="B135" s="3" t="s">
        <v>311</v>
      </c>
      <c r="C135" s="3" t="s">
        <v>84</v>
      </c>
      <c r="D135" s="4" t="s">
        <v>312</v>
      </c>
      <c r="E135" s="3" t="s">
        <v>15</v>
      </c>
      <c r="F135" s="3" t="s">
        <v>313</v>
      </c>
      <c r="G135" s="5" t="s">
        <v>16</v>
      </c>
      <c r="H135" s="6"/>
      <c r="I135" s="5"/>
      <c r="J135" s="5"/>
      <c r="K135" s="6"/>
      <c r="L135" s="7"/>
      <c r="M135" s="8" t="s">
        <v>17</v>
      </c>
    </row>
    <row r="136" customFormat="false" ht="15" hidden="false" customHeight="false" outlineLevel="0" collapsed="false">
      <c r="A136" s="2" t="n">
        <v>135</v>
      </c>
      <c r="B136" s="3" t="s">
        <v>314</v>
      </c>
      <c r="C136" s="3" t="s">
        <v>84</v>
      </c>
      <c r="D136" s="4"/>
      <c r="E136" s="3" t="s">
        <v>15</v>
      </c>
      <c r="F136" s="3" t="s">
        <v>315</v>
      </c>
      <c r="G136" s="5" t="s">
        <v>16</v>
      </c>
      <c r="H136" s="6"/>
      <c r="I136" s="5"/>
      <c r="J136" s="5"/>
      <c r="K136" s="6"/>
      <c r="L136" s="7"/>
      <c r="M136" s="8" t="s">
        <v>17</v>
      </c>
    </row>
    <row r="137" customFormat="false" ht="15" hidden="false" customHeight="false" outlineLevel="0" collapsed="false">
      <c r="A137" s="2" t="n">
        <v>136</v>
      </c>
      <c r="B137" s="3" t="s">
        <v>316</v>
      </c>
      <c r="C137" s="3"/>
      <c r="D137" s="4"/>
      <c r="E137" s="3" t="s">
        <v>15</v>
      </c>
      <c r="F137" s="3" t="s">
        <v>317</v>
      </c>
      <c r="G137" s="5" t="s">
        <v>16</v>
      </c>
      <c r="H137" s="6"/>
      <c r="I137" s="5"/>
      <c r="J137" s="5"/>
      <c r="K137" s="6"/>
      <c r="L137" s="7"/>
      <c r="M137" s="8" t="s">
        <v>17</v>
      </c>
    </row>
    <row r="138" customFormat="false" ht="15" hidden="false" customHeight="false" outlineLevel="0" collapsed="false">
      <c r="A138" s="2" t="n">
        <v>137</v>
      </c>
      <c r="B138" s="3" t="s">
        <v>318</v>
      </c>
      <c r="C138" s="3" t="s">
        <v>30</v>
      </c>
      <c r="D138" s="4" t="s">
        <v>319</v>
      </c>
      <c r="E138" s="3" t="s">
        <v>15</v>
      </c>
      <c r="F138" s="3" t="s">
        <v>320</v>
      </c>
      <c r="G138" s="5" t="s">
        <v>16</v>
      </c>
      <c r="H138" s="6"/>
      <c r="I138" s="5"/>
      <c r="J138" s="5"/>
      <c r="K138" s="6"/>
      <c r="L138" s="7"/>
      <c r="M138" s="8" t="s">
        <v>17</v>
      </c>
    </row>
    <row r="139" customFormat="false" ht="15" hidden="false" customHeight="false" outlineLevel="0" collapsed="false">
      <c r="A139" s="2" t="n">
        <v>138</v>
      </c>
      <c r="B139" s="3" t="s">
        <v>321</v>
      </c>
      <c r="C139" s="3" t="s">
        <v>84</v>
      </c>
      <c r="D139" s="4"/>
      <c r="E139" s="3" t="s">
        <v>15</v>
      </c>
      <c r="F139" s="3" t="s">
        <v>322</v>
      </c>
      <c r="G139" s="5" t="s">
        <v>16</v>
      </c>
      <c r="H139" s="6"/>
      <c r="I139" s="5"/>
      <c r="J139" s="5"/>
      <c r="K139" s="6"/>
      <c r="L139" s="7"/>
      <c r="M139" s="8" t="s">
        <v>17</v>
      </c>
    </row>
    <row r="140" customFormat="false" ht="15" hidden="false" customHeight="false" outlineLevel="0" collapsed="false">
      <c r="A140" s="2" t="n">
        <v>139</v>
      </c>
      <c r="B140" s="3" t="s">
        <v>323</v>
      </c>
      <c r="C140" s="3" t="s">
        <v>84</v>
      </c>
      <c r="D140" s="4"/>
      <c r="E140" s="3" t="s">
        <v>15</v>
      </c>
      <c r="F140" s="3" t="s">
        <v>324</v>
      </c>
      <c r="G140" s="5" t="s">
        <v>16</v>
      </c>
      <c r="H140" s="6"/>
      <c r="I140" s="5"/>
      <c r="J140" s="5"/>
      <c r="K140" s="6"/>
      <c r="L140" s="7"/>
      <c r="M140" s="8" t="s">
        <v>17</v>
      </c>
    </row>
    <row r="141" customFormat="false" ht="15" hidden="false" customHeight="false" outlineLevel="0" collapsed="false">
      <c r="A141" s="2" t="n">
        <v>140</v>
      </c>
      <c r="B141" s="3" t="s">
        <v>325</v>
      </c>
      <c r="C141" s="3"/>
      <c r="D141" s="4"/>
      <c r="E141" s="3" t="s">
        <v>15</v>
      </c>
      <c r="F141" s="3"/>
      <c r="G141" s="5" t="s">
        <v>16</v>
      </c>
      <c r="H141" s="6"/>
      <c r="I141" s="5"/>
      <c r="J141" s="5"/>
      <c r="K141" s="6"/>
      <c r="L141" s="7"/>
      <c r="M141" s="8" t="s">
        <v>17</v>
      </c>
    </row>
    <row r="142" customFormat="false" ht="15" hidden="false" customHeight="false" outlineLevel="0" collapsed="false">
      <c r="A142" s="2" t="n">
        <v>141</v>
      </c>
      <c r="B142" s="3" t="s">
        <v>326</v>
      </c>
      <c r="C142" s="3"/>
      <c r="D142" s="4"/>
      <c r="E142" s="3" t="s">
        <v>15</v>
      </c>
      <c r="F142" s="3"/>
      <c r="G142" s="5" t="s">
        <v>16</v>
      </c>
      <c r="H142" s="6"/>
      <c r="I142" s="5"/>
      <c r="J142" s="5"/>
      <c r="K142" s="6"/>
      <c r="L142" s="7"/>
      <c r="M142" s="8" t="s">
        <v>17</v>
      </c>
    </row>
    <row r="143" customFormat="false" ht="15" hidden="false" customHeight="false" outlineLevel="0" collapsed="false">
      <c r="A143" s="2" t="n">
        <v>142</v>
      </c>
      <c r="B143" s="3" t="s">
        <v>327</v>
      </c>
      <c r="C143" s="3" t="s">
        <v>84</v>
      </c>
      <c r="D143" s="4"/>
      <c r="E143" s="3" t="s">
        <v>15</v>
      </c>
      <c r="F143" s="3" t="s">
        <v>328</v>
      </c>
      <c r="G143" s="5" t="s">
        <v>16</v>
      </c>
      <c r="H143" s="6"/>
      <c r="I143" s="5"/>
      <c r="J143" s="5"/>
      <c r="K143" s="6"/>
      <c r="L143" s="7"/>
      <c r="M143" s="8" t="s">
        <v>17</v>
      </c>
    </row>
    <row r="144" customFormat="false" ht="15" hidden="false" customHeight="false" outlineLevel="0" collapsed="false">
      <c r="A144" s="2" t="n">
        <v>143</v>
      </c>
      <c r="B144" s="3" t="s">
        <v>327</v>
      </c>
      <c r="C144" s="3" t="s">
        <v>84</v>
      </c>
      <c r="D144" s="4" t="s">
        <v>329</v>
      </c>
      <c r="E144" s="3" t="s">
        <v>15</v>
      </c>
      <c r="F144" s="3"/>
      <c r="G144" s="5" t="s">
        <v>16</v>
      </c>
      <c r="H144" s="6"/>
      <c r="I144" s="5"/>
      <c r="J144" s="5"/>
      <c r="K144" s="6"/>
      <c r="L144" s="7"/>
      <c r="M144" s="8" t="s">
        <v>17</v>
      </c>
    </row>
    <row r="145" customFormat="false" ht="15" hidden="false" customHeight="false" outlineLevel="0" collapsed="false">
      <c r="A145" s="2" t="n">
        <v>144</v>
      </c>
      <c r="B145" s="3" t="s">
        <v>330</v>
      </c>
      <c r="C145" s="3"/>
      <c r="D145" s="4"/>
      <c r="E145" s="3" t="s">
        <v>15</v>
      </c>
      <c r="F145" s="3"/>
      <c r="G145" s="5" t="s">
        <v>16</v>
      </c>
      <c r="H145" s="6"/>
      <c r="I145" s="5"/>
      <c r="J145" s="5"/>
      <c r="K145" s="6"/>
      <c r="L145" s="7"/>
      <c r="M145" s="8" t="s">
        <v>17</v>
      </c>
    </row>
    <row r="146" customFormat="false" ht="15" hidden="false" customHeight="false" outlineLevel="0" collapsed="false">
      <c r="A146" s="2" t="n">
        <v>145</v>
      </c>
      <c r="B146" s="3" t="s">
        <v>331</v>
      </c>
      <c r="C146" s="3"/>
      <c r="D146" s="4"/>
      <c r="E146" s="3" t="s">
        <v>15</v>
      </c>
      <c r="F146" s="3" t="s">
        <v>332</v>
      </c>
      <c r="G146" s="5" t="s">
        <v>16</v>
      </c>
      <c r="H146" s="6"/>
      <c r="I146" s="5"/>
      <c r="J146" s="5"/>
      <c r="K146" s="6"/>
      <c r="L146" s="7"/>
      <c r="M146" s="8" t="s">
        <v>17</v>
      </c>
    </row>
    <row r="147" customFormat="false" ht="15" hidden="false" customHeight="false" outlineLevel="0" collapsed="false">
      <c r="A147" s="2" t="n">
        <v>146</v>
      </c>
      <c r="B147" s="3" t="s">
        <v>333</v>
      </c>
      <c r="C147" s="3" t="s">
        <v>84</v>
      </c>
      <c r="D147" s="4"/>
      <c r="E147" s="3" t="s">
        <v>15</v>
      </c>
      <c r="F147" s="3"/>
      <c r="G147" s="5" t="s">
        <v>16</v>
      </c>
      <c r="H147" s="6"/>
      <c r="I147" s="5"/>
      <c r="J147" s="5"/>
      <c r="K147" s="6"/>
      <c r="L147" s="7"/>
      <c r="M147" s="8" t="s">
        <v>17</v>
      </c>
    </row>
    <row r="148" customFormat="false" ht="15" hidden="false" customHeight="false" outlineLevel="0" collapsed="false">
      <c r="A148" s="2" t="n">
        <v>147</v>
      </c>
      <c r="B148" s="3" t="s">
        <v>334</v>
      </c>
      <c r="C148" s="3" t="s">
        <v>88</v>
      </c>
      <c r="D148" s="4"/>
      <c r="E148" s="3" t="s">
        <v>15</v>
      </c>
      <c r="F148" s="3" t="s">
        <v>335</v>
      </c>
      <c r="G148" s="5" t="s">
        <v>16</v>
      </c>
      <c r="H148" s="6"/>
      <c r="I148" s="5"/>
      <c r="J148" s="5"/>
      <c r="K148" s="6"/>
      <c r="L148" s="7"/>
      <c r="M148" s="8" t="s">
        <v>17</v>
      </c>
    </row>
    <row r="149" customFormat="false" ht="15" hidden="false" customHeight="false" outlineLevel="0" collapsed="false">
      <c r="A149" s="2" t="n">
        <v>148</v>
      </c>
      <c r="B149" s="3" t="s">
        <v>336</v>
      </c>
      <c r="C149" s="3"/>
      <c r="D149" s="4"/>
      <c r="E149" s="3" t="s">
        <v>15</v>
      </c>
      <c r="F149" s="3"/>
      <c r="G149" s="5" t="s">
        <v>16</v>
      </c>
      <c r="H149" s="6"/>
      <c r="I149" s="5"/>
      <c r="J149" s="5"/>
      <c r="K149" s="6"/>
      <c r="L149" s="7"/>
      <c r="M149" s="8" t="s">
        <v>17</v>
      </c>
    </row>
    <row r="150" customFormat="false" ht="15" hidden="false" customHeight="false" outlineLevel="0" collapsed="false">
      <c r="A150" s="2" t="n">
        <v>149</v>
      </c>
      <c r="B150" s="3" t="s">
        <v>337</v>
      </c>
      <c r="C150" s="3" t="s">
        <v>124</v>
      </c>
      <c r="D150" s="4"/>
      <c r="E150" s="3" t="s">
        <v>15</v>
      </c>
      <c r="F150" s="3" t="s">
        <v>338</v>
      </c>
      <c r="G150" s="5" t="s">
        <v>16</v>
      </c>
      <c r="H150" s="6"/>
      <c r="I150" s="5"/>
      <c r="J150" s="5"/>
      <c r="K150" s="6"/>
      <c r="L150" s="7"/>
      <c r="M150" s="8" t="s">
        <v>17</v>
      </c>
    </row>
    <row r="151" customFormat="false" ht="15" hidden="false" customHeight="false" outlineLevel="0" collapsed="false">
      <c r="A151" s="2" t="n">
        <v>150</v>
      </c>
      <c r="B151" s="3" t="s">
        <v>339</v>
      </c>
      <c r="C151" s="3" t="s">
        <v>88</v>
      </c>
      <c r="D151" s="4"/>
      <c r="E151" s="3" t="s">
        <v>15</v>
      </c>
      <c r="F151" s="3"/>
      <c r="G151" s="5" t="s">
        <v>16</v>
      </c>
      <c r="H151" s="6"/>
      <c r="I151" s="5"/>
      <c r="J151" s="5"/>
      <c r="K151" s="6"/>
      <c r="L151" s="7"/>
      <c r="M151" s="8" t="s">
        <v>17</v>
      </c>
    </row>
    <row r="152" customFormat="false" ht="15" hidden="false" customHeight="false" outlineLevel="0" collapsed="false">
      <c r="A152" s="2" t="n">
        <v>151</v>
      </c>
      <c r="B152" s="3" t="s">
        <v>340</v>
      </c>
      <c r="C152" s="3" t="s">
        <v>81</v>
      </c>
      <c r="D152" s="4" t="s">
        <v>341</v>
      </c>
      <c r="E152" s="3" t="s">
        <v>15</v>
      </c>
      <c r="F152" s="3"/>
      <c r="G152" s="5" t="s">
        <v>16</v>
      </c>
      <c r="H152" s="6"/>
      <c r="I152" s="5"/>
      <c r="J152" s="5"/>
      <c r="K152" s="6"/>
      <c r="L152" s="7"/>
      <c r="M152" s="8" t="s">
        <v>17</v>
      </c>
    </row>
    <row r="153" customFormat="false" ht="15" hidden="false" customHeight="false" outlineLevel="0" collapsed="false">
      <c r="A153" s="2" t="n">
        <v>152</v>
      </c>
      <c r="B153" s="3" t="s">
        <v>342</v>
      </c>
      <c r="C153" s="3"/>
      <c r="D153" s="4"/>
      <c r="E153" s="3" t="s">
        <v>15</v>
      </c>
      <c r="F153" s="3" t="s">
        <v>343</v>
      </c>
      <c r="G153" s="5" t="s">
        <v>16</v>
      </c>
      <c r="H153" s="6"/>
      <c r="I153" s="5"/>
      <c r="J153" s="5"/>
      <c r="K153" s="6"/>
      <c r="L153" s="7"/>
      <c r="M153" s="8" t="s">
        <v>17</v>
      </c>
    </row>
    <row r="154" customFormat="false" ht="15" hidden="false" customHeight="false" outlineLevel="0" collapsed="false">
      <c r="A154" s="2" t="n">
        <v>153</v>
      </c>
      <c r="B154" s="3" t="s">
        <v>344</v>
      </c>
      <c r="C154" s="3" t="s">
        <v>345</v>
      </c>
      <c r="D154" s="4"/>
      <c r="E154" s="3" t="s">
        <v>15</v>
      </c>
      <c r="F154" s="3" t="s">
        <v>346</v>
      </c>
      <c r="G154" s="5" t="s">
        <v>16</v>
      </c>
      <c r="H154" s="6"/>
      <c r="I154" s="5"/>
      <c r="J154" s="5"/>
      <c r="K154" s="6"/>
      <c r="L154" s="7"/>
      <c r="M154" s="8" t="s">
        <v>17</v>
      </c>
    </row>
    <row r="155" customFormat="false" ht="15" hidden="false" customHeight="false" outlineLevel="0" collapsed="false">
      <c r="A155" s="2" t="n">
        <v>154</v>
      </c>
      <c r="B155" s="3" t="s">
        <v>347</v>
      </c>
      <c r="C155" s="3" t="s">
        <v>124</v>
      </c>
      <c r="D155" s="4"/>
      <c r="E155" s="3" t="s">
        <v>15</v>
      </c>
      <c r="F155" s="3" t="s">
        <v>348</v>
      </c>
      <c r="G155" s="5" t="s">
        <v>16</v>
      </c>
      <c r="H155" s="6"/>
      <c r="I155" s="5"/>
      <c r="J155" s="5"/>
      <c r="K155" s="6"/>
      <c r="L155" s="7"/>
      <c r="M155" s="8" t="s">
        <v>17</v>
      </c>
    </row>
    <row r="156" customFormat="false" ht="15" hidden="false" customHeight="false" outlineLevel="0" collapsed="false">
      <c r="A156" s="2" t="n">
        <v>155</v>
      </c>
      <c r="B156" s="3" t="s">
        <v>349</v>
      </c>
      <c r="C156" s="3" t="s">
        <v>81</v>
      </c>
      <c r="D156" s="4"/>
      <c r="E156" s="3" t="s">
        <v>15</v>
      </c>
      <c r="F156" s="3" t="s">
        <v>350</v>
      </c>
      <c r="G156" s="5" t="s">
        <v>16</v>
      </c>
      <c r="H156" s="6"/>
      <c r="I156" s="5"/>
      <c r="J156" s="5"/>
      <c r="K156" s="6"/>
      <c r="L156" s="7"/>
      <c r="M156" s="8" t="s">
        <v>17</v>
      </c>
    </row>
    <row r="157" customFormat="false" ht="15" hidden="false" customHeight="false" outlineLevel="0" collapsed="false">
      <c r="A157" s="2" t="n">
        <v>156</v>
      </c>
      <c r="B157" s="3" t="s">
        <v>351</v>
      </c>
      <c r="C157" s="3" t="s">
        <v>75</v>
      </c>
      <c r="D157" s="4"/>
      <c r="E157" s="3" t="s">
        <v>15</v>
      </c>
      <c r="F157" s="3"/>
      <c r="G157" s="5" t="s">
        <v>16</v>
      </c>
      <c r="H157" s="6"/>
      <c r="I157" s="5"/>
      <c r="J157" s="5"/>
      <c r="K157" s="6"/>
      <c r="L157" s="7"/>
      <c r="M157" s="8" t="s">
        <v>17</v>
      </c>
    </row>
    <row r="158" customFormat="false" ht="15" hidden="false" customHeight="false" outlineLevel="0" collapsed="false">
      <c r="A158" s="2" t="n">
        <v>157</v>
      </c>
      <c r="B158" s="3" t="s">
        <v>352</v>
      </c>
      <c r="C158" s="3"/>
      <c r="D158" s="4"/>
      <c r="E158" s="3" t="s">
        <v>15</v>
      </c>
      <c r="F158" s="3"/>
      <c r="G158" s="5" t="s">
        <v>16</v>
      </c>
      <c r="H158" s="6"/>
      <c r="I158" s="5"/>
      <c r="J158" s="5"/>
      <c r="K158" s="6"/>
      <c r="L158" s="7"/>
      <c r="M158" s="8" t="s">
        <v>17</v>
      </c>
    </row>
    <row r="159" customFormat="false" ht="15" hidden="false" customHeight="false" outlineLevel="0" collapsed="false">
      <c r="A159" s="2" t="n">
        <v>158</v>
      </c>
      <c r="B159" s="3" t="s">
        <v>353</v>
      </c>
      <c r="C159" s="3" t="s">
        <v>104</v>
      </c>
      <c r="D159" s="4"/>
      <c r="E159" s="3" t="s">
        <v>15</v>
      </c>
      <c r="F159" s="3" t="s">
        <v>354</v>
      </c>
      <c r="G159" s="5" t="s">
        <v>16</v>
      </c>
      <c r="H159" s="6"/>
      <c r="I159" s="5"/>
      <c r="J159" s="5"/>
      <c r="K159" s="6"/>
      <c r="L159" s="7"/>
      <c r="M159" s="8" t="s">
        <v>17</v>
      </c>
    </row>
    <row r="160" customFormat="false" ht="15" hidden="false" customHeight="false" outlineLevel="0" collapsed="false">
      <c r="A160" s="2" t="n">
        <v>159</v>
      </c>
      <c r="B160" s="3" t="s">
        <v>355</v>
      </c>
      <c r="C160" s="3" t="s">
        <v>51</v>
      </c>
      <c r="D160" s="4"/>
      <c r="E160" s="3" t="s">
        <v>15</v>
      </c>
      <c r="F160" s="3"/>
      <c r="G160" s="5" t="s">
        <v>16</v>
      </c>
      <c r="H160" s="6"/>
      <c r="I160" s="5"/>
      <c r="J160" s="5"/>
      <c r="K160" s="6"/>
      <c r="L160" s="7"/>
      <c r="M160" s="8" t="s">
        <v>17</v>
      </c>
    </row>
    <row r="161" customFormat="false" ht="15" hidden="false" customHeight="false" outlineLevel="0" collapsed="false">
      <c r="A161" s="2" t="n">
        <v>160</v>
      </c>
      <c r="B161" s="3" t="s">
        <v>356</v>
      </c>
      <c r="C161" s="3"/>
      <c r="D161" s="4"/>
      <c r="E161" s="3" t="s">
        <v>15</v>
      </c>
      <c r="F161" s="3" t="s">
        <v>357</v>
      </c>
      <c r="G161" s="5" t="s">
        <v>16</v>
      </c>
      <c r="H161" s="6"/>
      <c r="I161" s="5"/>
      <c r="J161" s="5"/>
      <c r="K161" s="6"/>
      <c r="L161" s="7"/>
      <c r="M161" s="8" t="s">
        <v>17</v>
      </c>
    </row>
    <row r="162" customFormat="false" ht="15" hidden="false" customHeight="false" outlineLevel="0" collapsed="false">
      <c r="A162" s="2" t="n">
        <v>161</v>
      </c>
      <c r="B162" s="3" t="s">
        <v>358</v>
      </c>
      <c r="C162" s="3"/>
      <c r="D162" s="4" t="s">
        <v>359</v>
      </c>
      <c r="E162" s="3" t="s">
        <v>15</v>
      </c>
      <c r="F162" s="3"/>
      <c r="G162" s="5" t="s">
        <v>16</v>
      </c>
      <c r="H162" s="6"/>
      <c r="I162" s="5"/>
      <c r="J162" s="5"/>
      <c r="K162" s="6"/>
      <c r="L162" s="7"/>
      <c r="M162" s="8" t="s">
        <v>17</v>
      </c>
    </row>
    <row r="163" customFormat="false" ht="15" hidden="false" customHeight="false" outlineLevel="0" collapsed="false">
      <c r="A163" s="2" t="n">
        <v>162</v>
      </c>
      <c r="B163" s="3" t="s">
        <v>360</v>
      </c>
      <c r="C163" s="3" t="s">
        <v>75</v>
      </c>
      <c r="D163" s="4"/>
      <c r="E163" s="3" t="s">
        <v>15</v>
      </c>
      <c r="F163" s="3"/>
      <c r="G163" s="5" t="s">
        <v>16</v>
      </c>
      <c r="H163" s="6"/>
      <c r="I163" s="5"/>
      <c r="J163" s="5"/>
      <c r="K163" s="6"/>
      <c r="L163" s="7"/>
      <c r="M163" s="8" t="s">
        <v>17</v>
      </c>
    </row>
    <row r="164" customFormat="false" ht="15" hidden="false" customHeight="false" outlineLevel="0" collapsed="false">
      <c r="A164" s="2" t="n">
        <v>163</v>
      </c>
      <c r="B164" s="3" t="s">
        <v>361</v>
      </c>
      <c r="C164" s="3" t="s">
        <v>62</v>
      </c>
      <c r="D164" s="4"/>
      <c r="E164" s="3" t="s">
        <v>15</v>
      </c>
      <c r="F164" s="3" t="s">
        <v>362</v>
      </c>
      <c r="G164" s="5" t="s">
        <v>16</v>
      </c>
      <c r="H164" s="6"/>
      <c r="I164" s="5"/>
      <c r="J164" s="5"/>
      <c r="K164" s="6"/>
      <c r="L164" s="7"/>
      <c r="M164" s="8" t="s">
        <v>17</v>
      </c>
    </row>
    <row r="165" customFormat="false" ht="15" hidden="false" customHeight="false" outlineLevel="0" collapsed="false">
      <c r="A165" s="2" t="n">
        <v>164</v>
      </c>
      <c r="B165" s="3" t="s">
        <v>363</v>
      </c>
      <c r="C165" s="3" t="s">
        <v>84</v>
      </c>
      <c r="D165" s="4" t="s">
        <v>364</v>
      </c>
      <c r="E165" s="3" t="s">
        <v>15</v>
      </c>
      <c r="F165" s="3"/>
      <c r="G165" s="5" t="s">
        <v>16</v>
      </c>
      <c r="H165" s="6"/>
      <c r="I165" s="5"/>
      <c r="J165" s="5"/>
      <c r="K165" s="6"/>
      <c r="L165" s="7"/>
      <c r="M165" s="8" t="s">
        <v>17</v>
      </c>
    </row>
    <row r="166" customFormat="false" ht="15" hidden="false" customHeight="false" outlineLevel="0" collapsed="false">
      <c r="A166" s="2" t="n">
        <v>165</v>
      </c>
      <c r="B166" s="3" t="s">
        <v>365</v>
      </c>
      <c r="C166" s="3"/>
      <c r="D166" s="4"/>
      <c r="E166" s="3" t="s">
        <v>15</v>
      </c>
      <c r="F166" s="3"/>
      <c r="G166" s="5" t="s">
        <v>16</v>
      </c>
      <c r="H166" s="6"/>
      <c r="I166" s="5"/>
      <c r="J166" s="5"/>
      <c r="K166" s="6"/>
      <c r="L166" s="7"/>
      <c r="M166" s="8" t="s">
        <v>17</v>
      </c>
    </row>
    <row r="167" customFormat="false" ht="15" hidden="false" customHeight="false" outlineLevel="0" collapsed="false">
      <c r="A167" s="2" t="n">
        <v>166</v>
      </c>
      <c r="B167" s="3" t="s">
        <v>366</v>
      </c>
      <c r="C167" s="3" t="s">
        <v>81</v>
      </c>
      <c r="D167" s="4"/>
      <c r="E167" s="3" t="s">
        <v>15</v>
      </c>
      <c r="F167" s="3"/>
      <c r="G167" s="5" t="s">
        <v>16</v>
      </c>
      <c r="H167" s="6"/>
      <c r="I167" s="5"/>
      <c r="J167" s="5"/>
      <c r="K167" s="6"/>
      <c r="L167" s="7"/>
      <c r="M167" s="8" t="s">
        <v>17</v>
      </c>
    </row>
    <row r="168" customFormat="false" ht="15" hidden="false" customHeight="false" outlineLevel="0" collapsed="false">
      <c r="A168" s="2" t="n">
        <v>167</v>
      </c>
      <c r="B168" s="3" t="s">
        <v>367</v>
      </c>
      <c r="C168" s="3"/>
      <c r="D168" s="4"/>
      <c r="E168" s="3" t="s">
        <v>15</v>
      </c>
      <c r="F168" s="3"/>
      <c r="G168" s="5" t="s">
        <v>16</v>
      </c>
      <c r="H168" s="6"/>
      <c r="I168" s="5"/>
      <c r="J168" s="5"/>
      <c r="K168" s="6"/>
      <c r="L168" s="7"/>
      <c r="M168" s="8" t="s">
        <v>17</v>
      </c>
    </row>
    <row r="169" customFormat="false" ht="15" hidden="false" customHeight="false" outlineLevel="0" collapsed="false">
      <c r="A169" s="2" t="n">
        <v>168</v>
      </c>
      <c r="B169" s="3" t="s">
        <v>368</v>
      </c>
      <c r="C169" s="3"/>
      <c r="D169" s="4" t="s">
        <v>369</v>
      </c>
      <c r="E169" s="3" t="s">
        <v>15</v>
      </c>
      <c r="F169" s="3"/>
      <c r="G169" s="5" t="s">
        <v>16</v>
      </c>
      <c r="H169" s="6"/>
      <c r="I169" s="5"/>
      <c r="J169" s="5"/>
      <c r="K169" s="6"/>
      <c r="L169" s="7"/>
      <c r="M169" s="8" t="s">
        <v>17</v>
      </c>
    </row>
    <row r="170" customFormat="false" ht="15" hidden="false" customHeight="false" outlineLevel="0" collapsed="false">
      <c r="A170" s="2" t="n">
        <v>169</v>
      </c>
      <c r="B170" s="3" t="s">
        <v>370</v>
      </c>
      <c r="C170" s="3" t="s">
        <v>19</v>
      </c>
      <c r="D170" s="4" t="s">
        <v>371</v>
      </c>
      <c r="E170" s="3" t="s">
        <v>15</v>
      </c>
      <c r="F170" s="3"/>
      <c r="G170" s="5" t="s">
        <v>16</v>
      </c>
      <c r="H170" s="6"/>
      <c r="I170" s="5"/>
      <c r="J170" s="5"/>
      <c r="K170" s="6"/>
      <c r="L170" s="7"/>
      <c r="M170" s="8" t="s">
        <v>17</v>
      </c>
    </row>
    <row r="171" customFormat="false" ht="15" hidden="false" customHeight="false" outlineLevel="0" collapsed="false">
      <c r="A171" s="2" t="n">
        <v>170</v>
      </c>
      <c r="B171" s="3" t="s">
        <v>372</v>
      </c>
      <c r="C171" s="3"/>
      <c r="D171" s="4"/>
      <c r="E171" s="3" t="s">
        <v>15</v>
      </c>
      <c r="F171" s="3"/>
      <c r="G171" s="5" t="s">
        <v>16</v>
      </c>
      <c r="H171" s="6"/>
      <c r="I171" s="5"/>
      <c r="J171" s="5"/>
      <c r="K171" s="6"/>
      <c r="L171" s="7"/>
      <c r="M171" s="8" t="s">
        <v>17</v>
      </c>
    </row>
    <row r="172" customFormat="false" ht="15" hidden="false" customHeight="false" outlineLevel="0" collapsed="false">
      <c r="A172" s="2" t="n">
        <v>171</v>
      </c>
      <c r="B172" s="3" t="s">
        <v>373</v>
      </c>
      <c r="C172" s="3"/>
      <c r="D172" s="4" t="s">
        <v>374</v>
      </c>
      <c r="E172" s="3" t="s">
        <v>15</v>
      </c>
      <c r="F172" s="3"/>
      <c r="G172" s="5" t="s">
        <v>16</v>
      </c>
      <c r="H172" s="6"/>
      <c r="I172" s="5"/>
      <c r="J172" s="5"/>
      <c r="K172" s="6"/>
      <c r="L172" s="7"/>
      <c r="M172" s="8" t="s">
        <v>17</v>
      </c>
    </row>
    <row r="173" customFormat="false" ht="15" hidden="false" customHeight="false" outlineLevel="0" collapsed="false">
      <c r="A173" s="2" t="n">
        <v>172</v>
      </c>
      <c r="B173" s="3" t="s">
        <v>375</v>
      </c>
      <c r="C173" s="3"/>
      <c r="D173" s="4"/>
      <c r="E173" s="3" t="s">
        <v>15</v>
      </c>
      <c r="F173" s="3"/>
      <c r="G173" s="5" t="s">
        <v>16</v>
      </c>
      <c r="H173" s="6"/>
      <c r="I173" s="5"/>
      <c r="J173" s="5"/>
      <c r="K173" s="6"/>
      <c r="L173" s="7"/>
      <c r="M173" s="8" t="s">
        <v>17</v>
      </c>
    </row>
    <row r="174" customFormat="false" ht="15" hidden="false" customHeight="false" outlineLevel="0" collapsed="false">
      <c r="A174" s="2" t="n">
        <v>173</v>
      </c>
      <c r="B174" s="3" t="s">
        <v>376</v>
      </c>
      <c r="C174" s="3" t="s">
        <v>377</v>
      </c>
      <c r="D174" s="4"/>
      <c r="E174" s="3" t="s">
        <v>15</v>
      </c>
      <c r="F174" s="3" t="s">
        <v>378</v>
      </c>
      <c r="G174" s="5" t="s">
        <v>16</v>
      </c>
      <c r="H174" s="6"/>
      <c r="I174" s="5"/>
      <c r="J174" s="5"/>
      <c r="K174" s="6"/>
      <c r="L174" s="7"/>
      <c r="M174" s="8" t="s">
        <v>17</v>
      </c>
    </row>
    <row r="175" customFormat="false" ht="15" hidden="false" customHeight="false" outlineLevel="0" collapsed="false">
      <c r="A175" s="2" t="n">
        <v>174</v>
      </c>
      <c r="B175" s="3" t="s">
        <v>379</v>
      </c>
      <c r="C175" s="3"/>
      <c r="D175" s="4" t="s">
        <v>380</v>
      </c>
      <c r="E175" s="3" t="s">
        <v>15</v>
      </c>
      <c r="F175" s="3" t="s">
        <v>381</v>
      </c>
      <c r="G175" s="5" t="s">
        <v>16</v>
      </c>
      <c r="H175" s="6"/>
      <c r="I175" s="5"/>
      <c r="J175" s="5"/>
      <c r="K175" s="6"/>
      <c r="L175" s="7"/>
      <c r="M175" s="8" t="s">
        <v>17</v>
      </c>
    </row>
    <row r="176" customFormat="false" ht="15" hidden="false" customHeight="false" outlineLevel="0" collapsed="false">
      <c r="A176" s="2" t="n">
        <v>175</v>
      </c>
      <c r="B176" s="3" t="s">
        <v>382</v>
      </c>
      <c r="C176" s="3" t="s">
        <v>383</v>
      </c>
      <c r="D176" s="4"/>
      <c r="E176" s="3" t="s">
        <v>15</v>
      </c>
      <c r="F176" s="3"/>
      <c r="G176" s="5" t="s">
        <v>16</v>
      </c>
      <c r="H176" s="6"/>
      <c r="I176" s="5"/>
      <c r="J176" s="5"/>
      <c r="K176" s="6"/>
      <c r="L176" s="7"/>
      <c r="M176" s="8" t="s">
        <v>17</v>
      </c>
    </row>
    <row r="177" customFormat="false" ht="15" hidden="false" customHeight="false" outlineLevel="0" collapsed="false">
      <c r="A177" s="2" t="n">
        <v>176</v>
      </c>
      <c r="B177" s="3" t="s">
        <v>382</v>
      </c>
      <c r="C177" s="3" t="s">
        <v>383</v>
      </c>
      <c r="D177" s="4"/>
      <c r="E177" s="3" t="s">
        <v>15</v>
      </c>
      <c r="F177" s="3"/>
      <c r="G177" s="5" t="s">
        <v>16</v>
      </c>
      <c r="H177" s="6"/>
      <c r="I177" s="5"/>
      <c r="J177" s="5"/>
      <c r="K177" s="6"/>
      <c r="L177" s="7"/>
      <c r="M177" s="8" t="s">
        <v>17</v>
      </c>
    </row>
    <row r="178" customFormat="false" ht="15" hidden="false" customHeight="false" outlineLevel="0" collapsed="false">
      <c r="A178" s="2" t="n">
        <v>177</v>
      </c>
      <c r="B178" s="3" t="s">
        <v>384</v>
      </c>
      <c r="C178" s="3" t="s">
        <v>19</v>
      </c>
      <c r="D178" s="4"/>
      <c r="E178" s="3" t="s">
        <v>15</v>
      </c>
      <c r="F178" s="3" t="s">
        <v>385</v>
      </c>
      <c r="G178" s="5" t="s">
        <v>16</v>
      </c>
      <c r="H178" s="6"/>
      <c r="I178" s="5"/>
      <c r="J178" s="5"/>
      <c r="K178" s="6"/>
      <c r="L178" s="7"/>
      <c r="M178" s="8" t="s">
        <v>17</v>
      </c>
    </row>
    <row r="179" customFormat="false" ht="15" hidden="false" customHeight="false" outlineLevel="0" collapsed="false">
      <c r="A179" s="2" t="n">
        <v>178</v>
      </c>
      <c r="B179" s="3" t="s">
        <v>386</v>
      </c>
      <c r="C179" s="3" t="s">
        <v>387</v>
      </c>
      <c r="D179" s="4" t="s">
        <v>388</v>
      </c>
      <c r="E179" s="3" t="s">
        <v>15</v>
      </c>
      <c r="F179" s="3" t="s">
        <v>389</v>
      </c>
      <c r="G179" s="5" t="s">
        <v>16</v>
      </c>
      <c r="H179" s="6"/>
      <c r="I179" s="5"/>
      <c r="J179" s="5"/>
      <c r="K179" s="6"/>
      <c r="L179" s="7"/>
      <c r="M179" s="8" t="s">
        <v>17</v>
      </c>
    </row>
    <row r="180" customFormat="false" ht="15" hidden="false" customHeight="false" outlineLevel="0" collapsed="false">
      <c r="A180" s="2" t="n">
        <v>179</v>
      </c>
      <c r="B180" s="3" t="s">
        <v>390</v>
      </c>
      <c r="C180" s="3" t="s">
        <v>84</v>
      </c>
      <c r="D180" s="4"/>
      <c r="E180" s="3" t="s">
        <v>15</v>
      </c>
      <c r="F180" s="3" t="s">
        <v>391</v>
      </c>
      <c r="G180" s="5" t="s">
        <v>16</v>
      </c>
      <c r="H180" s="6"/>
      <c r="I180" s="5"/>
      <c r="J180" s="5"/>
      <c r="K180" s="6"/>
      <c r="L180" s="7"/>
      <c r="M180" s="8" t="s">
        <v>17</v>
      </c>
    </row>
    <row r="181" customFormat="false" ht="15" hidden="false" customHeight="false" outlineLevel="0" collapsed="false">
      <c r="A181" s="2" t="n">
        <v>180</v>
      </c>
      <c r="B181" s="3" t="s">
        <v>392</v>
      </c>
      <c r="C181" s="3"/>
      <c r="D181" s="4" t="s">
        <v>393</v>
      </c>
      <c r="E181" s="3" t="s">
        <v>15</v>
      </c>
      <c r="F181" s="3"/>
      <c r="G181" s="5" t="s">
        <v>16</v>
      </c>
      <c r="H181" s="6"/>
      <c r="I181" s="5"/>
      <c r="J181" s="5"/>
      <c r="K181" s="6"/>
      <c r="L181" s="7"/>
      <c r="M181" s="8" t="s">
        <v>17</v>
      </c>
    </row>
    <row r="182" customFormat="false" ht="15" hidden="false" customHeight="false" outlineLevel="0" collapsed="false">
      <c r="A182" s="2" t="n">
        <v>181</v>
      </c>
      <c r="B182" s="3" t="s">
        <v>394</v>
      </c>
      <c r="C182" s="3" t="s">
        <v>84</v>
      </c>
      <c r="D182" s="4" t="s">
        <v>395</v>
      </c>
      <c r="E182" s="3" t="s">
        <v>15</v>
      </c>
      <c r="F182" s="3" t="s">
        <v>396</v>
      </c>
      <c r="G182" s="5" t="s">
        <v>16</v>
      </c>
      <c r="H182" s="6"/>
      <c r="I182" s="5"/>
      <c r="J182" s="5"/>
      <c r="K182" s="6"/>
      <c r="L182" s="7"/>
      <c r="M182" s="8" t="s">
        <v>17</v>
      </c>
    </row>
    <row r="183" customFormat="false" ht="15" hidden="false" customHeight="false" outlineLevel="0" collapsed="false">
      <c r="A183" s="2" t="n">
        <v>182</v>
      </c>
      <c r="B183" s="3" t="s">
        <v>397</v>
      </c>
      <c r="C183" s="3"/>
      <c r="D183" s="4"/>
      <c r="E183" s="3" t="s">
        <v>15</v>
      </c>
      <c r="F183" s="3" t="s">
        <v>398</v>
      </c>
      <c r="G183" s="5" t="s">
        <v>16</v>
      </c>
      <c r="H183" s="6"/>
      <c r="I183" s="5"/>
      <c r="J183" s="5"/>
      <c r="K183" s="6"/>
      <c r="L183" s="7"/>
      <c r="M183" s="8" t="s">
        <v>17</v>
      </c>
    </row>
    <row r="184" customFormat="false" ht="15" hidden="false" customHeight="false" outlineLevel="0" collapsed="false">
      <c r="A184" s="2" t="n">
        <v>183</v>
      </c>
      <c r="B184" s="3" t="s">
        <v>399</v>
      </c>
      <c r="C184" s="3" t="s">
        <v>154</v>
      </c>
      <c r="D184" s="4" t="s">
        <v>400</v>
      </c>
      <c r="E184" s="3" t="s">
        <v>15</v>
      </c>
      <c r="F184" s="3"/>
      <c r="G184" s="5" t="s">
        <v>16</v>
      </c>
      <c r="H184" s="6"/>
      <c r="I184" s="5"/>
      <c r="J184" s="5"/>
      <c r="K184" s="6"/>
      <c r="L184" s="7"/>
      <c r="M184" s="8" t="s">
        <v>17</v>
      </c>
    </row>
    <row r="185" customFormat="false" ht="15" hidden="false" customHeight="false" outlineLevel="0" collapsed="false">
      <c r="A185" s="2" t="n">
        <v>184</v>
      </c>
      <c r="B185" s="3" t="s">
        <v>401</v>
      </c>
      <c r="C185" s="3"/>
      <c r="D185" s="4"/>
      <c r="E185" s="3" t="s">
        <v>15</v>
      </c>
      <c r="F185" s="3" t="s">
        <v>402</v>
      </c>
      <c r="G185" s="5" t="s">
        <v>16</v>
      </c>
      <c r="H185" s="6"/>
      <c r="I185" s="5"/>
      <c r="J185" s="5"/>
      <c r="K185" s="6"/>
      <c r="L185" s="7"/>
      <c r="M185" s="8" t="s">
        <v>17</v>
      </c>
    </row>
    <row r="186" customFormat="false" ht="15" hidden="false" customHeight="false" outlineLevel="0" collapsed="false">
      <c r="A186" s="2" t="n">
        <v>185</v>
      </c>
      <c r="B186" s="3" t="s">
        <v>403</v>
      </c>
      <c r="C186" s="3" t="s">
        <v>32</v>
      </c>
      <c r="D186" s="4"/>
      <c r="E186" s="3" t="s">
        <v>15</v>
      </c>
      <c r="F186" s="3" t="s">
        <v>404</v>
      </c>
      <c r="G186" s="5" t="s">
        <v>16</v>
      </c>
      <c r="H186" s="6"/>
      <c r="I186" s="5"/>
      <c r="J186" s="5"/>
      <c r="K186" s="6"/>
      <c r="L186" s="7"/>
      <c r="M186" s="8" t="s">
        <v>17</v>
      </c>
    </row>
    <row r="187" customFormat="false" ht="15" hidden="false" customHeight="false" outlineLevel="0" collapsed="false">
      <c r="A187" s="2" t="n">
        <v>186</v>
      </c>
      <c r="B187" s="3" t="s">
        <v>405</v>
      </c>
      <c r="C187" s="3" t="s">
        <v>75</v>
      </c>
      <c r="D187" s="4"/>
      <c r="E187" s="3" t="s">
        <v>15</v>
      </c>
      <c r="F187" s="3" t="s">
        <v>406</v>
      </c>
      <c r="G187" s="5" t="s">
        <v>16</v>
      </c>
      <c r="H187" s="6"/>
      <c r="I187" s="5"/>
      <c r="J187" s="5"/>
      <c r="K187" s="6"/>
      <c r="L187" s="7"/>
      <c r="M187" s="8" t="s">
        <v>17</v>
      </c>
    </row>
    <row r="188" customFormat="false" ht="15" hidden="false" customHeight="false" outlineLevel="0" collapsed="false">
      <c r="A188" s="2" t="n">
        <v>187</v>
      </c>
      <c r="B188" s="3" t="s">
        <v>407</v>
      </c>
      <c r="C188" s="3" t="s">
        <v>408</v>
      </c>
      <c r="D188" s="4" t="s">
        <v>409</v>
      </c>
      <c r="E188" s="3" t="s">
        <v>15</v>
      </c>
      <c r="F188" s="3" t="s">
        <v>410</v>
      </c>
      <c r="G188" s="5" t="s">
        <v>16</v>
      </c>
      <c r="H188" s="6"/>
      <c r="I188" s="5"/>
      <c r="J188" s="5"/>
      <c r="K188" s="6"/>
      <c r="L188" s="7"/>
      <c r="M188" s="8" t="s">
        <v>17</v>
      </c>
    </row>
    <row r="189" customFormat="false" ht="15" hidden="false" customHeight="false" outlineLevel="0" collapsed="false">
      <c r="A189" s="2" t="n">
        <v>188</v>
      </c>
      <c r="B189" s="3" t="s">
        <v>411</v>
      </c>
      <c r="C189" s="3" t="s">
        <v>14</v>
      </c>
      <c r="D189" s="4" t="s">
        <v>412</v>
      </c>
      <c r="E189" s="3" t="s">
        <v>15</v>
      </c>
      <c r="F189" s="3" t="s">
        <v>413</v>
      </c>
      <c r="G189" s="5" t="s">
        <v>16</v>
      </c>
      <c r="H189" s="6"/>
      <c r="I189" s="5"/>
      <c r="J189" s="5"/>
      <c r="K189" s="6"/>
      <c r="L189" s="7"/>
      <c r="M189" s="8" t="s">
        <v>17</v>
      </c>
    </row>
    <row r="190" customFormat="false" ht="15" hidden="false" customHeight="false" outlineLevel="0" collapsed="false">
      <c r="A190" s="2" t="n">
        <v>189</v>
      </c>
      <c r="B190" s="3" t="s">
        <v>414</v>
      </c>
      <c r="C190" s="3"/>
      <c r="D190" s="4"/>
      <c r="E190" s="3" t="s">
        <v>15</v>
      </c>
      <c r="F190" s="3"/>
      <c r="G190" s="5" t="s">
        <v>16</v>
      </c>
      <c r="H190" s="6"/>
      <c r="I190" s="5"/>
      <c r="J190" s="5"/>
      <c r="K190" s="6"/>
      <c r="L190" s="7"/>
      <c r="M190" s="8" t="s">
        <v>17</v>
      </c>
    </row>
    <row r="191" customFormat="false" ht="15" hidden="false" customHeight="false" outlineLevel="0" collapsed="false">
      <c r="A191" s="2" t="n">
        <v>190</v>
      </c>
      <c r="B191" s="3" t="s">
        <v>415</v>
      </c>
      <c r="C191" s="3" t="s">
        <v>416</v>
      </c>
      <c r="D191" s="4"/>
      <c r="E191" s="3" t="s">
        <v>15</v>
      </c>
      <c r="F191" s="3" t="s">
        <v>417</v>
      </c>
      <c r="G191" s="5" t="s">
        <v>16</v>
      </c>
      <c r="H191" s="6"/>
      <c r="I191" s="5"/>
      <c r="J191" s="5"/>
      <c r="K191" s="6"/>
      <c r="L191" s="7"/>
      <c r="M191" s="8" t="s">
        <v>17</v>
      </c>
    </row>
    <row r="192" customFormat="false" ht="15" hidden="false" customHeight="false" outlineLevel="0" collapsed="false">
      <c r="A192" s="2" t="n">
        <v>191</v>
      </c>
      <c r="B192" s="3" t="s">
        <v>418</v>
      </c>
      <c r="C192" s="3" t="s">
        <v>345</v>
      </c>
      <c r="D192" s="4"/>
      <c r="E192" s="3" t="s">
        <v>15</v>
      </c>
      <c r="F192" s="3"/>
      <c r="G192" s="5" t="s">
        <v>16</v>
      </c>
      <c r="H192" s="6"/>
      <c r="I192" s="5"/>
      <c r="J192" s="5"/>
      <c r="K192" s="6"/>
      <c r="L192" s="7"/>
      <c r="M192" s="8" t="s">
        <v>17</v>
      </c>
    </row>
    <row r="193" customFormat="false" ht="15" hidden="false" customHeight="false" outlineLevel="0" collapsed="false">
      <c r="A193" s="2" t="n">
        <v>192</v>
      </c>
      <c r="B193" s="3" t="s">
        <v>419</v>
      </c>
      <c r="C193" s="3" t="s">
        <v>14</v>
      </c>
      <c r="D193" s="4" t="s">
        <v>420</v>
      </c>
      <c r="E193" s="3" t="s">
        <v>15</v>
      </c>
      <c r="F193" s="3" t="s">
        <v>421</v>
      </c>
      <c r="G193" s="5" t="s">
        <v>16</v>
      </c>
      <c r="H193" s="6"/>
      <c r="I193" s="5"/>
      <c r="J193" s="5"/>
      <c r="K193" s="6"/>
      <c r="L193" s="7"/>
      <c r="M193" s="8" t="s">
        <v>17</v>
      </c>
    </row>
    <row r="194" customFormat="false" ht="15" hidden="false" customHeight="false" outlineLevel="0" collapsed="false">
      <c r="A194" s="2" t="n">
        <v>193</v>
      </c>
      <c r="B194" s="3" t="s">
        <v>422</v>
      </c>
      <c r="C194" s="3" t="s">
        <v>84</v>
      </c>
      <c r="D194" s="4" t="s">
        <v>423</v>
      </c>
      <c r="E194" s="3" t="s">
        <v>15</v>
      </c>
      <c r="F194" s="3" t="s">
        <v>424</v>
      </c>
      <c r="G194" s="5" t="s">
        <v>16</v>
      </c>
      <c r="H194" s="6"/>
      <c r="I194" s="5"/>
      <c r="J194" s="5"/>
      <c r="K194" s="6"/>
      <c r="L194" s="7"/>
      <c r="M194" s="8" t="s">
        <v>17</v>
      </c>
    </row>
    <row r="195" customFormat="false" ht="15" hidden="false" customHeight="false" outlineLevel="0" collapsed="false">
      <c r="A195" s="2" t="n">
        <v>194</v>
      </c>
      <c r="B195" s="3" t="s">
        <v>425</v>
      </c>
      <c r="C195" s="3" t="s">
        <v>426</v>
      </c>
      <c r="D195" s="4" t="s">
        <v>427</v>
      </c>
      <c r="E195" s="3" t="s">
        <v>15</v>
      </c>
      <c r="F195" s="3" t="s">
        <v>428</v>
      </c>
      <c r="G195" s="5" t="s">
        <v>16</v>
      </c>
      <c r="H195" s="6"/>
      <c r="I195" s="5"/>
      <c r="J195" s="5"/>
      <c r="K195" s="6"/>
      <c r="L195" s="7"/>
      <c r="M195" s="8" t="s">
        <v>17</v>
      </c>
    </row>
    <row r="196" customFormat="false" ht="15" hidden="false" customHeight="false" outlineLevel="0" collapsed="false">
      <c r="A196" s="2" t="n">
        <v>195</v>
      </c>
      <c r="B196" s="3" t="s">
        <v>429</v>
      </c>
      <c r="C196" s="3" t="s">
        <v>62</v>
      </c>
      <c r="D196" s="4" t="s">
        <v>430</v>
      </c>
      <c r="E196" s="3" t="s">
        <v>15</v>
      </c>
      <c r="F196" s="3" t="s">
        <v>431</v>
      </c>
      <c r="G196" s="5" t="s">
        <v>16</v>
      </c>
      <c r="H196" s="6"/>
      <c r="I196" s="5"/>
      <c r="J196" s="5"/>
      <c r="K196" s="6"/>
      <c r="L196" s="7"/>
      <c r="M196" s="8" t="s">
        <v>17</v>
      </c>
    </row>
    <row r="197" customFormat="false" ht="15" hidden="false" customHeight="false" outlineLevel="0" collapsed="false">
      <c r="A197" s="2" t="n">
        <v>196</v>
      </c>
      <c r="B197" s="3" t="s">
        <v>432</v>
      </c>
      <c r="C197" s="3" t="s">
        <v>84</v>
      </c>
      <c r="D197" s="4"/>
      <c r="E197" s="3" t="s">
        <v>15</v>
      </c>
      <c r="F197" s="3"/>
      <c r="G197" s="5" t="s">
        <v>16</v>
      </c>
      <c r="H197" s="6"/>
      <c r="I197" s="5"/>
      <c r="J197" s="5"/>
      <c r="K197" s="6"/>
      <c r="L197" s="7"/>
      <c r="M197" s="8" t="s">
        <v>17</v>
      </c>
    </row>
    <row r="198" customFormat="false" ht="15" hidden="false" customHeight="false" outlineLevel="0" collapsed="false">
      <c r="A198" s="2" t="n">
        <v>197</v>
      </c>
      <c r="B198" s="3" t="s">
        <v>433</v>
      </c>
      <c r="C198" s="3" t="s">
        <v>434</v>
      </c>
      <c r="D198" s="4" t="s">
        <v>435</v>
      </c>
      <c r="E198" s="3" t="s">
        <v>15</v>
      </c>
      <c r="F198" s="3"/>
      <c r="G198" s="5" t="s">
        <v>16</v>
      </c>
      <c r="H198" s="6"/>
      <c r="I198" s="5"/>
      <c r="J198" s="5"/>
      <c r="K198" s="6"/>
      <c r="L198" s="7"/>
      <c r="M198" s="8" t="s">
        <v>17</v>
      </c>
    </row>
    <row r="199" customFormat="false" ht="15" hidden="false" customHeight="false" outlineLevel="0" collapsed="false">
      <c r="A199" s="2" t="n">
        <v>198</v>
      </c>
      <c r="B199" s="3" t="s">
        <v>436</v>
      </c>
      <c r="C199" s="3" t="s">
        <v>437</v>
      </c>
      <c r="D199" s="4"/>
      <c r="E199" s="3" t="s">
        <v>15</v>
      </c>
      <c r="F199" s="3" t="s">
        <v>438</v>
      </c>
      <c r="G199" s="5" t="s">
        <v>16</v>
      </c>
      <c r="H199" s="6"/>
      <c r="I199" s="5"/>
      <c r="J199" s="5"/>
      <c r="K199" s="6"/>
      <c r="L199" s="7"/>
      <c r="M199" s="8" t="s">
        <v>17</v>
      </c>
    </row>
    <row r="200" customFormat="false" ht="15" hidden="false" customHeight="false" outlineLevel="0" collapsed="false">
      <c r="A200" s="2" t="n">
        <v>199</v>
      </c>
      <c r="B200" s="3" t="s">
        <v>436</v>
      </c>
      <c r="C200" s="3" t="s">
        <v>154</v>
      </c>
      <c r="D200" s="4"/>
      <c r="E200" s="3" t="s">
        <v>15</v>
      </c>
      <c r="F200" s="3"/>
      <c r="G200" s="5" t="s">
        <v>16</v>
      </c>
      <c r="H200" s="6"/>
      <c r="I200" s="5"/>
      <c r="J200" s="5"/>
      <c r="K200" s="6"/>
      <c r="L200" s="7"/>
      <c r="M200" s="8" t="s">
        <v>17</v>
      </c>
    </row>
    <row r="201" customFormat="false" ht="15" hidden="false" customHeight="false" outlineLevel="0" collapsed="false">
      <c r="A201" s="2" t="n">
        <v>200</v>
      </c>
      <c r="B201" s="3" t="s">
        <v>439</v>
      </c>
      <c r="C201" s="3"/>
      <c r="D201" s="4"/>
      <c r="E201" s="3" t="s">
        <v>15</v>
      </c>
      <c r="F201" s="3" t="s">
        <v>440</v>
      </c>
      <c r="G201" s="5" t="s">
        <v>16</v>
      </c>
      <c r="H201" s="6"/>
      <c r="I201" s="5"/>
      <c r="J201" s="5"/>
      <c r="K201" s="6"/>
      <c r="L201" s="7"/>
      <c r="M201" s="8" t="s">
        <v>17</v>
      </c>
    </row>
    <row r="202" customFormat="false" ht="15" hidden="false" customHeight="false" outlineLevel="0" collapsed="false">
      <c r="A202" s="2" t="n">
        <v>201</v>
      </c>
      <c r="B202" s="3" t="s">
        <v>441</v>
      </c>
      <c r="C202" s="3"/>
      <c r="D202" s="4"/>
      <c r="E202" s="3" t="s">
        <v>15</v>
      </c>
      <c r="F202" s="3" t="s">
        <v>442</v>
      </c>
      <c r="G202" s="5" t="s">
        <v>16</v>
      </c>
      <c r="H202" s="6"/>
      <c r="I202" s="5"/>
      <c r="J202" s="5"/>
      <c r="K202" s="6"/>
      <c r="L202" s="7"/>
      <c r="M202" s="8" t="s">
        <v>17</v>
      </c>
    </row>
    <row r="203" customFormat="false" ht="15" hidden="false" customHeight="false" outlineLevel="0" collapsed="false">
      <c r="A203" s="2" t="n">
        <v>202</v>
      </c>
      <c r="B203" s="3" t="s">
        <v>443</v>
      </c>
      <c r="C203" s="3" t="s">
        <v>256</v>
      </c>
      <c r="D203" s="4"/>
      <c r="E203" s="3" t="s">
        <v>15</v>
      </c>
      <c r="F203" s="3" t="s">
        <v>444</v>
      </c>
      <c r="G203" s="5" t="s">
        <v>16</v>
      </c>
      <c r="H203" s="6"/>
      <c r="I203" s="5"/>
      <c r="J203" s="5"/>
      <c r="K203" s="6"/>
      <c r="L203" s="7"/>
      <c r="M203" s="8" t="s">
        <v>17</v>
      </c>
    </row>
    <row r="204" customFormat="false" ht="15" hidden="false" customHeight="false" outlineLevel="0" collapsed="false">
      <c r="A204" s="2" t="n">
        <v>203</v>
      </c>
      <c r="B204" s="3" t="s">
        <v>445</v>
      </c>
      <c r="C204" s="3" t="s">
        <v>446</v>
      </c>
      <c r="D204" s="4"/>
      <c r="E204" s="3" t="s">
        <v>15</v>
      </c>
      <c r="F204" s="3" t="s">
        <v>447</v>
      </c>
      <c r="G204" s="5" t="s">
        <v>16</v>
      </c>
      <c r="H204" s="6"/>
      <c r="I204" s="5"/>
      <c r="J204" s="5"/>
      <c r="K204" s="6"/>
      <c r="L204" s="7"/>
      <c r="M204" s="8" t="s">
        <v>17</v>
      </c>
    </row>
    <row r="205" customFormat="false" ht="15" hidden="false" customHeight="false" outlineLevel="0" collapsed="false">
      <c r="A205" s="2" t="n">
        <v>204</v>
      </c>
      <c r="B205" s="3" t="s">
        <v>448</v>
      </c>
      <c r="C205" s="3" t="s">
        <v>124</v>
      </c>
      <c r="D205" s="4"/>
      <c r="E205" s="3" t="s">
        <v>15</v>
      </c>
      <c r="F205" s="3" t="s">
        <v>449</v>
      </c>
      <c r="G205" s="5" t="s">
        <v>16</v>
      </c>
      <c r="H205" s="6"/>
      <c r="I205" s="5"/>
      <c r="J205" s="5"/>
      <c r="K205" s="6"/>
      <c r="L205" s="7"/>
      <c r="M205" s="8" t="s">
        <v>17</v>
      </c>
    </row>
    <row r="206" customFormat="false" ht="15" hidden="false" customHeight="false" outlineLevel="0" collapsed="false">
      <c r="A206" s="2" t="n">
        <v>205</v>
      </c>
      <c r="B206" s="3" t="s">
        <v>450</v>
      </c>
      <c r="C206" s="3" t="s">
        <v>451</v>
      </c>
      <c r="D206" s="4"/>
      <c r="E206" s="3" t="s">
        <v>15</v>
      </c>
      <c r="F206" s="3"/>
      <c r="G206" s="5" t="s">
        <v>16</v>
      </c>
      <c r="H206" s="6"/>
      <c r="I206" s="5"/>
      <c r="J206" s="5"/>
      <c r="K206" s="6"/>
      <c r="L206" s="7"/>
      <c r="M206" s="8" t="s">
        <v>17</v>
      </c>
    </row>
    <row r="207" customFormat="false" ht="15" hidden="false" customHeight="false" outlineLevel="0" collapsed="false">
      <c r="A207" s="2" t="n">
        <v>206</v>
      </c>
      <c r="B207" s="3" t="s">
        <v>452</v>
      </c>
      <c r="C207" s="3"/>
      <c r="D207" s="4"/>
      <c r="E207" s="3" t="s">
        <v>15</v>
      </c>
      <c r="F207" s="3" t="s">
        <v>453</v>
      </c>
      <c r="G207" s="5" t="s">
        <v>16</v>
      </c>
      <c r="H207" s="6"/>
      <c r="I207" s="5"/>
      <c r="J207" s="5"/>
      <c r="K207" s="6"/>
      <c r="L207" s="7"/>
      <c r="M207" s="8" t="s">
        <v>17</v>
      </c>
    </row>
    <row r="208" customFormat="false" ht="15" hidden="false" customHeight="false" outlineLevel="0" collapsed="false">
      <c r="A208" s="2" t="n">
        <v>207</v>
      </c>
      <c r="B208" s="3" t="s">
        <v>454</v>
      </c>
      <c r="C208" s="3" t="s">
        <v>455</v>
      </c>
      <c r="D208" s="4"/>
      <c r="E208" s="3" t="s">
        <v>15</v>
      </c>
      <c r="F208" s="3" t="s">
        <v>456</v>
      </c>
      <c r="G208" s="5" t="s">
        <v>16</v>
      </c>
      <c r="H208" s="6"/>
      <c r="I208" s="5"/>
      <c r="J208" s="5"/>
      <c r="K208" s="6"/>
      <c r="L208" s="7"/>
      <c r="M208" s="8" t="s">
        <v>17</v>
      </c>
    </row>
    <row r="209" customFormat="false" ht="15" hidden="false" customHeight="false" outlineLevel="0" collapsed="false">
      <c r="A209" s="2" t="n">
        <v>208</v>
      </c>
      <c r="B209" s="3" t="s">
        <v>457</v>
      </c>
      <c r="C209" s="3" t="s">
        <v>124</v>
      </c>
      <c r="D209" s="4"/>
      <c r="E209" s="3" t="s">
        <v>15</v>
      </c>
      <c r="F209" s="3"/>
      <c r="G209" s="5" t="s">
        <v>16</v>
      </c>
      <c r="H209" s="6"/>
      <c r="I209" s="5"/>
      <c r="J209" s="5"/>
      <c r="K209" s="6"/>
      <c r="L209" s="7"/>
      <c r="M209" s="8" t="s">
        <v>17</v>
      </c>
    </row>
    <row r="210" customFormat="false" ht="15" hidden="false" customHeight="false" outlineLevel="0" collapsed="false">
      <c r="A210" s="2" t="n">
        <v>209</v>
      </c>
      <c r="B210" s="3" t="s">
        <v>458</v>
      </c>
      <c r="C210" s="3" t="s">
        <v>459</v>
      </c>
      <c r="D210" s="4"/>
      <c r="E210" s="3" t="s">
        <v>15</v>
      </c>
      <c r="F210" s="3"/>
      <c r="G210" s="5" t="s">
        <v>16</v>
      </c>
      <c r="H210" s="6"/>
      <c r="I210" s="5"/>
      <c r="J210" s="5"/>
      <c r="K210" s="6"/>
      <c r="L210" s="7"/>
      <c r="M210" s="8" t="s">
        <v>17</v>
      </c>
    </row>
    <row r="211" customFormat="false" ht="15" hidden="false" customHeight="false" outlineLevel="0" collapsed="false">
      <c r="A211" s="2" t="n">
        <v>210</v>
      </c>
      <c r="B211" s="3" t="s">
        <v>460</v>
      </c>
      <c r="C211" s="3" t="s">
        <v>19</v>
      </c>
      <c r="D211" s="4" t="s">
        <v>461</v>
      </c>
      <c r="E211" s="3" t="s">
        <v>15</v>
      </c>
      <c r="F211" s="3" t="s">
        <v>462</v>
      </c>
      <c r="G211" s="5" t="s">
        <v>16</v>
      </c>
      <c r="H211" s="6"/>
      <c r="I211" s="5"/>
      <c r="J211" s="5"/>
      <c r="K211" s="6"/>
      <c r="L211" s="7"/>
      <c r="M211" s="8" t="s">
        <v>17</v>
      </c>
    </row>
    <row r="212" customFormat="false" ht="15" hidden="false" customHeight="false" outlineLevel="0" collapsed="false">
      <c r="A212" s="2" t="n">
        <v>211</v>
      </c>
      <c r="B212" s="3" t="s">
        <v>463</v>
      </c>
      <c r="C212" s="3" t="s">
        <v>44</v>
      </c>
      <c r="D212" s="4"/>
      <c r="E212" s="3" t="s">
        <v>15</v>
      </c>
      <c r="F212" s="3" t="s">
        <v>464</v>
      </c>
      <c r="G212" s="5" t="s">
        <v>16</v>
      </c>
      <c r="H212" s="6"/>
      <c r="I212" s="5"/>
      <c r="J212" s="5"/>
      <c r="K212" s="6"/>
      <c r="L212" s="7"/>
      <c r="M212" s="8" t="s">
        <v>17</v>
      </c>
    </row>
    <row r="213" customFormat="false" ht="15" hidden="false" customHeight="false" outlineLevel="0" collapsed="false">
      <c r="A213" s="2" t="n">
        <v>212</v>
      </c>
      <c r="B213" s="3" t="s">
        <v>465</v>
      </c>
      <c r="C213" s="3" t="s">
        <v>46</v>
      </c>
      <c r="D213" s="4"/>
      <c r="E213" s="3" t="s">
        <v>15</v>
      </c>
      <c r="F213" s="3" t="s">
        <v>466</v>
      </c>
      <c r="G213" s="5" t="s">
        <v>16</v>
      </c>
      <c r="H213" s="6"/>
      <c r="I213" s="5"/>
      <c r="J213" s="5"/>
      <c r="K213" s="6"/>
      <c r="L213" s="7"/>
      <c r="M213" s="8" t="s">
        <v>17</v>
      </c>
    </row>
    <row r="214" customFormat="false" ht="15" hidden="false" customHeight="false" outlineLevel="0" collapsed="false">
      <c r="A214" s="2" t="n">
        <v>213</v>
      </c>
      <c r="B214" s="3" t="s">
        <v>467</v>
      </c>
      <c r="C214" s="3"/>
      <c r="D214" s="4"/>
      <c r="E214" s="3" t="s">
        <v>15</v>
      </c>
      <c r="F214" s="3"/>
      <c r="G214" s="5" t="s">
        <v>16</v>
      </c>
      <c r="H214" s="6"/>
      <c r="I214" s="5"/>
      <c r="J214" s="5"/>
      <c r="K214" s="6"/>
      <c r="L214" s="7"/>
      <c r="M214" s="8" t="s">
        <v>17</v>
      </c>
    </row>
    <row r="215" customFormat="false" ht="15" hidden="false" customHeight="false" outlineLevel="0" collapsed="false">
      <c r="A215" s="2" t="n">
        <v>214</v>
      </c>
      <c r="B215" s="3" t="s">
        <v>468</v>
      </c>
      <c r="C215" s="3" t="s">
        <v>19</v>
      </c>
      <c r="D215" s="4" t="s">
        <v>469</v>
      </c>
      <c r="E215" s="3" t="s">
        <v>15</v>
      </c>
      <c r="F215" s="3" t="s">
        <v>470</v>
      </c>
      <c r="G215" s="5" t="s">
        <v>16</v>
      </c>
      <c r="H215" s="6"/>
      <c r="I215" s="5"/>
      <c r="J215" s="5"/>
      <c r="K215" s="6"/>
      <c r="L215" s="7"/>
      <c r="M215" s="8" t="s">
        <v>17</v>
      </c>
    </row>
    <row r="216" customFormat="false" ht="15" hidden="false" customHeight="false" outlineLevel="0" collapsed="false">
      <c r="A216" s="2" t="n">
        <v>215</v>
      </c>
      <c r="B216" s="3" t="s">
        <v>471</v>
      </c>
      <c r="C216" s="3" t="s">
        <v>472</v>
      </c>
      <c r="D216" s="4"/>
      <c r="E216" s="3" t="s">
        <v>15</v>
      </c>
      <c r="F216" s="3" t="s">
        <v>473</v>
      </c>
      <c r="G216" s="5" t="s">
        <v>16</v>
      </c>
      <c r="H216" s="6"/>
      <c r="I216" s="5"/>
      <c r="J216" s="5"/>
      <c r="K216" s="6"/>
      <c r="L216" s="7"/>
      <c r="M216" s="8" t="s">
        <v>17</v>
      </c>
    </row>
    <row r="217" customFormat="false" ht="15" hidden="false" customHeight="false" outlineLevel="0" collapsed="false">
      <c r="A217" s="2" t="n">
        <v>216</v>
      </c>
      <c r="B217" s="3" t="s">
        <v>474</v>
      </c>
      <c r="C217" s="3" t="s">
        <v>116</v>
      </c>
      <c r="D217" s="4" t="s">
        <v>475</v>
      </c>
      <c r="E217" s="3" t="s">
        <v>15</v>
      </c>
      <c r="F217" s="3"/>
      <c r="G217" s="5" t="s">
        <v>16</v>
      </c>
      <c r="H217" s="6"/>
      <c r="I217" s="5"/>
      <c r="J217" s="5"/>
      <c r="K217" s="6"/>
      <c r="L217" s="7"/>
      <c r="M217" s="8" t="s">
        <v>17</v>
      </c>
    </row>
    <row r="218" customFormat="false" ht="15" hidden="false" customHeight="false" outlineLevel="0" collapsed="false">
      <c r="A218" s="2" t="n">
        <v>217</v>
      </c>
      <c r="B218" s="3" t="s">
        <v>476</v>
      </c>
      <c r="C218" s="3" t="s">
        <v>477</v>
      </c>
      <c r="D218" s="4" t="s">
        <v>478</v>
      </c>
      <c r="E218" s="3" t="s">
        <v>15</v>
      </c>
      <c r="F218" s="3" t="s">
        <v>479</v>
      </c>
      <c r="G218" s="5" t="s">
        <v>16</v>
      </c>
      <c r="H218" s="6"/>
      <c r="I218" s="5"/>
      <c r="J218" s="5"/>
      <c r="K218" s="6"/>
      <c r="L218" s="7"/>
      <c r="M218" s="8" t="s">
        <v>17</v>
      </c>
    </row>
    <row r="219" customFormat="false" ht="15" hidden="false" customHeight="false" outlineLevel="0" collapsed="false">
      <c r="A219" s="2" t="n">
        <v>218</v>
      </c>
      <c r="B219" s="3" t="s">
        <v>480</v>
      </c>
      <c r="C219" s="3" t="s">
        <v>84</v>
      </c>
      <c r="D219" s="4" t="s">
        <v>481</v>
      </c>
      <c r="E219" s="3" t="s">
        <v>15</v>
      </c>
      <c r="F219" s="3" t="s">
        <v>482</v>
      </c>
      <c r="G219" s="5" t="s">
        <v>16</v>
      </c>
      <c r="H219" s="6"/>
      <c r="I219" s="5"/>
      <c r="J219" s="5"/>
      <c r="K219" s="6"/>
      <c r="L219" s="7"/>
      <c r="M219" s="8" t="s">
        <v>17</v>
      </c>
    </row>
    <row r="220" customFormat="false" ht="15" hidden="false" customHeight="false" outlineLevel="0" collapsed="false">
      <c r="A220" s="2" t="n">
        <v>219</v>
      </c>
      <c r="B220" s="3" t="s">
        <v>480</v>
      </c>
      <c r="C220" s="3" t="s">
        <v>84</v>
      </c>
      <c r="D220" s="4"/>
      <c r="E220" s="3" t="s">
        <v>15</v>
      </c>
      <c r="F220" s="3" t="s">
        <v>483</v>
      </c>
      <c r="G220" s="5" t="s">
        <v>16</v>
      </c>
      <c r="H220" s="6"/>
      <c r="I220" s="5"/>
      <c r="J220" s="5"/>
      <c r="K220" s="6"/>
      <c r="L220" s="7"/>
      <c r="M220" s="8" t="s">
        <v>17</v>
      </c>
    </row>
    <row r="221" customFormat="false" ht="15" hidden="false" customHeight="false" outlineLevel="0" collapsed="false">
      <c r="A221" s="2" t="n">
        <v>220</v>
      </c>
      <c r="B221" s="3" t="s">
        <v>484</v>
      </c>
      <c r="C221" s="3"/>
      <c r="D221" s="4"/>
      <c r="E221" s="3" t="s">
        <v>15</v>
      </c>
      <c r="F221" s="3" t="s">
        <v>485</v>
      </c>
      <c r="G221" s="5" t="s">
        <v>16</v>
      </c>
      <c r="H221" s="6"/>
      <c r="I221" s="5"/>
      <c r="J221" s="5"/>
      <c r="K221" s="6"/>
      <c r="L221" s="7"/>
      <c r="M221" s="8" t="s">
        <v>17</v>
      </c>
    </row>
    <row r="222" customFormat="false" ht="15" hidden="false" customHeight="false" outlineLevel="0" collapsed="false">
      <c r="A222" s="2" t="n">
        <v>221</v>
      </c>
      <c r="B222" s="3" t="s">
        <v>486</v>
      </c>
      <c r="C222" s="3" t="s">
        <v>81</v>
      </c>
      <c r="D222" s="4" t="s">
        <v>487</v>
      </c>
      <c r="E222" s="3" t="s">
        <v>15</v>
      </c>
      <c r="F222" s="3"/>
      <c r="G222" s="5" t="s">
        <v>16</v>
      </c>
      <c r="H222" s="6"/>
      <c r="I222" s="5"/>
      <c r="J222" s="5"/>
      <c r="K222" s="6"/>
      <c r="L222" s="7"/>
      <c r="M222" s="8" t="s">
        <v>17</v>
      </c>
    </row>
    <row r="223" customFormat="false" ht="15" hidden="false" customHeight="false" outlineLevel="0" collapsed="false">
      <c r="A223" s="2" t="n">
        <v>222</v>
      </c>
      <c r="B223" s="3" t="s">
        <v>488</v>
      </c>
      <c r="C223" s="3" t="s">
        <v>104</v>
      </c>
      <c r="D223" s="4"/>
      <c r="E223" s="3" t="s">
        <v>15</v>
      </c>
      <c r="F223" s="3"/>
      <c r="G223" s="5" t="s">
        <v>16</v>
      </c>
      <c r="H223" s="6"/>
      <c r="I223" s="5"/>
      <c r="J223" s="5"/>
      <c r="K223" s="6"/>
      <c r="L223" s="7"/>
      <c r="M223" s="8" t="s">
        <v>17</v>
      </c>
    </row>
    <row r="224" customFormat="false" ht="15" hidden="false" customHeight="false" outlineLevel="0" collapsed="false">
      <c r="A224" s="2" t="n">
        <v>223</v>
      </c>
      <c r="B224" s="3" t="s">
        <v>489</v>
      </c>
      <c r="C224" s="3"/>
      <c r="D224" s="4" t="s">
        <v>490</v>
      </c>
      <c r="E224" s="3" t="s">
        <v>15</v>
      </c>
      <c r="F224" s="3" t="s">
        <v>491</v>
      </c>
      <c r="G224" s="5" t="s">
        <v>16</v>
      </c>
      <c r="H224" s="6"/>
      <c r="I224" s="5"/>
      <c r="J224" s="5"/>
      <c r="K224" s="6"/>
      <c r="L224" s="7"/>
      <c r="M224" s="8" t="s">
        <v>17</v>
      </c>
    </row>
    <row r="225" customFormat="false" ht="15" hidden="false" customHeight="false" outlineLevel="0" collapsed="false">
      <c r="A225" s="2" t="n">
        <v>224</v>
      </c>
      <c r="B225" s="3" t="s">
        <v>492</v>
      </c>
      <c r="C225" s="3" t="s">
        <v>64</v>
      </c>
      <c r="D225" s="4"/>
      <c r="E225" s="3" t="s">
        <v>15</v>
      </c>
      <c r="F225" s="3" t="s">
        <v>493</v>
      </c>
      <c r="G225" s="5" t="s">
        <v>16</v>
      </c>
      <c r="H225" s="6"/>
      <c r="I225" s="5"/>
      <c r="J225" s="5"/>
      <c r="K225" s="6"/>
      <c r="L225" s="7"/>
      <c r="M225" s="8" t="s">
        <v>17</v>
      </c>
    </row>
    <row r="226" customFormat="false" ht="15" hidden="false" customHeight="false" outlineLevel="0" collapsed="false">
      <c r="A226" s="2" t="n">
        <v>225</v>
      </c>
      <c r="B226" s="3" t="s">
        <v>494</v>
      </c>
      <c r="C226" s="3" t="s">
        <v>51</v>
      </c>
      <c r="D226" s="4" t="s">
        <v>495</v>
      </c>
      <c r="E226" s="3" t="s">
        <v>15</v>
      </c>
      <c r="F226" s="3" t="s">
        <v>496</v>
      </c>
      <c r="G226" s="5" t="s">
        <v>16</v>
      </c>
      <c r="H226" s="6"/>
      <c r="I226" s="5"/>
      <c r="J226" s="5"/>
      <c r="K226" s="6"/>
      <c r="L226" s="7"/>
      <c r="M226" s="8" t="s">
        <v>17</v>
      </c>
    </row>
    <row r="227" customFormat="false" ht="15" hidden="false" customHeight="false" outlineLevel="0" collapsed="false">
      <c r="A227" s="2" t="n">
        <v>226</v>
      </c>
      <c r="B227" s="3" t="s">
        <v>497</v>
      </c>
      <c r="C227" s="3" t="s">
        <v>211</v>
      </c>
      <c r="D227" s="4"/>
      <c r="E227" s="3" t="s">
        <v>15</v>
      </c>
      <c r="F227" s="3"/>
      <c r="G227" s="5" t="s">
        <v>16</v>
      </c>
      <c r="H227" s="6"/>
      <c r="I227" s="5"/>
      <c r="J227" s="5"/>
      <c r="K227" s="6"/>
      <c r="L227" s="7"/>
      <c r="M227" s="8" t="s">
        <v>17</v>
      </c>
    </row>
    <row r="228" customFormat="false" ht="15" hidden="false" customHeight="false" outlineLevel="0" collapsed="false">
      <c r="A228" s="2" t="n">
        <v>227</v>
      </c>
      <c r="B228" s="3" t="s">
        <v>498</v>
      </c>
      <c r="C228" s="3"/>
      <c r="D228" s="4"/>
      <c r="E228" s="3" t="s">
        <v>15</v>
      </c>
      <c r="F228" s="3" t="s">
        <v>499</v>
      </c>
      <c r="G228" s="5" t="s">
        <v>16</v>
      </c>
      <c r="H228" s="6"/>
      <c r="I228" s="5"/>
      <c r="J228" s="5"/>
      <c r="K228" s="6"/>
      <c r="L228" s="7"/>
      <c r="M228" s="8" t="s">
        <v>17</v>
      </c>
    </row>
    <row r="229" customFormat="false" ht="15" hidden="false" customHeight="false" outlineLevel="0" collapsed="false">
      <c r="A229" s="2" t="n">
        <v>228</v>
      </c>
      <c r="B229" s="3" t="s">
        <v>500</v>
      </c>
      <c r="C229" s="3"/>
      <c r="D229" s="4"/>
      <c r="E229" s="3" t="s">
        <v>15</v>
      </c>
      <c r="F229" s="3" t="s">
        <v>501</v>
      </c>
      <c r="G229" s="5" t="s">
        <v>16</v>
      </c>
      <c r="H229" s="6"/>
      <c r="I229" s="5"/>
      <c r="J229" s="5"/>
      <c r="K229" s="6"/>
      <c r="L229" s="7"/>
      <c r="M229" s="8" t="s">
        <v>17</v>
      </c>
    </row>
    <row r="230" customFormat="false" ht="15" hidden="false" customHeight="false" outlineLevel="0" collapsed="false">
      <c r="A230" s="2" t="n">
        <v>229</v>
      </c>
      <c r="B230" s="3" t="s">
        <v>502</v>
      </c>
      <c r="C230" s="3" t="s">
        <v>145</v>
      </c>
      <c r="D230" s="4" t="s">
        <v>503</v>
      </c>
      <c r="E230" s="3" t="s">
        <v>15</v>
      </c>
      <c r="F230" s="3" t="s">
        <v>504</v>
      </c>
      <c r="G230" s="5" t="s">
        <v>16</v>
      </c>
      <c r="H230" s="6"/>
      <c r="I230" s="5"/>
      <c r="J230" s="5"/>
      <c r="K230" s="6"/>
      <c r="L230" s="7"/>
      <c r="M230" s="8" t="s">
        <v>17</v>
      </c>
    </row>
    <row r="231" customFormat="false" ht="15" hidden="false" customHeight="false" outlineLevel="0" collapsed="false">
      <c r="A231" s="2" t="n">
        <v>230</v>
      </c>
      <c r="B231" s="3" t="s">
        <v>505</v>
      </c>
      <c r="C231" s="3"/>
      <c r="D231" s="4"/>
      <c r="E231" s="3" t="s">
        <v>15</v>
      </c>
      <c r="F231" s="3"/>
      <c r="G231" s="5" t="s">
        <v>16</v>
      </c>
      <c r="H231" s="6"/>
      <c r="I231" s="5"/>
      <c r="J231" s="5"/>
      <c r="K231" s="6"/>
      <c r="L231" s="7"/>
      <c r="M231" s="8" t="s">
        <v>17</v>
      </c>
    </row>
    <row r="232" customFormat="false" ht="15" hidden="false" customHeight="false" outlineLevel="0" collapsed="false">
      <c r="A232" s="2" t="n">
        <v>231</v>
      </c>
      <c r="B232" s="3" t="s">
        <v>506</v>
      </c>
      <c r="C232" s="3" t="s">
        <v>94</v>
      </c>
      <c r="D232" s="4"/>
      <c r="E232" s="3" t="s">
        <v>15</v>
      </c>
      <c r="F232" s="3"/>
      <c r="G232" s="5" t="s">
        <v>16</v>
      </c>
      <c r="H232" s="6"/>
      <c r="I232" s="5"/>
      <c r="J232" s="5"/>
      <c r="K232" s="6"/>
      <c r="L232" s="7"/>
      <c r="M232" s="8" t="s">
        <v>17</v>
      </c>
    </row>
    <row r="233" customFormat="false" ht="15" hidden="false" customHeight="false" outlineLevel="0" collapsed="false">
      <c r="A233" s="2" t="n">
        <v>232</v>
      </c>
      <c r="B233" s="3" t="s">
        <v>507</v>
      </c>
      <c r="C233" s="3" t="s">
        <v>508</v>
      </c>
      <c r="D233" s="4"/>
      <c r="E233" s="3" t="s">
        <v>15</v>
      </c>
      <c r="F233" s="3"/>
      <c r="G233" s="5" t="s">
        <v>16</v>
      </c>
      <c r="H233" s="6"/>
      <c r="I233" s="5"/>
      <c r="J233" s="5"/>
      <c r="K233" s="6"/>
      <c r="L233" s="7"/>
      <c r="M233" s="8" t="s">
        <v>17</v>
      </c>
    </row>
    <row r="234" customFormat="false" ht="15" hidden="false" customHeight="false" outlineLevel="0" collapsed="false">
      <c r="A234" s="2" t="n">
        <v>233</v>
      </c>
      <c r="B234" s="3" t="s">
        <v>509</v>
      </c>
      <c r="C234" s="3"/>
      <c r="D234" s="4"/>
      <c r="E234" s="3" t="s">
        <v>15</v>
      </c>
      <c r="F234" s="3" t="s">
        <v>510</v>
      </c>
      <c r="G234" s="5" t="s">
        <v>16</v>
      </c>
      <c r="H234" s="6"/>
      <c r="I234" s="5"/>
      <c r="J234" s="5"/>
      <c r="K234" s="6"/>
      <c r="L234" s="7"/>
      <c r="M234" s="8" t="s">
        <v>17</v>
      </c>
    </row>
    <row r="235" customFormat="false" ht="15" hidden="false" customHeight="false" outlineLevel="0" collapsed="false">
      <c r="A235" s="2" t="n">
        <v>234</v>
      </c>
      <c r="B235" s="3" t="s">
        <v>511</v>
      </c>
      <c r="C235" s="3" t="s">
        <v>512</v>
      </c>
      <c r="D235" s="4"/>
      <c r="E235" s="3" t="s">
        <v>15</v>
      </c>
      <c r="F235" s="3"/>
      <c r="G235" s="5" t="s">
        <v>16</v>
      </c>
      <c r="H235" s="6"/>
      <c r="I235" s="5"/>
      <c r="J235" s="5"/>
      <c r="K235" s="6"/>
      <c r="L235" s="7"/>
      <c r="M235" s="8" t="s">
        <v>17</v>
      </c>
    </row>
    <row r="236" customFormat="false" ht="15" hidden="false" customHeight="false" outlineLevel="0" collapsed="false">
      <c r="A236" s="2" t="n">
        <v>235</v>
      </c>
      <c r="B236" s="3" t="s">
        <v>513</v>
      </c>
      <c r="C236" s="3" t="s">
        <v>64</v>
      </c>
      <c r="D236" s="4"/>
      <c r="E236" s="3" t="s">
        <v>15</v>
      </c>
      <c r="F236" s="3" t="s">
        <v>514</v>
      </c>
      <c r="G236" s="5" t="s">
        <v>16</v>
      </c>
      <c r="H236" s="6"/>
      <c r="I236" s="5"/>
      <c r="J236" s="5"/>
      <c r="K236" s="6"/>
      <c r="L236" s="7"/>
      <c r="M236" s="8" t="s">
        <v>17</v>
      </c>
    </row>
    <row r="237" customFormat="false" ht="15" hidden="false" customHeight="false" outlineLevel="0" collapsed="false">
      <c r="A237" s="2" t="n">
        <v>236</v>
      </c>
      <c r="B237" s="3" t="s">
        <v>515</v>
      </c>
      <c r="C237" s="3" t="s">
        <v>345</v>
      </c>
      <c r="D237" s="4" t="s">
        <v>516</v>
      </c>
      <c r="E237" s="3" t="s">
        <v>15</v>
      </c>
      <c r="F237" s="3"/>
      <c r="G237" s="5" t="s">
        <v>16</v>
      </c>
      <c r="H237" s="6"/>
      <c r="I237" s="5"/>
      <c r="J237" s="5"/>
      <c r="K237" s="6"/>
      <c r="L237" s="7"/>
      <c r="M237" s="8" t="s">
        <v>17</v>
      </c>
    </row>
    <row r="238" customFormat="false" ht="15" hidden="false" customHeight="false" outlineLevel="0" collapsed="false">
      <c r="A238" s="2" t="n">
        <v>237</v>
      </c>
      <c r="B238" s="3" t="s">
        <v>517</v>
      </c>
      <c r="C238" s="3" t="s">
        <v>518</v>
      </c>
      <c r="D238" s="4" t="s">
        <v>519</v>
      </c>
      <c r="E238" s="3" t="s">
        <v>15</v>
      </c>
      <c r="F238" s="3" t="s">
        <v>520</v>
      </c>
      <c r="G238" s="5" t="s">
        <v>16</v>
      </c>
      <c r="H238" s="6"/>
      <c r="I238" s="5"/>
      <c r="J238" s="5"/>
      <c r="K238" s="6"/>
      <c r="L238" s="7"/>
      <c r="M238" s="8" t="s">
        <v>17</v>
      </c>
    </row>
    <row r="239" customFormat="false" ht="15" hidden="false" customHeight="false" outlineLevel="0" collapsed="false">
      <c r="A239" s="2" t="n">
        <v>238</v>
      </c>
      <c r="B239" s="3" t="s">
        <v>521</v>
      </c>
      <c r="C239" s="3" t="s">
        <v>84</v>
      </c>
      <c r="D239" s="4"/>
      <c r="E239" s="3" t="s">
        <v>15</v>
      </c>
      <c r="F239" s="3" t="s">
        <v>522</v>
      </c>
      <c r="G239" s="5" t="s">
        <v>16</v>
      </c>
      <c r="H239" s="6"/>
      <c r="I239" s="5"/>
      <c r="J239" s="5"/>
      <c r="K239" s="6"/>
      <c r="L239" s="7"/>
      <c r="M239" s="8" t="s">
        <v>17</v>
      </c>
    </row>
    <row r="240" customFormat="false" ht="15" hidden="false" customHeight="false" outlineLevel="0" collapsed="false">
      <c r="A240" s="2" t="n">
        <v>239</v>
      </c>
      <c r="B240" s="3" t="s">
        <v>523</v>
      </c>
      <c r="C240" s="3" t="s">
        <v>524</v>
      </c>
      <c r="D240" s="4"/>
      <c r="E240" s="3" t="s">
        <v>15</v>
      </c>
      <c r="F240" s="3" t="s">
        <v>525</v>
      </c>
      <c r="G240" s="5" t="s">
        <v>16</v>
      </c>
      <c r="H240" s="6"/>
      <c r="I240" s="5"/>
      <c r="J240" s="5"/>
      <c r="K240" s="6"/>
      <c r="L240" s="7"/>
      <c r="M240" s="8" t="s">
        <v>17</v>
      </c>
    </row>
    <row r="241" customFormat="false" ht="15" hidden="false" customHeight="false" outlineLevel="0" collapsed="false">
      <c r="A241" s="2" t="n">
        <v>240</v>
      </c>
      <c r="B241" s="3" t="s">
        <v>526</v>
      </c>
      <c r="C241" s="3" t="s">
        <v>145</v>
      </c>
      <c r="D241" s="4" t="s">
        <v>527</v>
      </c>
      <c r="E241" s="3" t="s">
        <v>15</v>
      </c>
      <c r="F241" s="3" t="s">
        <v>528</v>
      </c>
      <c r="G241" s="5" t="s">
        <v>16</v>
      </c>
      <c r="H241" s="6"/>
      <c r="I241" s="5"/>
      <c r="J241" s="5"/>
      <c r="K241" s="6"/>
      <c r="L241" s="7"/>
      <c r="M241" s="8" t="s">
        <v>17</v>
      </c>
    </row>
    <row r="242" customFormat="false" ht="15" hidden="false" customHeight="false" outlineLevel="0" collapsed="false">
      <c r="A242" s="2" t="n">
        <v>241</v>
      </c>
      <c r="B242" s="3" t="s">
        <v>529</v>
      </c>
      <c r="C242" s="3" t="s">
        <v>19</v>
      </c>
      <c r="D242" s="4"/>
      <c r="E242" s="3" t="s">
        <v>15</v>
      </c>
      <c r="F242" s="3" t="s">
        <v>530</v>
      </c>
      <c r="G242" s="5" t="s">
        <v>16</v>
      </c>
      <c r="H242" s="6"/>
      <c r="I242" s="5"/>
      <c r="J242" s="5"/>
      <c r="K242" s="6"/>
      <c r="L242" s="7"/>
      <c r="M242" s="8" t="s">
        <v>17</v>
      </c>
    </row>
    <row r="243" customFormat="false" ht="15" hidden="false" customHeight="false" outlineLevel="0" collapsed="false">
      <c r="A243" s="2" t="n">
        <v>242</v>
      </c>
      <c r="B243" s="3" t="s">
        <v>531</v>
      </c>
      <c r="C243" s="3"/>
      <c r="D243" s="4"/>
      <c r="E243" s="3" t="s">
        <v>15</v>
      </c>
      <c r="F243" s="3"/>
      <c r="G243" s="5" t="s">
        <v>16</v>
      </c>
      <c r="H243" s="6"/>
      <c r="I243" s="5"/>
      <c r="J243" s="5"/>
      <c r="K243" s="6"/>
      <c r="L243" s="7"/>
      <c r="M243" s="8" t="s">
        <v>17</v>
      </c>
    </row>
    <row r="244" customFormat="false" ht="15" hidden="false" customHeight="false" outlineLevel="0" collapsed="false">
      <c r="A244" s="2" t="n">
        <v>243</v>
      </c>
      <c r="B244" s="3" t="s">
        <v>532</v>
      </c>
      <c r="C244" s="3" t="s">
        <v>62</v>
      </c>
      <c r="D244" s="4"/>
      <c r="E244" s="3" t="s">
        <v>15</v>
      </c>
      <c r="F244" s="3" t="s">
        <v>533</v>
      </c>
      <c r="G244" s="5" t="s">
        <v>16</v>
      </c>
      <c r="H244" s="6"/>
      <c r="I244" s="5"/>
      <c r="J244" s="5"/>
      <c r="K244" s="6"/>
      <c r="L244" s="7"/>
      <c r="M244" s="8" t="s">
        <v>17</v>
      </c>
    </row>
    <row r="245" customFormat="false" ht="15" hidden="false" customHeight="false" outlineLevel="0" collapsed="false">
      <c r="A245" s="2" t="n">
        <v>244</v>
      </c>
      <c r="B245" s="3" t="s">
        <v>534</v>
      </c>
      <c r="C245" s="3" t="s">
        <v>104</v>
      </c>
      <c r="D245" s="4"/>
      <c r="E245" s="3" t="s">
        <v>15</v>
      </c>
      <c r="F245" s="3" t="s">
        <v>535</v>
      </c>
      <c r="G245" s="5" t="s">
        <v>16</v>
      </c>
      <c r="H245" s="6"/>
      <c r="I245" s="5"/>
      <c r="J245" s="5"/>
      <c r="K245" s="6"/>
      <c r="L245" s="7"/>
      <c r="M245" s="8" t="s">
        <v>17</v>
      </c>
    </row>
    <row r="246" customFormat="false" ht="15" hidden="false" customHeight="false" outlineLevel="0" collapsed="false">
      <c r="A246" s="2" t="n">
        <v>245</v>
      </c>
      <c r="B246" s="3" t="s">
        <v>536</v>
      </c>
      <c r="C246" s="3" t="s">
        <v>537</v>
      </c>
      <c r="D246" s="4"/>
      <c r="E246" s="3" t="s">
        <v>15</v>
      </c>
      <c r="F246" s="3" t="s">
        <v>538</v>
      </c>
      <c r="G246" s="5" t="s">
        <v>16</v>
      </c>
      <c r="H246" s="6"/>
      <c r="I246" s="5"/>
      <c r="J246" s="5"/>
      <c r="K246" s="6"/>
      <c r="L246" s="7"/>
      <c r="M246" s="8" t="s">
        <v>17</v>
      </c>
    </row>
    <row r="247" customFormat="false" ht="15" hidden="false" customHeight="false" outlineLevel="0" collapsed="false">
      <c r="A247" s="2" t="n">
        <v>246</v>
      </c>
      <c r="B247" s="3" t="s">
        <v>539</v>
      </c>
      <c r="C247" s="3" t="s">
        <v>154</v>
      </c>
      <c r="D247" s="4"/>
      <c r="E247" s="3" t="s">
        <v>15</v>
      </c>
      <c r="F247" s="3" t="s">
        <v>540</v>
      </c>
      <c r="G247" s="5" t="s">
        <v>16</v>
      </c>
      <c r="H247" s="6"/>
      <c r="I247" s="5"/>
      <c r="J247" s="5"/>
      <c r="K247" s="6"/>
      <c r="L247" s="7"/>
      <c r="M247" s="8" t="s">
        <v>17</v>
      </c>
    </row>
    <row r="248" customFormat="false" ht="15" hidden="false" customHeight="false" outlineLevel="0" collapsed="false">
      <c r="A248" s="2" t="n">
        <v>247</v>
      </c>
      <c r="B248" s="3" t="s">
        <v>541</v>
      </c>
      <c r="C248" s="3" t="s">
        <v>51</v>
      </c>
      <c r="D248" s="4"/>
      <c r="E248" s="3" t="s">
        <v>15</v>
      </c>
      <c r="F248" s="3" t="s">
        <v>542</v>
      </c>
      <c r="G248" s="5" t="s">
        <v>16</v>
      </c>
      <c r="H248" s="6"/>
      <c r="I248" s="5"/>
      <c r="J248" s="5"/>
      <c r="K248" s="6"/>
      <c r="L248" s="7"/>
      <c r="M248" s="8" t="s">
        <v>17</v>
      </c>
    </row>
    <row r="249" customFormat="false" ht="15" hidden="false" customHeight="false" outlineLevel="0" collapsed="false">
      <c r="A249" s="2" t="n">
        <v>248</v>
      </c>
      <c r="B249" s="3" t="s">
        <v>543</v>
      </c>
      <c r="C249" s="3" t="s">
        <v>459</v>
      </c>
      <c r="D249" s="4"/>
      <c r="E249" s="3" t="s">
        <v>15</v>
      </c>
      <c r="F249" s="3" t="s">
        <v>544</v>
      </c>
      <c r="G249" s="5" t="s">
        <v>16</v>
      </c>
      <c r="H249" s="6"/>
      <c r="I249" s="5"/>
      <c r="J249" s="5"/>
      <c r="K249" s="6"/>
      <c r="L249" s="7"/>
      <c r="M249" s="8" t="s">
        <v>17</v>
      </c>
    </row>
    <row r="250" customFormat="false" ht="15" hidden="false" customHeight="false" outlineLevel="0" collapsed="false">
      <c r="A250" s="2" t="n">
        <v>249</v>
      </c>
      <c r="B250" s="3" t="s">
        <v>545</v>
      </c>
      <c r="C250" s="3" t="s">
        <v>84</v>
      </c>
      <c r="D250" s="4"/>
      <c r="E250" s="3" t="s">
        <v>15</v>
      </c>
      <c r="F250" s="3" t="s">
        <v>546</v>
      </c>
      <c r="G250" s="5" t="s">
        <v>16</v>
      </c>
      <c r="H250" s="6"/>
      <c r="I250" s="5"/>
      <c r="J250" s="5"/>
      <c r="K250" s="6"/>
      <c r="L250" s="7"/>
      <c r="M250" s="8" t="s">
        <v>17</v>
      </c>
    </row>
    <row r="251" customFormat="false" ht="15" hidden="false" customHeight="false" outlineLevel="0" collapsed="false">
      <c r="A251" s="2" t="n">
        <v>250</v>
      </c>
      <c r="B251" s="3" t="s">
        <v>547</v>
      </c>
      <c r="C251" s="3" t="s">
        <v>97</v>
      </c>
      <c r="D251" s="4" t="s">
        <v>548</v>
      </c>
      <c r="E251" s="3" t="s">
        <v>15</v>
      </c>
      <c r="F251" s="3" t="s">
        <v>549</v>
      </c>
      <c r="G251" s="5" t="s">
        <v>16</v>
      </c>
      <c r="H251" s="6"/>
      <c r="I251" s="5"/>
      <c r="J251" s="5"/>
      <c r="K251" s="6"/>
      <c r="L251" s="7"/>
      <c r="M251" s="8" t="s">
        <v>17</v>
      </c>
    </row>
    <row r="252" customFormat="false" ht="15" hidden="false" customHeight="false" outlineLevel="0" collapsed="false">
      <c r="A252" s="2" t="n">
        <v>251</v>
      </c>
      <c r="B252" s="3" t="s">
        <v>550</v>
      </c>
      <c r="C252" s="3" t="s">
        <v>551</v>
      </c>
      <c r="D252" s="4"/>
      <c r="E252" s="3" t="s">
        <v>15</v>
      </c>
      <c r="F252" s="3"/>
      <c r="G252" s="5" t="s">
        <v>16</v>
      </c>
      <c r="H252" s="6"/>
      <c r="I252" s="5"/>
      <c r="J252" s="5"/>
      <c r="K252" s="6"/>
      <c r="L252" s="7"/>
      <c r="M252" s="8" t="s">
        <v>17</v>
      </c>
    </row>
    <row r="253" customFormat="false" ht="15" hidden="false" customHeight="false" outlineLevel="0" collapsed="false">
      <c r="A253" s="2" t="n">
        <v>252</v>
      </c>
      <c r="B253" s="3" t="s">
        <v>552</v>
      </c>
      <c r="C253" s="3"/>
      <c r="D253" s="4" t="s">
        <v>553</v>
      </c>
      <c r="E253" s="3" t="s">
        <v>15</v>
      </c>
      <c r="F253" s="3"/>
      <c r="G253" s="5" t="s">
        <v>16</v>
      </c>
      <c r="H253" s="6"/>
      <c r="I253" s="5"/>
      <c r="J253" s="5"/>
      <c r="K253" s="6"/>
      <c r="L253" s="7"/>
      <c r="M253" s="8" t="s">
        <v>17</v>
      </c>
    </row>
    <row r="254" customFormat="false" ht="15" hidden="false" customHeight="false" outlineLevel="0" collapsed="false">
      <c r="A254" s="2" t="n">
        <v>253</v>
      </c>
      <c r="B254" s="3" t="s">
        <v>554</v>
      </c>
      <c r="C254" s="3" t="s">
        <v>62</v>
      </c>
      <c r="D254" s="4" t="s">
        <v>555</v>
      </c>
      <c r="E254" s="3" t="s">
        <v>15</v>
      </c>
      <c r="F254" s="3" t="s">
        <v>556</v>
      </c>
      <c r="G254" s="5" t="s">
        <v>16</v>
      </c>
      <c r="H254" s="6"/>
      <c r="I254" s="5"/>
      <c r="J254" s="5"/>
      <c r="K254" s="6"/>
      <c r="L254" s="7"/>
      <c r="M254" s="8" t="s">
        <v>17</v>
      </c>
    </row>
    <row r="255" customFormat="false" ht="15" hidden="false" customHeight="false" outlineLevel="0" collapsed="false">
      <c r="A255" s="2" t="n">
        <v>254</v>
      </c>
      <c r="B255" s="3" t="s">
        <v>557</v>
      </c>
      <c r="C255" s="3" t="s">
        <v>558</v>
      </c>
      <c r="D255" s="4" t="s">
        <v>559</v>
      </c>
      <c r="E255" s="3" t="s">
        <v>15</v>
      </c>
      <c r="F255" s="3"/>
      <c r="G255" s="5" t="s">
        <v>16</v>
      </c>
      <c r="H255" s="6"/>
      <c r="I255" s="5"/>
      <c r="J255" s="5"/>
      <c r="K255" s="6"/>
      <c r="L255" s="7"/>
      <c r="M255" s="8" t="s">
        <v>17</v>
      </c>
    </row>
    <row r="256" customFormat="false" ht="15" hidden="false" customHeight="false" outlineLevel="0" collapsed="false">
      <c r="A256" s="2" t="n">
        <v>255</v>
      </c>
      <c r="B256" s="3" t="s">
        <v>560</v>
      </c>
      <c r="C256" s="3" t="s">
        <v>64</v>
      </c>
      <c r="D256" s="4"/>
      <c r="E256" s="3" t="s">
        <v>15</v>
      </c>
      <c r="F256" s="3" t="s">
        <v>561</v>
      </c>
      <c r="G256" s="5" t="s">
        <v>16</v>
      </c>
      <c r="H256" s="6"/>
      <c r="I256" s="5"/>
      <c r="J256" s="5"/>
      <c r="K256" s="6"/>
      <c r="L256" s="7"/>
      <c r="M256" s="8" t="s">
        <v>17</v>
      </c>
    </row>
    <row r="257" customFormat="false" ht="15" hidden="false" customHeight="false" outlineLevel="0" collapsed="false">
      <c r="A257" s="2" t="n">
        <v>256</v>
      </c>
      <c r="B257" s="3" t="s">
        <v>562</v>
      </c>
      <c r="C257" s="3" t="s">
        <v>64</v>
      </c>
      <c r="D257" s="4"/>
      <c r="E257" s="3" t="s">
        <v>15</v>
      </c>
      <c r="F257" s="3" t="s">
        <v>563</v>
      </c>
      <c r="G257" s="5" t="s">
        <v>16</v>
      </c>
      <c r="H257" s="6"/>
      <c r="I257" s="5"/>
      <c r="J257" s="5"/>
      <c r="K257" s="6"/>
      <c r="L257" s="7"/>
      <c r="M257" s="8" t="s">
        <v>17</v>
      </c>
    </row>
    <row r="258" customFormat="false" ht="15" hidden="false" customHeight="false" outlineLevel="0" collapsed="false">
      <c r="A258" s="2" t="n">
        <v>257</v>
      </c>
      <c r="B258" s="3" t="s">
        <v>564</v>
      </c>
      <c r="C258" s="3" t="s">
        <v>19</v>
      </c>
      <c r="D258" s="4"/>
      <c r="E258" s="3" t="s">
        <v>15</v>
      </c>
      <c r="F258" s="3" t="s">
        <v>565</v>
      </c>
      <c r="G258" s="5" t="s">
        <v>16</v>
      </c>
      <c r="H258" s="6"/>
      <c r="I258" s="5"/>
      <c r="J258" s="5"/>
      <c r="K258" s="6"/>
      <c r="L258" s="7"/>
      <c r="M258" s="8" t="s">
        <v>17</v>
      </c>
    </row>
    <row r="259" customFormat="false" ht="15" hidden="false" customHeight="false" outlineLevel="0" collapsed="false">
      <c r="A259" s="2" t="n">
        <v>258</v>
      </c>
      <c r="B259" s="3" t="s">
        <v>566</v>
      </c>
      <c r="C259" s="3" t="s">
        <v>51</v>
      </c>
      <c r="D259" s="4"/>
      <c r="E259" s="3" t="s">
        <v>15</v>
      </c>
      <c r="F259" s="3" t="s">
        <v>567</v>
      </c>
      <c r="G259" s="5" t="s">
        <v>16</v>
      </c>
      <c r="H259" s="6"/>
      <c r="I259" s="5"/>
      <c r="J259" s="5"/>
      <c r="K259" s="6"/>
      <c r="L259" s="7"/>
      <c r="M259" s="8" t="s">
        <v>17</v>
      </c>
    </row>
    <row r="260" customFormat="false" ht="15" hidden="false" customHeight="false" outlineLevel="0" collapsed="false">
      <c r="A260" s="2" t="n">
        <v>259</v>
      </c>
      <c r="B260" s="3" t="s">
        <v>568</v>
      </c>
      <c r="C260" s="3"/>
      <c r="D260" s="4"/>
      <c r="E260" s="3" t="s">
        <v>15</v>
      </c>
      <c r="F260" s="3"/>
      <c r="G260" s="5" t="s">
        <v>16</v>
      </c>
      <c r="H260" s="6"/>
      <c r="I260" s="5"/>
      <c r="J260" s="5"/>
      <c r="K260" s="6"/>
      <c r="L260" s="7"/>
      <c r="M260" s="8" t="s">
        <v>17</v>
      </c>
    </row>
    <row r="261" customFormat="false" ht="15" hidden="false" customHeight="false" outlineLevel="0" collapsed="false">
      <c r="A261" s="2" t="n">
        <v>260</v>
      </c>
      <c r="B261" s="3" t="s">
        <v>569</v>
      </c>
      <c r="C261" s="3" t="s">
        <v>81</v>
      </c>
      <c r="D261" s="4"/>
      <c r="E261" s="3" t="s">
        <v>15</v>
      </c>
      <c r="F261" s="3"/>
      <c r="G261" s="5" t="s">
        <v>16</v>
      </c>
      <c r="H261" s="6"/>
      <c r="I261" s="5"/>
      <c r="J261" s="5"/>
      <c r="K261" s="6"/>
      <c r="L261" s="7"/>
      <c r="M261" s="8" t="s">
        <v>17</v>
      </c>
    </row>
    <row r="262" customFormat="false" ht="15" hidden="false" customHeight="false" outlineLevel="0" collapsed="false">
      <c r="A262" s="2" t="n">
        <v>261</v>
      </c>
      <c r="B262" s="3" t="s">
        <v>570</v>
      </c>
      <c r="C262" s="3"/>
      <c r="D262" s="4"/>
      <c r="E262" s="3" t="s">
        <v>15</v>
      </c>
      <c r="F262" s="3" t="s">
        <v>571</v>
      </c>
      <c r="G262" s="5" t="s">
        <v>16</v>
      </c>
      <c r="H262" s="6"/>
      <c r="I262" s="5"/>
      <c r="J262" s="5"/>
      <c r="K262" s="6"/>
      <c r="L262" s="7"/>
      <c r="M262" s="8" t="s">
        <v>17</v>
      </c>
    </row>
    <row r="263" customFormat="false" ht="15" hidden="false" customHeight="false" outlineLevel="0" collapsed="false">
      <c r="A263" s="2" t="n">
        <v>262</v>
      </c>
      <c r="B263" s="3" t="s">
        <v>572</v>
      </c>
      <c r="C263" s="3" t="s">
        <v>51</v>
      </c>
      <c r="D263" s="4"/>
      <c r="E263" s="3" t="s">
        <v>15</v>
      </c>
      <c r="F263" s="3" t="s">
        <v>573</v>
      </c>
      <c r="G263" s="5" t="s">
        <v>16</v>
      </c>
      <c r="H263" s="6"/>
      <c r="I263" s="5"/>
      <c r="J263" s="5"/>
      <c r="K263" s="6"/>
      <c r="L263" s="7"/>
      <c r="M263" s="8" t="s">
        <v>17</v>
      </c>
    </row>
    <row r="264" customFormat="false" ht="15" hidden="false" customHeight="false" outlineLevel="0" collapsed="false">
      <c r="A264" s="2" t="n">
        <v>263</v>
      </c>
      <c r="B264" s="3" t="s">
        <v>574</v>
      </c>
      <c r="C264" s="3"/>
      <c r="D264" s="4"/>
      <c r="E264" s="3" t="s">
        <v>15</v>
      </c>
      <c r="F264" s="3" t="s">
        <v>575</v>
      </c>
      <c r="G264" s="5" t="s">
        <v>16</v>
      </c>
      <c r="H264" s="6"/>
      <c r="I264" s="5"/>
      <c r="J264" s="5"/>
      <c r="K264" s="6"/>
      <c r="L264" s="7"/>
      <c r="M264" s="8" t="s">
        <v>17</v>
      </c>
    </row>
    <row r="265" customFormat="false" ht="15" hidden="false" customHeight="false" outlineLevel="0" collapsed="false">
      <c r="A265" s="2" t="n">
        <v>264</v>
      </c>
      <c r="B265" s="3" t="s">
        <v>576</v>
      </c>
      <c r="C265" s="3" t="s">
        <v>577</v>
      </c>
      <c r="D265" s="4"/>
      <c r="E265" s="3" t="s">
        <v>15</v>
      </c>
      <c r="F265" s="3"/>
      <c r="G265" s="5" t="s">
        <v>16</v>
      </c>
      <c r="H265" s="6"/>
      <c r="I265" s="5"/>
      <c r="J265" s="5"/>
      <c r="K265" s="6"/>
      <c r="L265" s="7"/>
      <c r="M265" s="8" t="s">
        <v>17</v>
      </c>
    </row>
    <row r="266" customFormat="false" ht="15" hidden="false" customHeight="false" outlineLevel="0" collapsed="false">
      <c r="A266" s="2" t="n">
        <v>265</v>
      </c>
      <c r="B266" s="3" t="s">
        <v>576</v>
      </c>
      <c r="C266" s="3" t="s">
        <v>577</v>
      </c>
      <c r="D266" s="4" t="s">
        <v>578</v>
      </c>
      <c r="E266" s="3" t="s">
        <v>15</v>
      </c>
      <c r="F266" s="3" t="s">
        <v>579</v>
      </c>
      <c r="G266" s="5" t="s">
        <v>16</v>
      </c>
      <c r="H266" s="6"/>
      <c r="I266" s="5"/>
      <c r="J266" s="5"/>
      <c r="K266" s="6"/>
      <c r="L266" s="7"/>
      <c r="M266" s="8" t="s">
        <v>17</v>
      </c>
    </row>
    <row r="267" customFormat="false" ht="15" hidden="false" customHeight="false" outlineLevel="0" collapsed="false">
      <c r="A267" s="2" t="n">
        <v>266</v>
      </c>
      <c r="B267" s="3" t="s">
        <v>580</v>
      </c>
      <c r="C267" s="3" t="s">
        <v>524</v>
      </c>
      <c r="D267" s="4"/>
      <c r="E267" s="3" t="s">
        <v>15</v>
      </c>
      <c r="F267" s="3" t="s">
        <v>581</v>
      </c>
      <c r="G267" s="5" t="s">
        <v>16</v>
      </c>
      <c r="H267" s="6"/>
      <c r="I267" s="5"/>
      <c r="J267" s="5"/>
      <c r="K267" s="6"/>
      <c r="L267" s="7"/>
      <c r="M267" s="8" t="s">
        <v>17</v>
      </c>
    </row>
    <row r="268" customFormat="false" ht="15" hidden="false" customHeight="false" outlineLevel="0" collapsed="false">
      <c r="A268" s="2" t="n">
        <v>267</v>
      </c>
      <c r="B268" s="3" t="s">
        <v>582</v>
      </c>
      <c r="C268" s="3" t="s">
        <v>583</v>
      </c>
      <c r="D268" s="4"/>
      <c r="E268" s="3" t="s">
        <v>15</v>
      </c>
      <c r="F268" s="3" t="s">
        <v>584</v>
      </c>
      <c r="G268" s="5" t="s">
        <v>16</v>
      </c>
      <c r="H268" s="6"/>
      <c r="I268" s="5"/>
      <c r="J268" s="5"/>
      <c r="K268" s="6"/>
      <c r="L268" s="7"/>
      <c r="M268" s="8" t="s">
        <v>17</v>
      </c>
    </row>
    <row r="269" customFormat="false" ht="15" hidden="false" customHeight="false" outlineLevel="0" collapsed="false">
      <c r="A269" s="2" t="n">
        <v>268</v>
      </c>
      <c r="B269" s="3" t="s">
        <v>585</v>
      </c>
      <c r="C269" s="3" t="s">
        <v>387</v>
      </c>
      <c r="D269" s="4"/>
      <c r="E269" s="3" t="s">
        <v>15</v>
      </c>
      <c r="F269" s="3" t="s">
        <v>586</v>
      </c>
      <c r="G269" s="5" t="s">
        <v>16</v>
      </c>
      <c r="H269" s="6"/>
      <c r="I269" s="5"/>
      <c r="J269" s="5"/>
      <c r="K269" s="6"/>
      <c r="L269" s="7"/>
      <c r="M269" s="8" t="s">
        <v>17</v>
      </c>
    </row>
    <row r="270" customFormat="false" ht="15" hidden="false" customHeight="false" outlineLevel="0" collapsed="false">
      <c r="A270" s="2" t="n">
        <v>269</v>
      </c>
      <c r="B270" s="3" t="s">
        <v>587</v>
      </c>
      <c r="C270" s="3"/>
      <c r="D270" s="4"/>
      <c r="E270" s="3" t="s">
        <v>15</v>
      </c>
      <c r="F270" s="3"/>
      <c r="G270" s="5" t="s">
        <v>16</v>
      </c>
      <c r="H270" s="6"/>
      <c r="I270" s="5"/>
      <c r="J270" s="5"/>
      <c r="K270" s="6"/>
      <c r="L270" s="7"/>
      <c r="M270" s="8" t="s">
        <v>17</v>
      </c>
    </row>
    <row r="271" customFormat="false" ht="15" hidden="false" customHeight="false" outlineLevel="0" collapsed="false">
      <c r="A271" s="2" t="n">
        <v>270</v>
      </c>
      <c r="B271" s="3" t="s">
        <v>588</v>
      </c>
      <c r="C271" s="3" t="s">
        <v>589</v>
      </c>
      <c r="D271" s="4" t="s">
        <v>590</v>
      </c>
      <c r="E271" s="3" t="s">
        <v>15</v>
      </c>
      <c r="F271" s="3" t="s">
        <v>591</v>
      </c>
      <c r="G271" s="5" t="s">
        <v>16</v>
      </c>
      <c r="H271" s="6"/>
      <c r="I271" s="5"/>
      <c r="J271" s="5"/>
      <c r="K271" s="6"/>
      <c r="L271" s="7"/>
      <c r="M271" s="8" t="s">
        <v>17</v>
      </c>
    </row>
    <row r="272" customFormat="false" ht="15" hidden="false" customHeight="false" outlineLevel="0" collapsed="false">
      <c r="A272" s="2" t="n">
        <v>271</v>
      </c>
      <c r="B272" s="3" t="s">
        <v>592</v>
      </c>
      <c r="C272" s="3" t="s">
        <v>116</v>
      </c>
      <c r="D272" s="4" t="s">
        <v>593</v>
      </c>
      <c r="E272" s="3" t="s">
        <v>15</v>
      </c>
      <c r="F272" s="3" t="s">
        <v>594</v>
      </c>
      <c r="G272" s="5" t="s">
        <v>16</v>
      </c>
      <c r="H272" s="6"/>
      <c r="I272" s="5"/>
      <c r="J272" s="5"/>
      <c r="K272" s="6"/>
      <c r="L272" s="7"/>
      <c r="M272" s="8" t="s">
        <v>17</v>
      </c>
    </row>
    <row r="273" customFormat="false" ht="15" hidden="false" customHeight="false" outlineLevel="0" collapsed="false">
      <c r="A273" s="2" t="n">
        <v>272</v>
      </c>
      <c r="B273" s="3" t="s">
        <v>595</v>
      </c>
      <c r="C273" s="3" t="s">
        <v>51</v>
      </c>
      <c r="D273" s="4"/>
      <c r="E273" s="3" t="s">
        <v>15</v>
      </c>
      <c r="F273" s="3" t="s">
        <v>596</v>
      </c>
      <c r="G273" s="5" t="s">
        <v>16</v>
      </c>
      <c r="H273" s="6"/>
      <c r="I273" s="5"/>
      <c r="J273" s="5"/>
      <c r="K273" s="6"/>
      <c r="L273" s="7"/>
      <c r="M273" s="8" t="s">
        <v>17</v>
      </c>
    </row>
    <row r="274" customFormat="false" ht="15" hidden="false" customHeight="false" outlineLevel="0" collapsed="false">
      <c r="A274" s="2" t="n">
        <v>273</v>
      </c>
      <c r="B274" s="3" t="s">
        <v>597</v>
      </c>
      <c r="C274" s="3"/>
      <c r="D274" s="4"/>
      <c r="E274" s="3" t="s">
        <v>15</v>
      </c>
      <c r="F274" s="3"/>
      <c r="G274" s="5" t="s">
        <v>16</v>
      </c>
      <c r="H274" s="6"/>
      <c r="I274" s="5"/>
      <c r="J274" s="5"/>
      <c r="K274" s="6"/>
      <c r="L274" s="7"/>
      <c r="M274" s="8" t="s">
        <v>17</v>
      </c>
    </row>
    <row r="275" customFormat="false" ht="15" hidden="false" customHeight="false" outlineLevel="0" collapsed="false">
      <c r="A275" s="2" t="n">
        <v>274</v>
      </c>
      <c r="B275" s="3" t="s">
        <v>598</v>
      </c>
      <c r="C275" s="3" t="s">
        <v>387</v>
      </c>
      <c r="D275" s="4"/>
      <c r="E275" s="3" t="s">
        <v>15</v>
      </c>
      <c r="F275" s="3" t="s">
        <v>599</v>
      </c>
      <c r="G275" s="5" t="s">
        <v>16</v>
      </c>
      <c r="H275" s="6"/>
      <c r="I275" s="5"/>
      <c r="J275" s="5"/>
      <c r="K275" s="6"/>
      <c r="L275" s="7"/>
      <c r="M275" s="8" t="s">
        <v>17</v>
      </c>
    </row>
    <row r="276" customFormat="false" ht="15" hidden="false" customHeight="false" outlineLevel="0" collapsed="false">
      <c r="A276" s="2" t="n">
        <v>275</v>
      </c>
      <c r="B276" s="3" t="s">
        <v>600</v>
      </c>
      <c r="C276" s="3" t="s">
        <v>387</v>
      </c>
      <c r="D276" s="4"/>
      <c r="E276" s="3" t="s">
        <v>15</v>
      </c>
      <c r="F276" s="3" t="s">
        <v>601</v>
      </c>
      <c r="G276" s="5" t="s">
        <v>16</v>
      </c>
      <c r="H276" s="6"/>
      <c r="I276" s="5"/>
      <c r="J276" s="5"/>
      <c r="K276" s="6"/>
      <c r="L276" s="7"/>
      <c r="M276" s="8" t="s">
        <v>17</v>
      </c>
    </row>
    <row r="277" customFormat="false" ht="15" hidden="false" customHeight="false" outlineLevel="0" collapsed="false">
      <c r="A277" s="2" t="n">
        <v>276</v>
      </c>
      <c r="B277" s="3" t="s">
        <v>602</v>
      </c>
      <c r="C277" s="3" t="s">
        <v>81</v>
      </c>
      <c r="D277" s="4"/>
      <c r="E277" s="3" t="s">
        <v>15</v>
      </c>
      <c r="F277" s="3"/>
      <c r="G277" s="5" t="s">
        <v>16</v>
      </c>
      <c r="H277" s="6"/>
      <c r="I277" s="5"/>
      <c r="J277" s="5"/>
      <c r="K277" s="6"/>
      <c r="L277" s="7"/>
      <c r="M277" s="8" t="s">
        <v>17</v>
      </c>
    </row>
    <row r="278" customFormat="false" ht="15" hidden="false" customHeight="false" outlineLevel="0" collapsed="false">
      <c r="A278" s="2" t="n">
        <v>277</v>
      </c>
      <c r="B278" s="3" t="s">
        <v>603</v>
      </c>
      <c r="C278" s="3" t="s">
        <v>51</v>
      </c>
      <c r="D278" s="4"/>
      <c r="E278" s="3" t="s">
        <v>15</v>
      </c>
      <c r="F278" s="3"/>
      <c r="G278" s="5" t="s">
        <v>16</v>
      </c>
      <c r="H278" s="6"/>
      <c r="I278" s="5"/>
      <c r="J278" s="5"/>
      <c r="K278" s="6"/>
      <c r="L278" s="7"/>
      <c r="M278" s="8" t="s">
        <v>17</v>
      </c>
    </row>
    <row r="279" customFormat="false" ht="15" hidden="false" customHeight="false" outlineLevel="0" collapsed="false">
      <c r="A279" s="2" t="n">
        <v>278</v>
      </c>
      <c r="B279" s="3" t="s">
        <v>604</v>
      </c>
      <c r="C279" s="3" t="s">
        <v>81</v>
      </c>
      <c r="D279" s="4"/>
      <c r="E279" s="3" t="s">
        <v>15</v>
      </c>
      <c r="F279" s="3"/>
      <c r="G279" s="5" t="s">
        <v>16</v>
      </c>
      <c r="H279" s="6"/>
      <c r="I279" s="5"/>
      <c r="J279" s="5"/>
      <c r="K279" s="6"/>
      <c r="L279" s="7"/>
      <c r="M279" s="8" t="s">
        <v>17</v>
      </c>
    </row>
    <row r="280" customFormat="false" ht="15" hidden="false" customHeight="false" outlineLevel="0" collapsed="false">
      <c r="A280" s="2" t="n">
        <v>279</v>
      </c>
      <c r="B280" s="3" t="s">
        <v>605</v>
      </c>
      <c r="C280" s="3" t="s">
        <v>51</v>
      </c>
      <c r="D280" s="4" t="s">
        <v>606</v>
      </c>
      <c r="E280" s="3" t="s">
        <v>15</v>
      </c>
      <c r="F280" s="3" t="s">
        <v>607</v>
      </c>
      <c r="G280" s="5" t="s">
        <v>16</v>
      </c>
      <c r="H280" s="6"/>
      <c r="I280" s="5"/>
      <c r="J280" s="5"/>
      <c r="K280" s="6"/>
      <c r="L280" s="7"/>
      <c r="M280" s="8" t="s">
        <v>17</v>
      </c>
    </row>
    <row r="281" customFormat="false" ht="15" hidden="false" customHeight="false" outlineLevel="0" collapsed="false">
      <c r="A281" s="2" t="n">
        <v>280</v>
      </c>
      <c r="B281" s="3" t="s">
        <v>608</v>
      </c>
      <c r="C281" s="3" t="s">
        <v>609</v>
      </c>
      <c r="D281" s="4" t="s">
        <v>610</v>
      </c>
      <c r="E281" s="3" t="s">
        <v>15</v>
      </c>
      <c r="F281" s="3" t="s">
        <v>611</v>
      </c>
      <c r="G281" s="5" t="s">
        <v>16</v>
      </c>
      <c r="H281" s="6"/>
      <c r="I281" s="5"/>
      <c r="J281" s="5"/>
      <c r="K281" s="6"/>
      <c r="L281" s="7"/>
      <c r="M281" s="8" t="s">
        <v>17</v>
      </c>
    </row>
    <row r="282" customFormat="false" ht="15" hidden="false" customHeight="false" outlineLevel="0" collapsed="false">
      <c r="A282" s="2" t="n">
        <v>281</v>
      </c>
      <c r="B282" s="3" t="s">
        <v>612</v>
      </c>
      <c r="C282" s="3" t="s">
        <v>180</v>
      </c>
      <c r="D282" s="4"/>
      <c r="E282" s="3" t="s">
        <v>15</v>
      </c>
      <c r="F282" s="3" t="s">
        <v>613</v>
      </c>
      <c r="G282" s="5" t="s">
        <v>16</v>
      </c>
      <c r="H282" s="6"/>
      <c r="I282" s="5"/>
      <c r="J282" s="5"/>
      <c r="K282" s="6"/>
      <c r="L282" s="7"/>
      <c r="M282" s="8" t="s">
        <v>17</v>
      </c>
    </row>
    <row r="283" customFormat="false" ht="15" hidden="false" customHeight="false" outlineLevel="0" collapsed="false">
      <c r="A283" s="2" t="n">
        <v>282</v>
      </c>
      <c r="B283" s="3" t="s">
        <v>614</v>
      </c>
      <c r="C283" s="3" t="s">
        <v>104</v>
      </c>
      <c r="D283" s="4"/>
      <c r="E283" s="3" t="s">
        <v>15</v>
      </c>
      <c r="F283" s="3"/>
      <c r="G283" s="5" t="s">
        <v>16</v>
      </c>
      <c r="H283" s="6"/>
      <c r="I283" s="5"/>
      <c r="J283" s="5"/>
      <c r="K283" s="6"/>
      <c r="L283" s="7"/>
      <c r="M283" s="8" t="s">
        <v>17</v>
      </c>
    </row>
    <row r="284" customFormat="false" ht="15" hidden="false" customHeight="false" outlineLevel="0" collapsed="false">
      <c r="A284" s="2" t="n">
        <v>283</v>
      </c>
      <c r="B284" s="3" t="s">
        <v>615</v>
      </c>
      <c r="C284" s="3" t="s">
        <v>51</v>
      </c>
      <c r="D284" s="4"/>
      <c r="E284" s="3" t="s">
        <v>15</v>
      </c>
      <c r="F284" s="3" t="s">
        <v>616</v>
      </c>
      <c r="G284" s="5" t="s">
        <v>16</v>
      </c>
      <c r="H284" s="6"/>
      <c r="I284" s="5"/>
      <c r="J284" s="5"/>
      <c r="K284" s="6"/>
      <c r="L284" s="7"/>
      <c r="M284" s="8" t="s">
        <v>17</v>
      </c>
    </row>
    <row r="285" customFormat="false" ht="15" hidden="false" customHeight="false" outlineLevel="0" collapsed="false">
      <c r="A285" s="2" t="n">
        <v>284</v>
      </c>
      <c r="B285" s="3" t="s">
        <v>617</v>
      </c>
      <c r="C285" s="3" t="s">
        <v>84</v>
      </c>
      <c r="D285" s="4" t="s">
        <v>618</v>
      </c>
      <c r="E285" s="3" t="s">
        <v>15</v>
      </c>
      <c r="F285" s="3" t="s">
        <v>619</v>
      </c>
      <c r="G285" s="5" t="s">
        <v>16</v>
      </c>
      <c r="H285" s="6"/>
      <c r="I285" s="5"/>
      <c r="J285" s="5"/>
      <c r="K285" s="6"/>
      <c r="L285" s="7"/>
      <c r="M285" s="8" t="s">
        <v>17</v>
      </c>
    </row>
    <row r="286" customFormat="false" ht="15" hidden="false" customHeight="false" outlineLevel="0" collapsed="false">
      <c r="A286" s="2" t="n">
        <v>285</v>
      </c>
      <c r="B286" s="3" t="s">
        <v>620</v>
      </c>
      <c r="C286" s="3"/>
      <c r="D286" s="4"/>
      <c r="E286" s="3" t="s">
        <v>15</v>
      </c>
      <c r="F286" s="3" t="s">
        <v>621</v>
      </c>
      <c r="G286" s="5" t="s">
        <v>16</v>
      </c>
      <c r="H286" s="6"/>
      <c r="I286" s="5"/>
      <c r="J286" s="5"/>
      <c r="K286" s="6"/>
      <c r="L286" s="7"/>
      <c r="M286" s="8" t="s">
        <v>17</v>
      </c>
    </row>
    <row r="287" customFormat="false" ht="15" hidden="false" customHeight="false" outlineLevel="0" collapsed="false">
      <c r="A287" s="2" t="n">
        <v>286</v>
      </c>
      <c r="B287" s="3" t="s">
        <v>622</v>
      </c>
      <c r="C287" s="3" t="s">
        <v>19</v>
      </c>
      <c r="D287" s="4"/>
      <c r="E287" s="3" t="s">
        <v>15</v>
      </c>
      <c r="F287" s="3" t="s">
        <v>623</v>
      </c>
      <c r="G287" s="5" t="s">
        <v>16</v>
      </c>
      <c r="H287" s="6"/>
      <c r="I287" s="5"/>
      <c r="J287" s="5"/>
      <c r="K287" s="6"/>
      <c r="L287" s="7"/>
      <c r="M287" s="8" t="s">
        <v>17</v>
      </c>
    </row>
    <row r="288" customFormat="false" ht="15" hidden="false" customHeight="false" outlineLevel="0" collapsed="false">
      <c r="A288" s="2" t="n">
        <v>287</v>
      </c>
      <c r="B288" s="3" t="s">
        <v>624</v>
      </c>
      <c r="C288" s="3"/>
      <c r="D288" s="4"/>
      <c r="E288" s="3" t="s">
        <v>15</v>
      </c>
      <c r="F288" s="3"/>
      <c r="G288" s="5" t="s">
        <v>16</v>
      </c>
      <c r="H288" s="6"/>
      <c r="I288" s="5"/>
      <c r="J288" s="5"/>
      <c r="K288" s="6"/>
      <c r="L288" s="7"/>
      <c r="M288" s="8" t="s">
        <v>17</v>
      </c>
    </row>
    <row r="289" customFormat="false" ht="15" hidden="false" customHeight="false" outlineLevel="0" collapsed="false">
      <c r="A289" s="2" t="n">
        <v>288</v>
      </c>
      <c r="B289" s="3" t="s">
        <v>625</v>
      </c>
      <c r="C289" s="3" t="s">
        <v>26</v>
      </c>
      <c r="D289" s="4"/>
      <c r="E289" s="3" t="s">
        <v>15</v>
      </c>
      <c r="F289" s="3"/>
      <c r="G289" s="5" t="s">
        <v>16</v>
      </c>
      <c r="H289" s="6"/>
      <c r="I289" s="5"/>
      <c r="J289" s="5"/>
      <c r="K289" s="6"/>
      <c r="L289" s="7"/>
      <c r="M289" s="8" t="s">
        <v>17</v>
      </c>
    </row>
    <row r="290" customFormat="false" ht="15" hidden="false" customHeight="false" outlineLevel="0" collapsed="false">
      <c r="A290" s="2" t="n">
        <v>289</v>
      </c>
      <c r="B290" s="3" t="s">
        <v>626</v>
      </c>
      <c r="C290" s="3" t="s">
        <v>627</v>
      </c>
      <c r="D290" s="4" t="s">
        <v>628</v>
      </c>
      <c r="E290" s="3" t="s">
        <v>15</v>
      </c>
      <c r="F290" s="3" t="s">
        <v>629</v>
      </c>
      <c r="G290" s="5" t="s">
        <v>16</v>
      </c>
      <c r="H290" s="6"/>
      <c r="I290" s="5"/>
      <c r="J290" s="5"/>
      <c r="K290" s="6"/>
      <c r="L290" s="7"/>
      <c r="M290" s="8" t="s">
        <v>17</v>
      </c>
    </row>
    <row r="291" customFormat="false" ht="15" hidden="false" customHeight="false" outlineLevel="0" collapsed="false">
      <c r="A291" s="2" t="n">
        <v>290</v>
      </c>
      <c r="B291" s="3" t="s">
        <v>630</v>
      </c>
      <c r="C291" s="3" t="s">
        <v>19</v>
      </c>
      <c r="D291" s="4" t="s">
        <v>631</v>
      </c>
      <c r="E291" s="3" t="s">
        <v>15</v>
      </c>
      <c r="F291" s="3" t="s">
        <v>632</v>
      </c>
      <c r="G291" s="5" t="s">
        <v>16</v>
      </c>
      <c r="H291" s="6"/>
      <c r="I291" s="5"/>
      <c r="J291" s="5"/>
      <c r="K291" s="6"/>
      <c r="L291" s="7"/>
      <c r="M291" s="8" t="s">
        <v>17</v>
      </c>
    </row>
    <row r="292" customFormat="false" ht="15" hidden="false" customHeight="false" outlineLevel="0" collapsed="false">
      <c r="A292" s="2" t="n">
        <v>291</v>
      </c>
      <c r="B292" s="3" t="s">
        <v>633</v>
      </c>
      <c r="C292" s="3" t="s">
        <v>19</v>
      </c>
      <c r="D292" s="4"/>
      <c r="E292" s="3" t="s">
        <v>15</v>
      </c>
      <c r="F292" s="3"/>
      <c r="G292" s="5" t="s">
        <v>16</v>
      </c>
      <c r="H292" s="6"/>
      <c r="I292" s="5"/>
      <c r="J292" s="5"/>
      <c r="K292" s="6"/>
      <c r="L292" s="7"/>
      <c r="M292" s="8" t="s">
        <v>17</v>
      </c>
    </row>
    <row r="293" customFormat="false" ht="15" hidden="false" customHeight="false" outlineLevel="0" collapsed="false">
      <c r="A293" s="2" t="n">
        <v>292</v>
      </c>
      <c r="B293" s="3" t="s">
        <v>634</v>
      </c>
      <c r="C293" s="3" t="s">
        <v>154</v>
      </c>
      <c r="D293" s="4"/>
      <c r="E293" s="3" t="s">
        <v>15</v>
      </c>
      <c r="F293" s="3" t="s">
        <v>635</v>
      </c>
      <c r="G293" s="5" t="s">
        <v>16</v>
      </c>
      <c r="H293" s="6"/>
      <c r="I293" s="5"/>
      <c r="J293" s="5"/>
      <c r="K293" s="6"/>
      <c r="L293" s="7"/>
      <c r="M293" s="8" t="s">
        <v>17</v>
      </c>
    </row>
    <row r="294" customFormat="false" ht="15" hidden="false" customHeight="false" outlineLevel="0" collapsed="false">
      <c r="A294" s="2" t="n">
        <v>293</v>
      </c>
      <c r="B294" s="3" t="s">
        <v>636</v>
      </c>
      <c r="C294" s="3"/>
      <c r="D294" s="4"/>
      <c r="E294" s="3" t="s">
        <v>15</v>
      </c>
      <c r="F294" s="3"/>
      <c r="G294" s="5" t="s">
        <v>16</v>
      </c>
      <c r="H294" s="6"/>
      <c r="I294" s="5"/>
      <c r="J294" s="5"/>
      <c r="K294" s="6"/>
      <c r="L294" s="7"/>
      <c r="M294" s="8" t="s">
        <v>17</v>
      </c>
    </row>
    <row r="295" customFormat="false" ht="15" hidden="false" customHeight="false" outlineLevel="0" collapsed="false">
      <c r="A295" s="2" t="n">
        <v>294</v>
      </c>
      <c r="B295" s="3" t="s">
        <v>637</v>
      </c>
      <c r="C295" s="3"/>
      <c r="D295" s="4"/>
      <c r="E295" s="3" t="s">
        <v>15</v>
      </c>
      <c r="F295" s="3"/>
      <c r="G295" s="5" t="s">
        <v>16</v>
      </c>
      <c r="H295" s="6"/>
      <c r="I295" s="5"/>
      <c r="J295" s="5"/>
      <c r="K295" s="6"/>
      <c r="L295" s="7"/>
      <c r="M295" s="8" t="s">
        <v>17</v>
      </c>
    </row>
    <row r="296" customFormat="false" ht="15" hidden="false" customHeight="false" outlineLevel="0" collapsed="false">
      <c r="A296" s="2" t="n">
        <v>295</v>
      </c>
      <c r="B296" s="3" t="s">
        <v>638</v>
      </c>
      <c r="C296" s="3" t="s">
        <v>32</v>
      </c>
      <c r="D296" s="4" t="s">
        <v>639</v>
      </c>
      <c r="E296" s="3" t="s">
        <v>15</v>
      </c>
      <c r="F296" s="3" t="s">
        <v>640</v>
      </c>
      <c r="G296" s="5" t="s">
        <v>16</v>
      </c>
      <c r="H296" s="6"/>
      <c r="I296" s="5"/>
      <c r="J296" s="5"/>
      <c r="K296" s="6"/>
      <c r="L296" s="7"/>
      <c r="M296" s="8" t="s">
        <v>17</v>
      </c>
    </row>
    <row r="297" customFormat="false" ht="15" hidden="false" customHeight="false" outlineLevel="0" collapsed="false">
      <c r="A297" s="2" t="n">
        <v>296</v>
      </c>
      <c r="B297" s="3" t="s">
        <v>641</v>
      </c>
      <c r="C297" s="3"/>
      <c r="D297" s="4"/>
      <c r="E297" s="3" t="s">
        <v>15</v>
      </c>
      <c r="F297" s="3"/>
      <c r="G297" s="5" t="s">
        <v>16</v>
      </c>
      <c r="H297" s="6"/>
      <c r="I297" s="5"/>
      <c r="J297" s="5"/>
      <c r="K297" s="6"/>
      <c r="L297" s="7"/>
      <c r="M297" s="8" t="s">
        <v>17</v>
      </c>
    </row>
    <row r="298" customFormat="false" ht="15" hidden="false" customHeight="false" outlineLevel="0" collapsed="false">
      <c r="A298" s="2" t="n">
        <v>297</v>
      </c>
      <c r="B298" s="3" t="s">
        <v>642</v>
      </c>
      <c r="C298" s="3"/>
      <c r="D298" s="4"/>
      <c r="E298" s="3" t="s">
        <v>15</v>
      </c>
      <c r="F298" s="3"/>
      <c r="G298" s="5" t="s">
        <v>16</v>
      </c>
      <c r="H298" s="6"/>
      <c r="I298" s="5"/>
      <c r="J298" s="5"/>
      <c r="K298" s="6"/>
      <c r="L298" s="7"/>
      <c r="M298" s="8" t="s">
        <v>17</v>
      </c>
    </row>
    <row r="299" customFormat="false" ht="15" hidden="false" customHeight="false" outlineLevel="0" collapsed="false">
      <c r="A299" s="2" t="n">
        <v>298</v>
      </c>
      <c r="B299" s="3" t="s">
        <v>643</v>
      </c>
      <c r="C299" s="3" t="s">
        <v>644</v>
      </c>
      <c r="D299" s="4"/>
      <c r="E299" s="3" t="s">
        <v>15</v>
      </c>
      <c r="F299" s="3"/>
      <c r="G299" s="5" t="s">
        <v>16</v>
      </c>
      <c r="H299" s="6"/>
      <c r="I299" s="5"/>
      <c r="J299" s="5"/>
      <c r="K299" s="6"/>
      <c r="L299" s="7"/>
      <c r="M299" s="8" t="s">
        <v>17</v>
      </c>
    </row>
    <row r="300" customFormat="false" ht="15" hidden="false" customHeight="false" outlineLevel="0" collapsed="false">
      <c r="A300" s="2" t="n">
        <v>299</v>
      </c>
      <c r="B300" s="3" t="s">
        <v>645</v>
      </c>
      <c r="C300" s="3" t="s">
        <v>84</v>
      </c>
      <c r="D300" s="4"/>
      <c r="E300" s="3" t="s">
        <v>15</v>
      </c>
      <c r="F300" s="3"/>
      <c r="G300" s="5" t="s">
        <v>16</v>
      </c>
      <c r="H300" s="6"/>
      <c r="I300" s="5"/>
      <c r="J300" s="5"/>
      <c r="K300" s="6"/>
      <c r="L300" s="7"/>
      <c r="M300" s="8" t="s">
        <v>17</v>
      </c>
    </row>
    <row r="301" customFormat="false" ht="15" hidden="false" customHeight="false" outlineLevel="0" collapsed="false">
      <c r="A301" s="2" t="n">
        <v>300</v>
      </c>
      <c r="B301" s="3" t="s">
        <v>646</v>
      </c>
      <c r="C301" s="3"/>
      <c r="D301" s="4"/>
      <c r="E301" s="3" t="s">
        <v>15</v>
      </c>
      <c r="F301" s="3"/>
      <c r="G301" s="5" t="s">
        <v>16</v>
      </c>
      <c r="H301" s="6"/>
      <c r="I301" s="5"/>
      <c r="J301" s="5"/>
      <c r="K301" s="6"/>
      <c r="L301" s="7"/>
      <c r="M301" s="8" t="s">
        <v>17</v>
      </c>
    </row>
    <row r="302" customFormat="false" ht="15" hidden="false" customHeight="false" outlineLevel="0" collapsed="false">
      <c r="A302" s="2" t="n">
        <v>301</v>
      </c>
      <c r="B302" s="3" t="s">
        <v>647</v>
      </c>
      <c r="C302" s="3" t="s">
        <v>88</v>
      </c>
      <c r="D302" s="4"/>
      <c r="E302" s="3" t="s">
        <v>15</v>
      </c>
      <c r="F302" s="3" t="s">
        <v>648</v>
      </c>
      <c r="G302" s="5" t="s">
        <v>16</v>
      </c>
      <c r="H302" s="6"/>
      <c r="I302" s="5"/>
      <c r="J302" s="5"/>
      <c r="K302" s="6"/>
      <c r="L302" s="7"/>
      <c r="M302" s="8" t="s">
        <v>17</v>
      </c>
    </row>
    <row r="303" customFormat="false" ht="15" hidden="false" customHeight="false" outlineLevel="0" collapsed="false">
      <c r="A303" s="2" t="n">
        <v>302</v>
      </c>
      <c r="B303" s="3" t="s">
        <v>649</v>
      </c>
      <c r="C303" s="3"/>
      <c r="D303" s="4"/>
      <c r="E303" s="3" t="s">
        <v>15</v>
      </c>
      <c r="F303" s="3" t="s">
        <v>650</v>
      </c>
      <c r="G303" s="5" t="s">
        <v>16</v>
      </c>
      <c r="H303" s="6"/>
      <c r="I303" s="5"/>
      <c r="J303" s="5"/>
      <c r="K303" s="6"/>
      <c r="L303" s="7"/>
      <c r="M303" s="8" t="s">
        <v>17</v>
      </c>
    </row>
    <row r="304" customFormat="false" ht="15" hidden="false" customHeight="false" outlineLevel="0" collapsed="false">
      <c r="A304" s="2" t="n">
        <v>303</v>
      </c>
      <c r="B304" s="3" t="s">
        <v>651</v>
      </c>
      <c r="C304" s="3" t="s">
        <v>84</v>
      </c>
      <c r="D304" s="4"/>
      <c r="E304" s="3" t="s">
        <v>15</v>
      </c>
      <c r="F304" s="3" t="s">
        <v>652</v>
      </c>
      <c r="G304" s="5" t="s">
        <v>16</v>
      </c>
      <c r="H304" s="6"/>
      <c r="I304" s="5"/>
      <c r="J304" s="5"/>
      <c r="K304" s="6"/>
      <c r="L304" s="7"/>
      <c r="M304" s="8" t="s">
        <v>17</v>
      </c>
    </row>
    <row r="305" customFormat="false" ht="15" hidden="false" customHeight="false" outlineLevel="0" collapsed="false">
      <c r="A305" s="2" t="n">
        <v>304</v>
      </c>
      <c r="B305" s="3" t="s">
        <v>653</v>
      </c>
      <c r="C305" s="3"/>
      <c r="D305" s="4"/>
      <c r="E305" s="3" t="s">
        <v>15</v>
      </c>
      <c r="F305" s="3"/>
      <c r="G305" s="5" t="s">
        <v>16</v>
      </c>
      <c r="H305" s="6"/>
      <c r="I305" s="5"/>
      <c r="J305" s="5"/>
      <c r="K305" s="6"/>
      <c r="L305" s="7"/>
      <c r="M305" s="8" t="s">
        <v>17</v>
      </c>
    </row>
    <row r="306" customFormat="false" ht="15" hidden="false" customHeight="false" outlineLevel="0" collapsed="false">
      <c r="A306" s="2" t="n">
        <v>305</v>
      </c>
      <c r="B306" s="3" t="s">
        <v>654</v>
      </c>
      <c r="C306" s="3" t="s">
        <v>655</v>
      </c>
      <c r="D306" s="4"/>
      <c r="E306" s="3" t="s">
        <v>15</v>
      </c>
      <c r="F306" s="3"/>
      <c r="G306" s="5" t="s">
        <v>16</v>
      </c>
      <c r="H306" s="6"/>
      <c r="I306" s="5"/>
      <c r="J306" s="5"/>
      <c r="K306" s="6"/>
      <c r="L306" s="7"/>
      <c r="M306" s="8" t="s">
        <v>17</v>
      </c>
    </row>
    <row r="307" customFormat="false" ht="15" hidden="false" customHeight="false" outlineLevel="0" collapsed="false">
      <c r="A307" s="2" t="n">
        <v>306</v>
      </c>
      <c r="B307" s="3" t="s">
        <v>656</v>
      </c>
      <c r="C307" s="3"/>
      <c r="D307" s="4"/>
      <c r="E307" s="3" t="s">
        <v>15</v>
      </c>
      <c r="F307" s="3" t="s">
        <v>657</v>
      </c>
      <c r="G307" s="5" t="s">
        <v>16</v>
      </c>
      <c r="H307" s="6"/>
      <c r="I307" s="5"/>
      <c r="J307" s="5"/>
      <c r="K307" s="6"/>
      <c r="L307" s="7"/>
      <c r="M307" s="8" t="s">
        <v>17</v>
      </c>
    </row>
    <row r="308" customFormat="false" ht="15" hidden="false" customHeight="false" outlineLevel="0" collapsed="false">
      <c r="A308" s="2" t="n">
        <v>307</v>
      </c>
      <c r="B308" s="3" t="s">
        <v>658</v>
      </c>
      <c r="C308" s="3"/>
      <c r="D308" s="4"/>
      <c r="E308" s="3" t="s">
        <v>15</v>
      </c>
      <c r="F308" s="3"/>
      <c r="G308" s="5" t="s">
        <v>16</v>
      </c>
      <c r="H308" s="6"/>
      <c r="I308" s="5"/>
      <c r="J308" s="5"/>
      <c r="K308" s="6"/>
      <c r="L308" s="7"/>
      <c r="M308" s="8" t="s">
        <v>17</v>
      </c>
    </row>
    <row r="309" customFormat="false" ht="15" hidden="false" customHeight="false" outlineLevel="0" collapsed="false">
      <c r="A309" s="2" t="n">
        <v>308</v>
      </c>
      <c r="B309" s="3" t="s">
        <v>659</v>
      </c>
      <c r="C309" s="3" t="s">
        <v>660</v>
      </c>
      <c r="D309" s="4" t="s">
        <v>661</v>
      </c>
      <c r="E309" s="3" t="s">
        <v>15</v>
      </c>
      <c r="F309" s="3" t="s">
        <v>662</v>
      </c>
      <c r="G309" s="5" t="s">
        <v>16</v>
      </c>
      <c r="H309" s="6"/>
      <c r="I309" s="5"/>
      <c r="J309" s="5"/>
      <c r="K309" s="6"/>
      <c r="L309" s="7"/>
      <c r="M309" s="8" t="s">
        <v>17</v>
      </c>
    </row>
    <row r="310" customFormat="false" ht="15" hidden="false" customHeight="false" outlineLevel="0" collapsed="false">
      <c r="A310" s="2" t="n">
        <v>309</v>
      </c>
      <c r="B310" s="3" t="s">
        <v>663</v>
      </c>
      <c r="C310" s="3" t="s">
        <v>64</v>
      </c>
      <c r="D310" s="4" t="s">
        <v>664</v>
      </c>
      <c r="E310" s="3" t="s">
        <v>15</v>
      </c>
      <c r="F310" s="3" t="s">
        <v>665</v>
      </c>
      <c r="G310" s="5" t="s">
        <v>16</v>
      </c>
      <c r="H310" s="6"/>
      <c r="I310" s="5"/>
      <c r="J310" s="5"/>
      <c r="K310" s="6"/>
      <c r="L310" s="7"/>
      <c r="M310" s="8" t="s">
        <v>17</v>
      </c>
    </row>
    <row r="311" customFormat="false" ht="15" hidden="false" customHeight="false" outlineLevel="0" collapsed="false">
      <c r="A311" s="2" t="n">
        <v>310</v>
      </c>
      <c r="B311" s="3" t="s">
        <v>666</v>
      </c>
      <c r="C311" s="3" t="s">
        <v>88</v>
      </c>
      <c r="D311" s="4"/>
      <c r="E311" s="3" t="s">
        <v>15</v>
      </c>
      <c r="F311" s="3" t="s">
        <v>667</v>
      </c>
      <c r="G311" s="5" t="s">
        <v>16</v>
      </c>
      <c r="H311" s="6"/>
      <c r="I311" s="5"/>
      <c r="J311" s="5"/>
      <c r="K311" s="6"/>
      <c r="L311" s="7"/>
      <c r="M311" s="8" t="s">
        <v>17</v>
      </c>
    </row>
    <row r="312" customFormat="false" ht="15" hidden="false" customHeight="false" outlineLevel="0" collapsed="false">
      <c r="A312" s="2" t="n">
        <v>311</v>
      </c>
      <c r="B312" s="3" t="s">
        <v>668</v>
      </c>
      <c r="C312" s="3"/>
      <c r="D312" s="4"/>
      <c r="E312" s="3" t="s">
        <v>15</v>
      </c>
      <c r="F312" s="3" t="s">
        <v>669</v>
      </c>
      <c r="G312" s="5" t="s">
        <v>16</v>
      </c>
      <c r="H312" s="6"/>
      <c r="I312" s="5"/>
      <c r="J312" s="5"/>
      <c r="K312" s="6"/>
      <c r="L312" s="7"/>
      <c r="M312" s="8" t="s">
        <v>17</v>
      </c>
    </row>
    <row r="313" customFormat="false" ht="15" hidden="false" customHeight="false" outlineLevel="0" collapsed="false">
      <c r="A313" s="2" t="n">
        <v>312</v>
      </c>
      <c r="B313" s="3" t="s">
        <v>670</v>
      </c>
      <c r="C313" s="3" t="s">
        <v>38</v>
      </c>
      <c r="D313" s="4"/>
      <c r="E313" s="3" t="s">
        <v>15</v>
      </c>
      <c r="F313" s="3" t="s">
        <v>671</v>
      </c>
      <c r="G313" s="5" t="s">
        <v>16</v>
      </c>
      <c r="H313" s="6"/>
      <c r="I313" s="5"/>
      <c r="J313" s="5"/>
      <c r="K313" s="6"/>
      <c r="L313" s="7"/>
      <c r="M313" s="8" t="s">
        <v>17</v>
      </c>
    </row>
    <row r="314" customFormat="false" ht="15" hidden="false" customHeight="false" outlineLevel="0" collapsed="false">
      <c r="A314" s="2" t="n">
        <v>313</v>
      </c>
      <c r="B314" s="3" t="s">
        <v>672</v>
      </c>
      <c r="C314" s="3"/>
      <c r="D314" s="4"/>
      <c r="E314" s="3" t="s">
        <v>15</v>
      </c>
      <c r="F314" s="3"/>
      <c r="G314" s="5" t="s">
        <v>16</v>
      </c>
      <c r="H314" s="6"/>
      <c r="I314" s="5"/>
      <c r="J314" s="5"/>
      <c r="K314" s="6"/>
      <c r="L314" s="7"/>
      <c r="M314" s="8" t="s">
        <v>17</v>
      </c>
    </row>
    <row r="315" customFormat="false" ht="15" hidden="false" customHeight="false" outlineLevel="0" collapsed="false">
      <c r="A315" s="2" t="n">
        <v>314</v>
      </c>
      <c r="B315" s="3" t="s">
        <v>673</v>
      </c>
      <c r="C315" s="3"/>
      <c r="D315" s="4"/>
      <c r="E315" s="3" t="s">
        <v>15</v>
      </c>
      <c r="F315" s="3" t="s">
        <v>674</v>
      </c>
      <c r="G315" s="5" t="s">
        <v>16</v>
      </c>
      <c r="H315" s="6"/>
      <c r="I315" s="5"/>
      <c r="J315" s="5"/>
      <c r="K315" s="6"/>
      <c r="L315" s="7"/>
      <c r="M315" s="8" t="s">
        <v>17</v>
      </c>
    </row>
    <row r="316" customFormat="false" ht="15" hidden="false" customHeight="false" outlineLevel="0" collapsed="false">
      <c r="A316" s="2" t="n">
        <v>315</v>
      </c>
      <c r="B316" s="3" t="s">
        <v>675</v>
      </c>
      <c r="C316" s="3" t="s">
        <v>676</v>
      </c>
      <c r="D316" s="4"/>
      <c r="E316" s="3" t="s">
        <v>15</v>
      </c>
      <c r="F316" s="3" t="s">
        <v>677</v>
      </c>
      <c r="G316" s="5" t="s">
        <v>16</v>
      </c>
      <c r="H316" s="6"/>
      <c r="I316" s="5"/>
      <c r="J316" s="5"/>
      <c r="K316" s="6"/>
      <c r="L316" s="7"/>
      <c r="M316" s="8" t="s">
        <v>17</v>
      </c>
    </row>
    <row r="317" customFormat="false" ht="15" hidden="false" customHeight="false" outlineLevel="0" collapsed="false">
      <c r="A317" s="2" t="n">
        <v>316</v>
      </c>
      <c r="B317" s="3" t="s">
        <v>678</v>
      </c>
      <c r="C317" s="3" t="s">
        <v>679</v>
      </c>
      <c r="D317" s="4"/>
      <c r="E317" s="3" t="s">
        <v>15</v>
      </c>
      <c r="F317" s="3"/>
      <c r="G317" s="5" t="s">
        <v>16</v>
      </c>
      <c r="H317" s="6"/>
      <c r="I317" s="5"/>
      <c r="J317" s="5"/>
      <c r="K317" s="6"/>
      <c r="L317" s="7"/>
      <c r="M317" s="8" t="s">
        <v>17</v>
      </c>
    </row>
    <row r="318" customFormat="false" ht="15" hidden="false" customHeight="false" outlineLevel="0" collapsed="false">
      <c r="A318" s="2" t="n">
        <v>317</v>
      </c>
      <c r="B318" s="3" t="s">
        <v>680</v>
      </c>
      <c r="C318" s="3"/>
      <c r="D318" s="4"/>
      <c r="E318" s="3" t="s">
        <v>15</v>
      </c>
      <c r="F318" s="3"/>
      <c r="G318" s="5" t="s">
        <v>16</v>
      </c>
      <c r="H318" s="6"/>
      <c r="I318" s="5"/>
      <c r="J318" s="5"/>
      <c r="K318" s="6"/>
      <c r="L318" s="7"/>
      <c r="M318" s="8" t="s">
        <v>17</v>
      </c>
    </row>
    <row r="319" customFormat="false" ht="15" hidden="false" customHeight="false" outlineLevel="0" collapsed="false">
      <c r="A319" s="2" t="n">
        <v>318</v>
      </c>
      <c r="B319" s="3" t="s">
        <v>681</v>
      </c>
      <c r="C319" s="3" t="s">
        <v>141</v>
      </c>
      <c r="D319" s="4"/>
      <c r="E319" s="3" t="s">
        <v>15</v>
      </c>
      <c r="F319" s="3" t="s">
        <v>682</v>
      </c>
      <c r="G319" s="5" t="s">
        <v>16</v>
      </c>
      <c r="H319" s="6"/>
      <c r="I319" s="5"/>
      <c r="J319" s="5"/>
      <c r="K319" s="6"/>
      <c r="L319" s="7"/>
      <c r="M319" s="8" t="s">
        <v>17</v>
      </c>
    </row>
    <row r="320" customFormat="false" ht="15" hidden="false" customHeight="false" outlineLevel="0" collapsed="false">
      <c r="A320" s="2" t="n">
        <v>319</v>
      </c>
      <c r="B320" s="3" t="s">
        <v>683</v>
      </c>
      <c r="C320" s="3"/>
      <c r="D320" s="4" t="s">
        <v>684</v>
      </c>
      <c r="E320" s="3" t="s">
        <v>15</v>
      </c>
      <c r="F320" s="3" t="s">
        <v>685</v>
      </c>
      <c r="G320" s="5" t="s">
        <v>16</v>
      </c>
      <c r="H320" s="6"/>
      <c r="I320" s="5"/>
      <c r="J320" s="5"/>
      <c r="K320" s="6"/>
      <c r="L320" s="7"/>
      <c r="M320" s="8" t="s">
        <v>17</v>
      </c>
    </row>
    <row r="321" customFormat="false" ht="15" hidden="false" customHeight="false" outlineLevel="0" collapsed="false">
      <c r="A321" s="2" t="n">
        <v>320</v>
      </c>
      <c r="B321" s="3" t="s">
        <v>686</v>
      </c>
      <c r="C321" s="3" t="s">
        <v>191</v>
      </c>
      <c r="D321" s="4"/>
      <c r="E321" s="3" t="s">
        <v>15</v>
      </c>
      <c r="F321" s="3"/>
      <c r="G321" s="5" t="s">
        <v>16</v>
      </c>
      <c r="H321" s="6"/>
      <c r="I321" s="5"/>
      <c r="J321" s="5"/>
      <c r="K321" s="6"/>
      <c r="L321" s="7"/>
      <c r="M321" s="8" t="s">
        <v>17</v>
      </c>
    </row>
    <row r="322" customFormat="false" ht="15" hidden="false" customHeight="false" outlineLevel="0" collapsed="false">
      <c r="A322" s="2" t="n">
        <v>321</v>
      </c>
      <c r="B322" s="3" t="s">
        <v>687</v>
      </c>
      <c r="C322" s="3"/>
      <c r="D322" s="4" t="s">
        <v>688</v>
      </c>
      <c r="E322" s="3" t="s">
        <v>15</v>
      </c>
      <c r="F322" s="3"/>
      <c r="G322" s="5" t="s">
        <v>16</v>
      </c>
      <c r="H322" s="6"/>
      <c r="I322" s="5"/>
      <c r="J322" s="5"/>
      <c r="K322" s="6"/>
      <c r="L322" s="7"/>
      <c r="M322" s="8" t="s">
        <v>17</v>
      </c>
    </row>
    <row r="323" customFormat="false" ht="15" hidden="false" customHeight="false" outlineLevel="0" collapsed="false">
      <c r="A323" s="2" t="n">
        <v>322</v>
      </c>
      <c r="B323" s="3" t="s">
        <v>689</v>
      </c>
      <c r="C323" s="3" t="s">
        <v>690</v>
      </c>
      <c r="D323" s="4" t="s">
        <v>691</v>
      </c>
      <c r="E323" s="3" t="s">
        <v>15</v>
      </c>
      <c r="F323" s="3" t="s">
        <v>692</v>
      </c>
      <c r="G323" s="5" t="s">
        <v>16</v>
      </c>
      <c r="H323" s="6"/>
      <c r="I323" s="5"/>
      <c r="J323" s="5"/>
      <c r="K323" s="6"/>
      <c r="L323" s="7"/>
      <c r="M323" s="8" t="s">
        <v>17</v>
      </c>
    </row>
    <row r="324" customFormat="false" ht="15" hidden="false" customHeight="false" outlineLevel="0" collapsed="false">
      <c r="A324" s="2" t="n">
        <v>323</v>
      </c>
      <c r="B324" s="3" t="s">
        <v>693</v>
      </c>
      <c r="C324" s="3"/>
      <c r="D324" s="4"/>
      <c r="E324" s="3" t="s">
        <v>15</v>
      </c>
      <c r="F324" s="3"/>
      <c r="G324" s="5" t="s">
        <v>16</v>
      </c>
      <c r="H324" s="6"/>
      <c r="I324" s="5"/>
      <c r="J324" s="5"/>
      <c r="K324" s="6"/>
      <c r="L324" s="7"/>
      <c r="M324" s="8" t="s">
        <v>17</v>
      </c>
    </row>
    <row r="325" customFormat="false" ht="15" hidden="false" customHeight="false" outlineLevel="0" collapsed="false">
      <c r="A325" s="2" t="n">
        <v>324</v>
      </c>
      <c r="B325" s="3" t="s">
        <v>694</v>
      </c>
      <c r="C325" s="3" t="s">
        <v>84</v>
      </c>
      <c r="D325" s="4"/>
      <c r="E325" s="3" t="s">
        <v>15</v>
      </c>
      <c r="F325" s="3" t="s">
        <v>695</v>
      </c>
      <c r="G325" s="5" t="s">
        <v>16</v>
      </c>
      <c r="H325" s="6"/>
      <c r="I325" s="5"/>
      <c r="J325" s="5"/>
      <c r="K325" s="6"/>
      <c r="L325" s="7"/>
      <c r="M325" s="8" t="s">
        <v>17</v>
      </c>
    </row>
    <row r="326" customFormat="false" ht="15" hidden="false" customHeight="false" outlineLevel="0" collapsed="false">
      <c r="A326" s="2" t="n">
        <v>325</v>
      </c>
      <c r="B326" s="3" t="s">
        <v>696</v>
      </c>
      <c r="C326" s="3" t="s">
        <v>30</v>
      </c>
      <c r="D326" s="4" t="s">
        <v>697</v>
      </c>
      <c r="E326" s="3" t="s">
        <v>15</v>
      </c>
      <c r="F326" s="3" t="s">
        <v>698</v>
      </c>
      <c r="G326" s="5" t="s">
        <v>16</v>
      </c>
      <c r="H326" s="6"/>
      <c r="I326" s="5"/>
      <c r="J326" s="5"/>
      <c r="K326" s="6"/>
      <c r="L326" s="7"/>
      <c r="M326" s="8" t="s">
        <v>17</v>
      </c>
    </row>
    <row r="327" customFormat="false" ht="15" hidden="false" customHeight="false" outlineLevel="0" collapsed="false">
      <c r="A327" s="2" t="n">
        <v>326</v>
      </c>
      <c r="B327" s="3" t="s">
        <v>699</v>
      </c>
      <c r="C327" s="3"/>
      <c r="D327" s="4"/>
      <c r="E327" s="3" t="s">
        <v>15</v>
      </c>
      <c r="F327" s="3"/>
      <c r="G327" s="5" t="s">
        <v>16</v>
      </c>
      <c r="H327" s="6"/>
      <c r="I327" s="5"/>
      <c r="J327" s="5"/>
      <c r="K327" s="6"/>
      <c r="L327" s="7"/>
      <c r="M327" s="8" t="s">
        <v>17</v>
      </c>
    </row>
    <row r="328" customFormat="false" ht="15" hidden="false" customHeight="false" outlineLevel="0" collapsed="false">
      <c r="A328" s="2" t="n">
        <v>327</v>
      </c>
      <c r="B328" s="3" t="s">
        <v>700</v>
      </c>
      <c r="C328" s="3" t="s">
        <v>701</v>
      </c>
      <c r="D328" s="4" t="s">
        <v>702</v>
      </c>
      <c r="E328" s="3" t="s">
        <v>15</v>
      </c>
      <c r="F328" s="3" t="s">
        <v>703</v>
      </c>
      <c r="G328" s="5" t="s">
        <v>16</v>
      </c>
      <c r="H328" s="6"/>
      <c r="I328" s="5"/>
      <c r="J328" s="5"/>
      <c r="K328" s="6"/>
      <c r="L328" s="7"/>
      <c r="M328" s="8" t="s">
        <v>17</v>
      </c>
    </row>
    <row r="329" customFormat="false" ht="15" hidden="false" customHeight="false" outlineLevel="0" collapsed="false">
      <c r="A329" s="2" t="n">
        <v>328</v>
      </c>
      <c r="B329" s="3" t="s">
        <v>704</v>
      </c>
      <c r="C329" s="3"/>
      <c r="D329" s="4"/>
      <c r="E329" s="3" t="s">
        <v>15</v>
      </c>
      <c r="F329" s="3"/>
      <c r="G329" s="5" t="s">
        <v>16</v>
      </c>
      <c r="H329" s="6"/>
      <c r="I329" s="5"/>
      <c r="J329" s="5"/>
      <c r="K329" s="6"/>
      <c r="L329" s="7"/>
      <c r="M329" s="8" t="s">
        <v>17</v>
      </c>
    </row>
    <row r="330" customFormat="false" ht="15" hidden="false" customHeight="false" outlineLevel="0" collapsed="false">
      <c r="A330" s="2" t="n">
        <v>329</v>
      </c>
      <c r="B330" s="3" t="s">
        <v>705</v>
      </c>
      <c r="C330" s="3"/>
      <c r="D330" s="4"/>
      <c r="E330" s="3" t="s">
        <v>15</v>
      </c>
      <c r="F330" s="3" t="s">
        <v>706</v>
      </c>
      <c r="G330" s="5" t="s">
        <v>16</v>
      </c>
      <c r="H330" s="6"/>
      <c r="I330" s="5"/>
      <c r="J330" s="5"/>
      <c r="K330" s="6"/>
      <c r="L330" s="7"/>
      <c r="M330" s="8" t="s">
        <v>17</v>
      </c>
    </row>
    <row r="331" customFormat="false" ht="15" hidden="false" customHeight="false" outlineLevel="0" collapsed="false">
      <c r="A331" s="2" t="n">
        <v>330</v>
      </c>
      <c r="B331" s="3" t="s">
        <v>707</v>
      </c>
      <c r="C331" s="3" t="s">
        <v>88</v>
      </c>
      <c r="D331" s="4"/>
      <c r="E331" s="3" t="s">
        <v>15</v>
      </c>
      <c r="F331" s="3" t="s">
        <v>708</v>
      </c>
      <c r="G331" s="5" t="s">
        <v>16</v>
      </c>
      <c r="H331" s="6"/>
      <c r="I331" s="5"/>
      <c r="J331" s="5"/>
      <c r="K331" s="6"/>
      <c r="L331" s="7"/>
      <c r="M331" s="8" t="s">
        <v>17</v>
      </c>
    </row>
    <row r="332" customFormat="false" ht="15" hidden="false" customHeight="false" outlineLevel="0" collapsed="false">
      <c r="A332" s="2" t="n">
        <v>331</v>
      </c>
      <c r="B332" s="3" t="s">
        <v>709</v>
      </c>
      <c r="C332" s="3"/>
      <c r="D332" s="4"/>
      <c r="E332" s="3" t="s">
        <v>15</v>
      </c>
      <c r="F332" s="3" t="s">
        <v>710</v>
      </c>
      <c r="G332" s="5" t="s">
        <v>16</v>
      </c>
      <c r="H332" s="6"/>
      <c r="I332" s="5"/>
      <c r="J332" s="5"/>
      <c r="K332" s="6"/>
      <c r="L332" s="7"/>
      <c r="M332" s="8" t="s">
        <v>17</v>
      </c>
    </row>
    <row r="333" customFormat="false" ht="15" hidden="false" customHeight="false" outlineLevel="0" collapsed="false">
      <c r="A333" s="2" t="n">
        <v>332</v>
      </c>
      <c r="B333" s="3" t="s">
        <v>711</v>
      </c>
      <c r="C333" s="3" t="s">
        <v>145</v>
      </c>
      <c r="D333" s="4"/>
      <c r="E333" s="3" t="s">
        <v>15</v>
      </c>
      <c r="F333" s="3" t="s">
        <v>712</v>
      </c>
      <c r="G333" s="5" t="s">
        <v>16</v>
      </c>
      <c r="H333" s="6"/>
      <c r="I333" s="5"/>
      <c r="J333" s="5"/>
      <c r="K333" s="6"/>
      <c r="L333" s="7"/>
      <c r="M333" s="8" t="s">
        <v>17</v>
      </c>
    </row>
    <row r="334" customFormat="false" ht="15" hidden="false" customHeight="false" outlineLevel="0" collapsed="false">
      <c r="A334" s="2" t="n">
        <v>333</v>
      </c>
      <c r="B334" s="3" t="s">
        <v>711</v>
      </c>
      <c r="C334" s="3" t="s">
        <v>64</v>
      </c>
      <c r="D334" s="4"/>
      <c r="E334" s="3" t="s">
        <v>15</v>
      </c>
      <c r="F334" s="3"/>
      <c r="G334" s="5" t="s">
        <v>16</v>
      </c>
      <c r="H334" s="6"/>
      <c r="I334" s="5"/>
      <c r="J334" s="5"/>
      <c r="K334" s="6"/>
      <c r="L334" s="7"/>
      <c r="M334" s="8" t="s">
        <v>17</v>
      </c>
    </row>
    <row r="335" customFormat="false" ht="15" hidden="false" customHeight="false" outlineLevel="0" collapsed="false">
      <c r="A335" s="2" t="n">
        <v>334</v>
      </c>
      <c r="B335" s="3" t="s">
        <v>713</v>
      </c>
      <c r="C335" s="3" t="s">
        <v>46</v>
      </c>
      <c r="D335" s="4"/>
      <c r="E335" s="3" t="s">
        <v>15</v>
      </c>
      <c r="F335" s="3" t="s">
        <v>714</v>
      </c>
      <c r="G335" s="5" t="s">
        <v>16</v>
      </c>
      <c r="H335" s="6"/>
      <c r="I335" s="5"/>
      <c r="J335" s="5"/>
      <c r="K335" s="6"/>
      <c r="L335" s="7"/>
      <c r="M335" s="8" t="s">
        <v>17</v>
      </c>
    </row>
    <row r="336" customFormat="false" ht="15" hidden="false" customHeight="false" outlineLevel="0" collapsed="false">
      <c r="A336" s="2" t="n">
        <v>335</v>
      </c>
      <c r="B336" s="3" t="s">
        <v>715</v>
      </c>
      <c r="C336" s="3" t="s">
        <v>84</v>
      </c>
      <c r="D336" s="4" t="s">
        <v>716</v>
      </c>
      <c r="E336" s="3" t="s">
        <v>15</v>
      </c>
      <c r="F336" s="3"/>
      <c r="G336" s="5" t="s">
        <v>16</v>
      </c>
      <c r="H336" s="6"/>
      <c r="I336" s="5"/>
      <c r="J336" s="5"/>
      <c r="K336" s="6"/>
      <c r="L336" s="7"/>
      <c r="M336" s="8" t="s">
        <v>17</v>
      </c>
    </row>
    <row r="337" customFormat="false" ht="15" hidden="false" customHeight="false" outlineLevel="0" collapsed="false">
      <c r="A337" s="2" t="n">
        <v>336</v>
      </c>
      <c r="B337" s="3" t="s">
        <v>717</v>
      </c>
      <c r="C337" s="3" t="s">
        <v>30</v>
      </c>
      <c r="D337" s="4"/>
      <c r="E337" s="3" t="s">
        <v>15</v>
      </c>
      <c r="F337" s="3" t="s">
        <v>718</v>
      </c>
      <c r="G337" s="5" t="s">
        <v>16</v>
      </c>
      <c r="H337" s="6"/>
      <c r="I337" s="5"/>
      <c r="J337" s="5"/>
      <c r="K337" s="6"/>
      <c r="L337" s="7"/>
      <c r="M337" s="8" t="s">
        <v>17</v>
      </c>
    </row>
    <row r="338" customFormat="false" ht="15" hidden="false" customHeight="false" outlineLevel="0" collapsed="false">
      <c r="A338" s="2" t="n">
        <v>337</v>
      </c>
      <c r="B338" s="3" t="s">
        <v>719</v>
      </c>
      <c r="C338" s="3" t="s">
        <v>84</v>
      </c>
      <c r="D338" s="4" t="s">
        <v>720</v>
      </c>
      <c r="E338" s="3" t="s">
        <v>15</v>
      </c>
      <c r="F338" s="3" t="s">
        <v>721</v>
      </c>
      <c r="G338" s="5" t="s">
        <v>16</v>
      </c>
      <c r="H338" s="6"/>
      <c r="I338" s="5"/>
      <c r="J338" s="5"/>
      <c r="K338" s="6"/>
      <c r="L338" s="7"/>
      <c r="M338" s="8" t="s">
        <v>17</v>
      </c>
    </row>
    <row r="339" customFormat="false" ht="15" hidden="false" customHeight="false" outlineLevel="0" collapsed="false">
      <c r="A339" s="2" t="n">
        <v>338</v>
      </c>
      <c r="B339" s="3" t="s">
        <v>722</v>
      </c>
      <c r="C339" s="3" t="s">
        <v>723</v>
      </c>
      <c r="D339" s="4"/>
      <c r="E339" s="3" t="s">
        <v>15</v>
      </c>
      <c r="F339" s="3"/>
      <c r="G339" s="5" t="s">
        <v>16</v>
      </c>
      <c r="H339" s="6"/>
      <c r="I339" s="5"/>
      <c r="J339" s="5"/>
      <c r="K339" s="6"/>
      <c r="L339" s="7"/>
      <c r="M339" s="8" t="s">
        <v>17</v>
      </c>
    </row>
    <row r="340" customFormat="false" ht="15" hidden="false" customHeight="false" outlineLevel="0" collapsed="false">
      <c r="A340" s="2" t="n">
        <v>339</v>
      </c>
      <c r="B340" s="3" t="s">
        <v>724</v>
      </c>
      <c r="C340" s="3" t="s">
        <v>62</v>
      </c>
      <c r="D340" s="4" t="s">
        <v>725</v>
      </c>
      <c r="E340" s="3" t="s">
        <v>15</v>
      </c>
      <c r="F340" s="3" t="s">
        <v>726</v>
      </c>
      <c r="G340" s="5" t="s">
        <v>16</v>
      </c>
      <c r="H340" s="6"/>
      <c r="I340" s="5"/>
      <c r="J340" s="5"/>
      <c r="K340" s="6"/>
      <c r="L340" s="7"/>
      <c r="M340" s="8" t="s">
        <v>17</v>
      </c>
    </row>
    <row r="341" customFormat="false" ht="15" hidden="false" customHeight="false" outlineLevel="0" collapsed="false">
      <c r="A341" s="2" t="n">
        <v>340</v>
      </c>
      <c r="B341" s="3" t="s">
        <v>727</v>
      </c>
      <c r="C341" s="3"/>
      <c r="D341" s="4"/>
      <c r="E341" s="3" t="s">
        <v>15</v>
      </c>
      <c r="F341" s="3"/>
      <c r="G341" s="5" t="s">
        <v>16</v>
      </c>
      <c r="H341" s="6"/>
      <c r="I341" s="5"/>
      <c r="J341" s="5"/>
      <c r="K341" s="6"/>
      <c r="L341" s="7"/>
      <c r="M341" s="8" t="s">
        <v>17</v>
      </c>
    </row>
    <row r="342" customFormat="false" ht="15" hidden="false" customHeight="false" outlineLevel="0" collapsed="false">
      <c r="A342" s="2" t="n">
        <v>341</v>
      </c>
      <c r="B342" s="3" t="s">
        <v>728</v>
      </c>
      <c r="C342" s="3" t="s">
        <v>729</v>
      </c>
      <c r="D342" s="4" t="s">
        <v>730</v>
      </c>
      <c r="E342" s="3" t="s">
        <v>15</v>
      </c>
      <c r="F342" s="3"/>
      <c r="G342" s="5" t="s">
        <v>16</v>
      </c>
      <c r="H342" s="6"/>
      <c r="I342" s="5"/>
      <c r="J342" s="5"/>
      <c r="K342" s="6"/>
      <c r="L342" s="7"/>
      <c r="M342" s="8" t="s">
        <v>17</v>
      </c>
    </row>
    <row r="343" customFormat="false" ht="15" hidden="false" customHeight="false" outlineLevel="0" collapsed="false">
      <c r="A343" s="2" t="n">
        <v>342</v>
      </c>
      <c r="B343" s="3" t="s">
        <v>731</v>
      </c>
      <c r="C343" s="3" t="s">
        <v>84</v>
      </c>
      <c r="D343" s="4"/>
      <c r="E343" s="3" t="s">
        <v>15</v>
      </c>
      <c r="F343" s="3" t="s">
        <v>732</v>
      </c>
      <c r="G343" s="5" t="s">
        <v>16</v>
      </c>
      <c r="H343" s="6"/>
      <c r="I343" s="5"/>
      <c r="J343" s="5"/>
      <c r="K343" s="6"/>
      <c r="L343" s="7"/>
      <c r="M343" s="8" t="s">
        <v>17</v>
      </c>
    </row>
    <row r="344" customFormat="false" ht="15" hidden="false" customHeight="false" outlineLevel="0" collapsed="false">
      <c r="A344" s="2" t="n">
        <v>343</v>
      </c>
      <c r="B344" s="3" t="s">
        <v>733</v>
      </c>
      <c r="C344" s="3" t="s">
        <v>19</v>
      </c>
      <c r="D344" s="4" t="s">
        <v>734</v>
      </c>
      <c r="E344" s="3" t="s">
        <v>15</v>
      </c>
      <c r="F344" s="3" t="s">
        <v>735</v>
      </c>
      <c r="G344" s="5" t="s">
        <v>16</v>
      </c>
      <c r="H344" s="6"/>
      <c r="I344" s="5"/>
      <c r="J344" s="5"/>
      <c r="K344" s="6"/>
      <c r="L344" s="7"/>
      <c r="M344" s="8" t="s">
        <v>17</v>
      </c>
    </row>
    <row r="345" customFormat="false" ht="15" hidden="false" customHeight="false" outlineLevel="0" collapsed="false">
      <c r="A345" s="2" t="n">
        <v>344</v>
      </c>
      <c r="B345" s="3" t="s">
        <v>736</v>
      </c>
      <c r="C345" s="3" t="s">
        <v>211</v>
      </c>
      <c r="D345" s="4" t="s">
        <v>737</v>
      </c>
      <c r="E345" s="3" t="s">
        <v>15</v>
      </c>
      <c r="F345" s="3" t="s">
        <v>738</v>
      </c>
      <c r="G345" s="5" t="s">
        <v>16</v>
      </c>
      <c r="H345" s="6"/>
      <c r="I345" s="5"/>
      <c r="J345" s="5"/>
      <c r="K345" s="6"/>
      <c r="L345" s="7"/>
      <c r="M345" s="8" t="s">
        <v>17</v>
      </c>
    </row>
    <row r="346" customFormat="false" ht="15" hidden="false" customHeight="false" outlineLevel="0" collapsed="false">
      <c r="A346" s="2" t="n">
        <v>345</v>
      </c>
      <c r="B346" s="3" t="s">
        <v>739</v>
      </c>
      <c r="C346" s="3"/>
      <c r="D346" s="4"/>
      <c r="E346" s="3" t="s">
        <v>15</v>
      </c>
      <c r="F346" s="3" t="s">
        <v>740</v>
      </c>
      <c r="G346" s="5" t="s">
        <v>16</v>
      </c>
      <c r="H346" s="6"/>
      <c r="I346" s="5"/>
      <c r="J346" s="5"/>
      <c r="K346" s="6"/>
      <c r="L346" s="7"/>
      <c r="M346" s="8" t="s">
        <v>17</v>
      </c>
    </row>
    <row r="347" customFormat="false" ht="15" hidden="false" customHeight="false" outlineLevel="0" collapsed="false">
      <c r="A347" s="2" t="n">
        <v>346</v>
      </c>
      <c r="B347" s="3" t="s">
        <v>741</v>
      </c>
      <c r="C347" s="3" t="s">
        <v>84</v>
      </c>
      <c r="D347" s="4"/>
      <c r="E347" s="3" t="s">
        <v>15</v>
      </c>
      <c r="F347" s="3"/>
      <c r="G347" s="5" t="s">
        <v>16</v>
      </c>
      <c r="H347" s="6"/>
      <c r="I347" s="5"/>
      <c r="J347" s="5"/>
      <c r="K347" s="6"/>
      <c r="L347" s="7"/>
      <c r="M347" s="8" t="s">
        <v>17</v>
      </c>
    </row>
    <row r="348" customFormat="false" ht="15" hidden="false" customHeight="false" outlineLevel="0" collapsed="false">
      <c r="A348" s="2" t="n">
        <v>347</v>
      </c>
      <c r="B348" s="3" t="s">
        <v>742</v>
      </c>
      <c r="C348" s="3" t="s">
        <v>81</v>
      </c>
      <c r="D348" s="4"/>
      <c r="E348" s="3" t="s">
        <v>15</v>
      </c>
      <c r="F348" s="3"/>
      <c r="G348" s="5" t="s">
        <v>16</v>
      </c>
      <c r="H348" s="6"/>
      <c r="I348" s="5"/>
      <c r="J348" s="5"/>
      <c r="K348" s="6"/>
      <c r="L348" s="7"/>
      <c r="M348" s="8" t="s">
        <v>17</v>
      </c>
    </row>
    <row r="349" customFormat="false" ht="15" hidden="false" customHeight="false" outlineLevel="0" collapsed="false">
      <c r="A349" s="2" t="n">
        <v>348</v>
      </c>
      <c r="B349" s="3" t="s">
        <v>743</v>
      </c>
      <c r="C349" s="3" t="s">
        <v>116</v>
      </c>
      <c r="D349" s="4"/>
      <c r="E349" s="3" t="s">
        <v>15</v>
      </c>
      <c r="F349" s="3"/>
      <c r="G349" s="5" t="s">
        <v>16</v>
      </c>
      <c r="H349" s="6"/>
      <c r="I349" s="5"/>
      <c r="J349" s="5"/>
      <c r="K349" s="6"/>
      <c r="L349" s="7"/>
      <c r="M349" s="8" t="s">
        <v>17</v>
      </c>
    </row>
    <row r="350" customFormat="false" ht="15" hidden="false" customHeight="false" outlineLevel="0" collapsed="false">
      <c r="A350" s="2" t="n">
        <v>349</v>
      </c>
      <c r="B350" s="3" t="s">
        <v>744</v>
      </c>
      <c r="C350" s="3"/>
      <c r="D350" s="4"/>
      <c r="E350" s="3" t="s">
        <v>15</v>
      </c>
      <c r="F350" s="3" t="s">
        <v>745</v>
      </c>
      <c r="G350" s="5" t="s">
        <v>16</v>
      </c>
      <c r="H350" s="6"/>
      <c r="I350" s="5"/>
      <c r="J350" s="5"/>
      <c r="K350" s="6"/>
      <c r="L350" s="7"/>
      <c r="M350" s="8" t="s">
        <v>17</v>
      </c>
    </row>
    <row r="351" customFormat="false" ht="15" hidden="false" customHeight="false" outlineLevel="0" collapsed="false">
      <c r="A351" s="2" t="n">
        <v>350</v>
      </c>
      <c r="B351" s="3" t="s">
        <v>746</v>
      </c>
      <c r="C351" s="3"/>
      <c r="D351" s="4" t="s">
        <v>747</v>
      </c>
      <c r="E351" s="3" t="s">
        <v>15</v>
      </c>
      <c r="F351" s="3"/>
      <c r="G351" s="5" t="s">
        <v>16</v>
      </c>
      <c r="H351" s="6"/>
      <c r="I351" s="5"/>
      <c r="J351" s="5"/>
      <c r="K351" s="6"/>
      <c r="L351" s="7"/>
      <c r="M351" s="8" t="s">
        <v>17</v>
      </c>
    </row>
    <row r="352" customFormat="false" ht="15" hidden="false" customHeight="false" outlineLevel="0" collapsed="false">
      <c r="A352" s="2" t="n">
        <v>351</v>
      </c>
      <c r="B352" s="3" t="s">
        <v>748</v>
      </c>
      <c r="C352" s="3" t="s">
        <v>64</v>
      </c>
      <c r="D352" s="4"/>
      <c r="E352" s="3" t="s">
        <v>15</v>
      </c>
      <c r="F352" s="3"/>
      <c r="G352" s="5" t="s">
        <v>16</v>
      </c>
      <c r="H352" s="6"/>
      <c r="I352" s="5"/>
      <c r="J352" s="5"/>
      <c r="K352" s="6"/>
      <c r="L352" s="7"/>
      <c r="M352" s="8" t="s">
        <v>17</v>
      </c>
    </row>
    <row r="353" customFormat="false" ht="15" hidden="false" customHeight="false" outlineLevel="0" collapsed="false">
      <c r="A353" s="2" t="n">
        <v>352</v>
      </c>
      <c r="B353" s="3" t="s">
        <v>749</v>
      </c>
      <c r="C353" s="3" t="s">
        <v>94</v>
      </c>
      <c r="D353" s="4"/>
      <c r="E353" s="3" t="s">
        <v>15</v>
      </c>
      <c r="F353" s="3" t="s">
        <v>750</v>
      </c>
      <c r="G353" s="5" t="s">
        <v>16</v>
      </c>
      <c r="H353" s="6"/>
      <c r="I353" s="5"/>
      <c r="J353" s="5"/>
      <c r="K353" s="6"/>
      <c r="L353" s="7"/>
      <c r="M353" s="8" t="s">
        <v>17</v>
      </c>
    </row>
    <row r="354" customFormat="false" ht="15" hidden="false" customHeight="false" outlineLevel="0" collapsed="false">
      <c r="A354" s="2" t="n">
        <v>353</v>
      </c>
      <c r="B354" s="3" t="s">
        <v>751</v>
      </c>
      <c r="C354" s="3" t="s">
        <v>752</v>
      </c>
      <c r="D354" s="4"/>
      <c r="E354" s="3" t="s">
        <v>15</v>
      </c>
      <c r="F354" s="3" t="s">
        <v>753</v>
      </c>
      <c r="G354" s="5" t="s">
        <v>16</v>
      </c>
      <c r="H354" s="6"/>
      <c r="I354" s="5"/>
      <c r="J354" s="5"/>
      <c r="K354" s="6"/>
      <c r="L354" s="7"/>
      <c r="M354" s="8" t="s">
        <v>17</v>
      </c>
    </row>
    <row r="355" customFormat="false" ht="15" hidden="false" customHeight="false" outlineLevel="0" collapsed="false">
      <c r="A355" s="2" t="n">
        <v>354</v>
      </c>
      <c r="B355" s="3" t="s">
        <v>751</v>
      </c>
      <c r="C355" s="3"/>
      <c r="D355" s="4"/>
      <c r="E355" s="3" t="s">
        <v>15</v>
      </c>
      <c r="F355" s="3" t="s">
        <v>754</v>
      </c>
      <c r="G355" s="5" t="s">
        <v>16</v>
      </c>
      <c r="H355" s="6"/>
      <c r="I355" s="5"/>
      <c r="J355" s="5"/>
      <c r="K355" s="6"/>
      <c r="L355" s="7"/>
      <c r="M355" s="8" t="s">
        <v>17</v>
      </c>
    </row>
    <row r="356" customFormat="false" ht="15" hidden="false" customHeight="false" outlineLevel="0" collapsed="false">
      <c r="A356" s="2" t="n">
        <v>355</v>
      </c>
      <c r="B356" s="3" t="s">
        <v>755</v>
      </c>
      <c r="C356" s="3"/>
      <c r="D356" s="4"/>
      <c r="E356" s="3" t="s">
        <v>15</v>
      </c>
      <c r="F356" s="3" t="s">
        <v>756</v>
      </c>
      <c r="G356" s="5" t="s">
        <v>16</v>
      </c>
      <c r="H356" s="6"/>
      <c r="I356" s="5"/>
      <c r="J356" s="5"/>
      <c r="K356" s="6"/>
      <c r="L356" s="7"/>
      <c r="M356" s="8" t="s">
        <v>17</v>
      </c>
    </row>
    <row r="357" customFormat="false" ht="15" hidden="false" customHeight="false" outlineLevel="0" collapsed="false">
      <c r="A357" s="2" t="n">
        <v>356</v>
      </c>
      <c r="B357" s="3" t="s">
        <v>757</v>
      </c>
      <c r="C357" s="3"/>
      <c r="D357" s="4"/>
      <c r="E357" s="3" t="s">
        <v>15</v>
      </c>
      <c r="F357" s="3"/>
      <c r="G357" s="5" t="s">
        <v>16</v>
      </c>
      <c r="H357" s="6"/>
      <c r="I357" s="5"/>
      <c r="J357" s="5"/>
      <c r="K357" s="6"/>
      <c r="L357" s="7"/>
      <c r="M357" s="8" t="s">
        <v>17</v>
      </c>
    </row>
    <row r="358" customFormat="false" ht="15" hidden="false" customHeight="false" outlineLevel="0" collapsed="false">
      <c r="A358" s="2" t="n">
        <v>357</v>
      </c>
      <c r="B358" s="3" t="s">
        <v>758</v>
      </c>
      <c r="C358" s="3" t="s">
        <v>44</v>
      </c>
      <c r="D358" s="4"/>
      <c r="E358" s="3" t="s">
        <v>15</v>
      </c>
      <c r="F358" s="3" t="s">
        <v>759</v>
      </c>
      <c r="G358" s="5" t="s">
        <v>16</v>
      </c>
      <c r="H358" s="6"/>
      <c r="I358" s="5"/>
      <c r="J358" s="5"/>
      <c r="K358" s="6"/>
      <c r="L358" s="7"/>
      <c r="M358" s="8" t="s">
        <v>17</v>
      </c>
    </row>
    <row r="359" customFormat="false" ht="15" hidden="false" customHeight="false" outlineLevel="0" collapsed="false">
      <c r="A359" s="2" t="n">
        <v>358</v>
      </c>
      <c r="B359" s="3" t="s">
        <v>760</v>
      </c>
      <c r="C359" s="3" t="s">
        <v>30</v>
      </c>
      <c r="D359" s="4"/>
      <c r="E359" s="3" t="s">
        <v>15</v>
      </c>
      <c r="F359" s="3"/>
      <c r="G359" s="5" t="s">
        <v>16</v>
      </c>
      <c r="H359" s="6"/>
      <c r="I359" s="5"/>
      <c r="J359" s="5"/>
      <c r="K359" s="6"/>
      <c r="L359" s="7"/>
      <c r="M359" s="8" t="s">
        <v>17</v>
      </c>
    </row>
    <row r="360" customFormat="false" ht="15" hidden="false" customHeight="false" outlineLevel="0" collapsed="false">
      <c r="A360" s="2" t="n">
        <v>359</v>
      </c>
      <c r="B360" s="3" t="s">
        <v>761</v>
      </c>
      <c r="C360" s="3"/>
      <c r="D360" s="4"/>
      <c r="E360" s="3" t="s">
        <v>15</v>
      </c>
      <c r="F360" s="3"/>
      <c r="G360" s="5" t="s">
        <v>16</v>
      </c>
      <c r="H360" s="6"/>
      <c r="I360" s="5"/>
      <c r="J360" s="5"/>
      <c r="K360" s="6"/>
      <c r="L360" s="7"/>
      <c r="M360" s="8" t="s">
        <v>17</v>
      </c>
    </row>
    <row r="361" customFormat="false" ht="15" hidden="false" customHeight="false" outlineLevel="0" collapsed="false">
      <c r="A361" s="2" t="n">
        <v>360</v>
      </c>
      <c r="B361" s="3" t="s">
        <v>762</v>
      </c>
      <c r="C361" s="3" t="s">
        <v>763</v>
      </c>
      <c r="D361" s="4" t="s">
        <v>764</v>
      </c>
      <c r="E361" s="3" t="s">
        <v>15</v>
      </c>
      <c r="F361" s="3" t="s">
        <v>765</v>
      </c>
      <c r="G361" s="5" t="s">
        <v>16</v>
      </c>
      <c r="H361" s="6"/>
      <c r="I361" s="5"/>
      <c r="J361" s="5"/>
      <c r="K361" s="6"/>
      <c r="L361" s="7"/>
      <c r="M361" s="8" t="s">
        <v>17</v>
      </c>
    </row>
    <row r="362" customFormat="false" ht="15" hidden="false" customHeight="false" outlineLevel="0" collapsed="false">
      <c r="A362" s="2" t="n">
        <v>361</v>
      </c>
      <c r="B362" s="3" t="s">
        <v>766</v>
      </c>
      <c r="C362" s="3" t="s">
        <v>81</v>
      </c>
      <c r="D362" s="4"/>
      <c r="E362" s="3" t="s">
        <v>15</v>
      </c>
      <c r="F362" s="3" t="s">
        <v>767</v>
      </c>
      <c r="G362" s="5" t="s">
        <v>16</v>
      </c>
      <c r="H362" s="6"/>
      <c r="I362" s="5"/>
      <c r="J362" s="5"/>
      <c r="K362" s="6"/>
      <c r="L362" s="7"/>
      <c r="M362" s="8" t="s">
        <v>17</v>
      </c>
    </row>
    <row r="363" customFormat="false" ht="15" hidden="false" customHeight="false" outlineLevel="0" collapsed="false">
      <c r="A363" s="2" t="n">
        <v>362</v>
      </c>
      <c r="B363" s="3" t="s">
        <v>768</v>
      </c>
      <c r="C363" s="3" t="s">
        <v>84</v>
      </c>
      <c r="D363" s="4"/>
      <c r="E363" s="3" t="s">
        <v>15</v>
      </c>
      <c r="F363" s="3" t="s">
        <v>769</v>
      </c>
      <c r="G363" s="5" t="s">
        <v>16</v>
      </c>
      <c r="H363" s="6"/>
      <c r="I363" s="5"/>
      <c r="J363" s="5"/>
      <c r="K363" s="6"/>
      <c r="L363" s="7"/>
      <c r="M363" s="8" t="s">
        <v>17</v>
      </c>
    </row>
    <row r="364" customFormat="false" ht="15" hidden="false" customHeight="false" outlineLevel="0" collapsed="false">
      <c r="A364" s="2" t="n">
        <v>363</v>
      </c>
      <c r="B364" s="3" t="s">
        <v>770</v>
      </c>
      <c r="C364" s="3"/>
      <c r="D364" s="4"/>
      <c r="E364" s="3" t="s">
        <v>15</v>
      </c>
      <c r="F364" s="3"/>
      <c r="G364" s="5" t="s">
        <v>16</v>
      </c>
      <c r="H364" s="6"/>
      <c r="I364" s="5"/>
      <c r="J364" s="5"/>
      <c r="K364" s="6"/>
      <c r="L364" s="7"/>
      <c r="M364" s="8" t="s">
        <v>17</v>
      </c>
    </row>
    <row r="365" customFormat="false" ht="15" hidden="false" customHeight="false" outlineLevel="0" collapsed="false">
      <c r="A365" s="2" t="n">
        <v>364</v>
      </c>
      <c r="B365" s="3" t="s">
        <v>771</v>
      </c>
      <c r="C365" s="3"/>
      <c r="D365" s="4" t="s">
        <v>772</v>
      </c>
      <c r="E365" s="3" t="s">
        <v>15</v>
      </c>
      <c r="F365" s="3"/>
      <c r="G365" s="5" t="s">
        <v>16</v>
      </c>
      <c r="H365" s="6"/>
      <c r="I365" s="5"/>
      <c r="J365" s="5"/>
      <c r="K365" s="6"/>
      <c r="L365" s="7"/>
      <c r="M365" s="8" t="s">
        <v>17</v>
      </c>
    </row>
    <row r="366" customFormat="false" ht="15" hidden="false" customHeight="false" outlineLevel="0" collapsed="false">
      <c r="A366" s="2" t="n">
        <v>365</v>
      </c>
      <c r="B366" s="3" t="s">
        <v>773</v>
      </c>
      <c r="C366" s="3" t="s">
        <v>26</v>
      </c>
      <c r="D366" s="4" t="s">
        <v>774</v>
      </c>
      <c r="E366" s="3" t="s">
        <v>15</v>
      </c>
      <c r="F366" s="3" t="s">
        <v>775</v>
      </c>
      <c r="G366" s="5" t="s">
        <v>16</v>
      </c>
      <c r="H366" s="6"/>
      <c r="I366" s="5"/>
      <c r="J366" s="5"/>
      <c r="K366" s="6"/>
      <c r="L366" s="7"/>
      <c r="M366" s="8" t="s">
        <v>17</v>
      </c>
    </row>
    <row r="367" customFormat="false" ht="15" hidden="false" customHeight="false" outlineLevel="0" collapsed="false">
      <c r="A367" s="2" t="n">
        <v>366</v>
      </c>
      <c r="B367" s="3" t="s">
        <v>776</v>
      </c>
      <c r="C367" s="3"/>
      <c r="D367" s="4"/>
      <c r="E367" s="3" t="s">
        <v>15</v>
      </c>
      <c r="F367" s="3"/>
      <c r="G367" s="5" t="s">
        <v>16</v>
      </c>
      <c r="H367" s="6"/>
      <c r="I367" s="5"/>
      <c r="J367" s="5"/>
      <c r="K367" s="6"/>
      <c r="L367" s="7"/>
      <c r="M367" s="8" t="s">
        <v>17</v>
      </c>
    </row>
    <row r="368" customFormat="false" ht="15" hidden="false" customHeight="false" outlineLevel="0" collapsed="false">
      <c r="A368" s="2" t="n">
        <v>367</v>
      </c>
      <c r="B368" s="3" t="s">
        <v>777</v>
      </c>
      <c r="C368" s="3" t="s">
        <v>84</v>
      </c>
      <c r="D368" s="4"/>
      <c r="E368" s="3" t="s">
        <v>15</v>
      </c>
      <c r="F368" s="3" t="s">
        <v>778</v>
      </c>
      <c r="G368" s="5" t="s">
        <v>16</v>
      </c>
      <c r="H368" s="6"/>
      <c r="I368" s="5"/>
      <c r="J368" s="5"/>
      <c r="K368" s="6"/>
      <c r="L368" s="7"/>
      <c r="M368" s="8" t="s">
        <v>17</v>
      </c>
    </row>
    <row r="369" customFormat="false" ht="15" hidden="false" customHeight="false" outlineLevel="0" collapsed="false">
      <c r="A369" s="2" t="n">
        <v>368</v>
      </c>
      <c r="B369" s="3" t="s">
        <v>779</v>
      </c>
      <c r="C369" s="3" t="s">
        <v>256</v>
      </c>
      <c r="D369" s="4"/>
      <c r="E369" s="3" t="s">
        <v>15</v>
      </c>
      <c r="F369" s="3" t="s">
        <v>780</v>
      </c>
      <c r="G369" s="5" t="s">
        <v>16</v>
      </c>
      <c r="H369" s="6"/>
      <c r="I369" s="5"/>
      <c r="J369" s="5"/>
      <c r="K369" s="6"/>
      <c r="L369" s="7"/>
      <c r="M369" s="8" t="s">
        <v>17</v>
      </c>
    </row>
    <row r="370" customFormat="false" ht="15" hidden="false" customHeight="false" outlineLevel="0" collapsed="false">
      <c r="A370" s="2" t="n">
        <v>369</v>
      </c>
      <c r="B370" s="3" t="s">
        <v>781</v>
      </c>
      <c r="C370" s="3"/>
      <c r="D370" s="4" t="s">
        <v>782</v>
      </c>
      <c r="E370" s="3" t="s">
        <v>15</v>
      </c>
      <c r="F370" s="3" t="s">
        <v>783</v>
      </c>
      <c r="G370" s="5" t="s">
        <v>16</v>
      </c>
      <c r="H370" s="6"/>
      <c r="I370" s="5"/>
      <c r="J370" s="5"/>
      <c r="K370" s="6"/>
      <c r="L370" s="7"/>
      <c r="M370" s="8" t="s">
        <v>17</v>
      </c>
    </row>
    <row r="371" customFormat="false" ht="15" hidden="false" customHeight="false" outlineLevel="0" collapsed="false">
      <c r="A371" s="2" t="n">
        <v>370</v>
      </c>
      <c r="B371" s="3" t="s">
        <v>784</v>
      </c>
      <c r="C371" s="3" t="s">
        <v>104</v>
      </c>
      <c r="D371" s="4"/>
      <c r="E371" s="3" t="s">
        <v>15</v>
      </c>
      <c r="F371" s="3" t="s">
        <v>785</v>
      </c>
      <c r="G371" s="5" t="s">
        <v>16</v>
      </c>
      <c r="H371" s="6"/>
      <c r="I371" s="5"/>
      <c r="J371" s="5"/>
      <c r="K371" s="6"/>
      <c r="L371" s="7"/>
      <c r="M371" s="8" t="s">
        <v>17</v>
      </c>
    </row>
    <row r="372" customFormat="false" ht="15" hidden="false" customHeight="false" outlineLevel="0" collapsed="false">
      <c r="A372" s="2" t="n">
        <v>371</v>
      </c>
      <c r="B372" s="3" t="s">
        <v>786</v>
      </c>
      <c r="C372" s="3" t="s">
        <v>84</v>
      </c>
      <c r="D372" s="4" t="s">
        <v>787</v>
      </c>
      <c r="E372" s="3" t="s">
        <v>15</v>
      </c>
      <c r="F372" s="3" t="s">
        <v>788</v>
      </c>
      <c r="G372" s="5" t="s">
        <v>16</v>
      </c>
      <c r="H372" s="6"/>
      <c r="I372" s="5"/>
      <c r="J372" s="5"/>
      <c r="K372" s="6"/>
      <c r="L372" s="7"/>
      <c r="M372" s="8" t="s">
        <v>17</v>
      </c>
    </row>
    <row r="373" customFormat="false" ht="15" hidden="false" customHeight="false" outlineLevel="0" collapsed="false">
      <c r="A373" s="2" t="n">
        <v>372</v>
      </c>
      <c r="B373" s="3" t="s">
        <v>789</v>
      </c>
      <c r="C373" s="3" t="s">
        <v>84</v>
      </c>
      <c r="D373" s="4"/>
      <c r="E373" s="3" t="s">
        <v>15</v>
      </c>
      <c r="F373" s="3" t="s">
        <v>790</v>
      </c>
      <c r="G373" s="5" t="s">
        <v>16</v>
      </c>
      <c r="H373" s="6"/>
      <c r="I373" s="5"/>
      <c r="J373" s="5"/>
      <c r="K373" s="6"/>
      <c r="L373" s="7"/>
      <c r="M373" s="8" t="s">
        <v>17</v>
      </c>
    </row>
    <row r="374" customFormat="false" ht="15" hidden="false" customHeight="false" outlineLevel="0" collapsed="false">
      <c r="A374" s="2" t="n">
        <v>373</v>
      </c>
      <c r="B374" s="3" t="s">
        <v>791</v>
      </c>
      <c r="C374" s="3"/>
      <c r="D374" s="4" t="s">
        <v>792</v>
      </c>
      <c r="E374" s="3" t="s">
        <v>15</v>
      </c>
      <c r="F374" s="3" t="s">
        <v>793</v>
      </c>
      <c r="G374" s="5" t="s">
        <v>16</v>
      </c>
      <c r="H374" s="6"/>
      <c r="I374" s="5"/>
      <c r="J374" s="5"/>
      <c r="K374" s="6"/>
      <c r="L374" s="7"/>
      <c r="M374" s="8" t="s">
        <v>17</v>
      </c>
    </row>
    <row r="375" customFormat="false" ht="15" hidden="false" customHeight="false" outlineLevel="0" collapsed="false">
      <c r="A375" s="2" t="n">
        <v>374</v>
      </c>
      <c r="B375" s="3" t="s">
        <v>794</v>
      </c>
      <c r="C375" s="3"/>
      <c r="D375" s="4" t="s">
        <v>795</v>
      </c>
      <c r="E375" s="3" t="s">
        <v>15</v>
      </c>
      <c r="F375" s="3" t="s">
        <v>796</v>
      </c>
      <c r="G375" s="5" t="s">
        <v>16</v>
      </c>
      <c r="H375" s="6"/>
      <c r="I375" s="5"/>
      <c r="J375" s="5"/>
      <c r="K375" s="6"/>
      <c r="L375" s="7"/>
      <c r="M375" s="8" t="s">
        <v>17</v>
      </c>
    </row>
    <row r="376" customFormat="false" ht="15" hidden="false" customHeight="false" outlineLevel="0" collapsed="false">
      <c r="A376" s="2" t="n">
        <v>375</v>
      </c>
      <c r="B376" s="3" t="s">
        <v>797</v>
      </c>
      <c r="C376" s="3" t="s">
        <v>798</v>
      </c>
      <c r="D376" s="4"/>
      <c r="E376" s="3" t="s">
        <v>15</v>
      </c>
      <c r="F376" s="3" t="s">
        <v>799</v>
      </c>
      <c r="G376" s="5" t="s">
        <v>16</v>
      </c>
      <c r="H376" s="6"/>
      <c r="I376" s="5"/>
      <c r="J376" s="5"/>
      <c r="K376" s="6"/>
      <c r="L376" s="7"/>
      <c r="M376" s="8" t="s">
        <v>17</v>
      </c>
    </row>
    <row r="377" customFormat="false" ht="15" hidden="false" customHeight="false" outlineLevel="0" collapsed="false">
      <c r="A377" s="2" t="n">
        <v>376</v>
      </c>
      <c r="B377" s="3" t="s">
        <v>800</v>
      </c>
      <c r="C377" s="3" t="s">
        <v>145</v>
      </c>
      <c r="D377" s="4" t="s">
        <v>801</v>
      </c>
      <c r="E377" s="3" t="s">
        <v>15</v>
      </c>
      <c r="F377" s="3" t="s">
        <v>802</v>
      </c>
      <c r="G377" s="5" t="s">
        <v>16</v>
      </c>
      <c r="H377" s="6"/>
      <c r="I377" s="5"/>
      <c r="J377" s="5"/>
      <c r="K377" s="6"/>
      <c r="L377" s="7"/>
      <c r="M377" s="8" t="s">
        <v>17</v>
      </c>
    </row>
    <row r="378" customFormat="false" ht="15" hidden="false" customHeight="false" outlineLevel="0" collapsed="false">
      <c r="A378" s="2" t="n">
        <v>377</v>
      </c>
      <c r="B378" s="3" t="s">
        <v>803</v>
      </c>
      <c r="C378" s="3" t="s">
        <v>88</v>
      </c>
      <c r="D378" s="4"/>
      <c r="E378" s="3" t="s">
        <v>15</v>
      </c>
      <c r="F378" s="3" t="s">
        <v>804</v>
      </c>
      <c r="G378" s="5" t="s">
        <v>16</v>
      </c>
      <c r="H378" s="6"/>
      <c r="I378" s="5"/>
      <c r="J378" s="5"/>
      <c r="K378" s="6"/>
      <c r="L378" s="7"/>
      <c r="M378" s="8" t="s">
        <v>17</v>
      </c>
    </row>
    <row r="379" customFormat="false" ht="15" hidden="false" customHeight="false" outlineLevel="0" collapsed="false">
      <c r="A379" s="2" t="n">
        <v>378</v>
      </c>
      <c r="B379" s="3" t="s">
        <v>805</v>
      </c>
      <c r="C379" s="3" t="s">
        <v>280</v>
      </c>
      <c r="D379" s="4"/>
      <c r="E379" s="3" t="s">
        <v>15</v>
      </c>
      <c r="F379" s="3"/>
      <c r="G379" s="5" t="s">
        <v>16</v>
      </c>
      <c r="H379" s="6"/>
      <c r="I379" s="5"/>
      <c r="J379" s="5"/>
      <c r="K379" s="6"/>
      <c r="L379" s="7"/>
      <c r="M379" s="8" t="s">
        <v>17</v>
      </c>
    </row>
    <row r="380" customFormat="false" ht="15" hidden="false" customHeight="false" outlineLevel="0" collapsed="false">
      <c r="A380" s="2" t="n">
        <v>379</v>
      </c>
      <c r="B380" s="3" t="s">
        <v>806</v>
      </c>
      <c r="C380" s="3" t="s">
        <v>807</v>
      </c>
      <c r="D380" s="4" t="s">
        <v>808</v>
      </c>
      <c r="E380" s="3" t="s">
        <v>15</v>
      </c>
      <c r="F380" s="3" t="s">
        <v>809</v>
      </c>
      <c r="G380" s="5" t="s">
        <v>16</v>
      </c>
      <c r="H380" s="6"/>
      <c r="I380" s="5"/>
      <c r="J380" s="5"/>
      <c r="K380" s="6"/>
      <c r="L380" s="7"/>
      <c r="M380" s="8" t="s">
        <v>17</v>
      </c>
    </row>
    <row r="381" customFormat="false" ht="15" hidden="false" customHeight="false" outlineLevel="0" collapsed="false">
      <c r="A381" s="2" t="n">
        <v>380</v>
      </c>
      <c r="B381" s="3" t="s">
        <v>810</v>
      </c>
      <c r="C381" s="3"/>
      <c r="D381" s="4" t="s">
        <v>811</v>
      </c>
      <c r="E381" s="3" t="s">
        <v>15</v>
      </c>
      <c r="F381" s="3"/>
      <c r="G381" s="5" t="s">
        <v>16</v>
      </c>
      <c r="H381" s="6"/>
      <c r="I381" s="5"/>
      <c r="J381" s="5"/>
      <c r="K381" s="6"/>
      <c r="L381" s="7"/>
      <c r="M381" s="8" t="s">
        <v>17</v>
      </c>
    </row>
    <row r="382" customFormat="false" ht="15" hidden="false" customHeight="false" outlineLevel="0" collapsed="false">
      <c r="A382" s="2" t="n">
        <v>381</v>
      </c>
      <c r="B382" s="3" t="s">
        <v>812</v>
      </c>
      <c r="C382" s="3" t="s">
        <v>19</v>
      </c>
      <c r="D382" s="4" t="s">
        <v>813</v>
      </c>
      <c r="E382" s="3" t="s">
        <v>15</v>
      </c>
      <c r="F382" s="3" t="s">
        <v>814</v>
      </c>
      <c r="G382" s="5" t="s">
        <v>16</v>
      </c>
      <c r="H382" s="6"/>
      <c r="I382" s="5"/>
      <c r="J382" s="5"/>
      <c r="K382" s="6"/>
      <c r="L382" s="7"/>
      <c r="M382" s="8" t="s">
        <v>17</v>
      </c>
    </row>
    <row r="383" customFormat="false" ht="15" hidden="false" customHeight="false" outlineLevel="0" collapsed="false">
      <c r="A383" s="2" t="n">
        <v>382</v>
      </c>
      <c r="B383" s="3" t="s">
        <v>815</v>
      </c>
      <c r="C383" s="3" t="s">
        <v>84</v>
      </c>
      <c r="D383" s="4" t="s">
        <v>816</v>
      </c>
      <c r="E383" s="3" t="s">
        <v>15</v>
      </c>
      <c r="F383" s="3" t="s">
        <v>817</v>
      </c>
      <c r="G383" s="5" t="s">
        <v>16</v>
      </c>
      <c r="H383" s="6"/>
      <c r="I383" s="5"/>
      <c r="J383" s="5"/>
      <c r="K383" s="6"/>
      <c r="L383" s="7"/>
      <c r="M383" s="8" t="s">
        <v>17</v>
      </c>
    </row>
    <row r="384" customFormat="false" ht="15" hidden="false" customHeight="false" outlineLevel="0" collapsed="false">
      <c r="A384" s="2" t="n">
        <v>383</v>
      </c>
      <c r="B384" s="3" t="s">
        <v>818</v>
      </c>
      <c r="C384" s="3" t="s">
        <v>19</v>
      </c>
      <c r="D384" s="4"/>
      <c r="E384" s="3" t="s">
        <v>15</v>
      </c>
      <c r="F384" s="3" t="s">
        <v>819</v>
      </c>
      <c r="G384" s="5" t="s">
        <v>16</v>
      </c>
      <c r="H384" s="6"/>
      <c r="I384" s="5"/>
      <c r="J384" s="5"/>
      <c r="K384" s="6"/>
      <c r="L384" s="7"/>
      <c r="M384" s="8" t="s">
        <v>17</v>
      </c>
    </row>
    <row r="385" customFormat="false" ht="15" hidden="false" customHeight="false" outlineLevel="0" collapsed="false">
      <c r="A385" s="2" t="n">
        <v>384</v>
      </c>
      <c r="B385" s="3" t="s">
        <v>820</v>
      </c>
      <c r="C385" s="3" t="s">
        <v>821</v>
      </c>
      <c r="D385" s="4" t="s">
        <v>822</v>
      </c>
      <c r="E385" s="3" t="s">
        <v>15</v>
      </c>
      <c r="F385" s="3" t="s">
        <v>823</v>
      </c>
      <c r="G385" s="5" t="s">
        <v>16</v>
      </c>
      <c r="H385" s="6"/>
      <c r="I385" s="5"/>
      <c r="J385" s="5"/>
      <c r="K385" s="6"/>
      <c r="L385" s="7"/>
      <c r="M385" s="8" t="s">
        <v>17</v>
      </c>
    </row>
    <row r="386" customFormat="false" ht="15" hidden="false" customHeight="false" outlineLevel="0" collapsed="false">
      <c r="A386" s="2" t="n">
        <v>385</v>
      </c>
      <c r="B386" s="3" t="s">
        <v>824</v>
      </c>
      <c r="C386" s="3" t="s">
        <v>387</v>
      </c>
      <c r="D386" s="4"/>
      <c r="E386" s="3" t="s">
        <v>15</v>
      </c>
      <c r="F386" s="3" t="s">
        <v>825</v>
      </c>
      <c r="G386" s="5" t="s">
        <v>16</v>
      </c>
      <c r="H386" s="6"/>
      <c r="I386" s="5"/>
      <c r="J386" s="5"/>
      <c r="K386" s="6"/>
      <c r="L386" s="7"/>
      <c r="M386" s="8" t="s">
        <v>17</v>
      </c>
    </row>
    <row r="387" customFormat="false" ht="15" hidden="false" customHeight="false" outlineLevel="0" collapsed="false">
      <c r="A387" s="2" t="n">
        <v>386</v>
      </c>
      <c r="B387" s="3" t="s">
        <v>826</v>
      </c>
      <c r="C387" s="3" t="s">
        <v>145</v>
      </c>
      <c r="D387" s="4"/>
      <c r="E387" s="3" t="s">
        <v>15</v>
      </c>
      <c r="F387" s="3" t="s">
        <v>827</v>
      </c>
      <c r="G387" s="5" t="s">
        <v>16</v>
      </c>
      <c r="H387" s="6"/>
      <c r="I387" s="5"/>
      <c r="J387" s="5"/>
      <c r="K387" s="6"/>
      <c r="L387" s="7"/>
      <c r="M387" s="8" t="s">
        <v>17</v>
      </c>
    </row>
    <row r="388" customFormat="false" ht="15" hidden="false" customHeight="false" outlineLevel="0" collapsed="false">
      <c r="A388" s="2" t="n">
        <v>387</v>
      </c>
      <c r="B388" s="3" t="s">
        <v>828</v>
      </c>
      <c r="C388" s="3" t="s">
        <v>19</v>
      </c>
      <c r="D388" s="4"/>
      <c r="E388" s="3" t="s">
        <v>15</v>
      </c>
      <c r="F388" s="3"/>
      <c r="G388" s="5" t="s">
        <v>16</v>
      </c>
      <c r="H388" s="6"/>
      <c r="I388" s="5"/>
      <c r="J388" s="5"/>
      <c r="K388" s="6"/>
      <c r="L388" s="7"/>
      <c r="M388" s="8" t="s">
        <v>17</v>
      </c>
    </row>
    <row r="389" customFormat="false" ht="15" hidden="false" customHeight="false" outlineLevel="0" collapsed="false">
      <c r="A389" s="2" t="n">
        <v>388</v>
      </c>
      <c r="B389" s="3" t="s">
        <v>829</v>
      </c>
      <c r="C389" s="3" t="s">
        <v>26</v>
      </c>
      <c r="D389" s="4"/>
      <c r="E389" s="3" t="s">
        <v>15</v>
      </c>
      <c r="F389" s="3" t="s">
        <v>830</v>
      </c>
      <c r="G389" s="5" t="s">
        <v>16</v>
      </c>
      <c r="H389" s="6"/>
      <c r="I389" s="5"/>
      <c r="J389" s="5"/>
      <c r="K389" s="6"/>
      <c r="L389" s="7"/>
      <c r="M389" s="8" t="s">
        <v>17</v>
      </c>
    </row>
    <row r="390" customFormat="false" ht="15" hidden="false" customHeight="false" outlineLevel="0" collapsed="false">
      <c r="A390" s="2" t="n">
        <v>389</v>
      </c>
      <c r="B390" s="3" t="s">
        <v>831</v>
      </c>
      <c r="C390" s="3"/>
      <c r="D390" s="4"/>
      <c r="E390" s="3" t="s">
        <v>15</v>
      </c>
      <c r="F390" s="3" t="s">
        <v>832</v>
      </c>
      <c r="G390" s="5" t="s">
        <v>16</v>
      </c>
      <c r="H390" s="6"/>
      <c r="I390" s="5"/>
      <c r="J390" s="5"/>
      <c r="K390" s="6"/>
      <c r="L390" s="7"/>
      <c r="M390" s="8" t="s">
        <v>17</v>
      </c>
    </row>
    <row r="391" customFormat="false" ht="15" hidden="false" customHeight="false" outlineLevel="0" collapsed="false">
      <c r="A391" s="2" t="n">
        <v>390</v>
      </c>
      <c r="B391" s="3" t="s">
        <v>833</v>
      </c>
      <c r="C391" s="3" t="s">
        <v>345</v>
      </c>
      <c r="D391" s="4" t="s">
        <v>834</v>
      </c>
      <c r="E391" s="3" t="s">
        <v>15</v>
      </c>
      <c r="F391" s="3"/>
      <c r="G391" s="5" t="s">
        <v>16</v>
      </c>
      <c r="H391" s="6"/>
      <c r="I391" s="5"/>
      <c r="J391" s="5"/>
      <c r="K391" s="6"/>
      <c r="L391" s="7"/>
      <c r="M391" s="8" t="s">
        <v>17</v>
      </c>
    </row>
    <row r="392" customFormat="false" ht="15" hidden="false" customHeight="false" outlineLevel="0" collapsed="false">
      <c r="A392" s="2" t="n">
        <v>391</v>
      </c>
      <c r="B392" s="3" t="s">
        <v>835</v>
      </c>
      <c r="C392" s="3"/>
      <c r="D392" s="4"/>
      <c r="E392" s="3" t="s">
        <v>15</v>
      </c>
      <c r="F392" s="3" t="s">
        <v>836</v>
      </c>
      <c r="G392" s="5" t="s">
        <v>16</v>
      </c>
      <c r="H392" s="6"/>
      <c r="I392" s="5"/>
      <c r="J392" s="5"/>
      <c r="K392" s="6"/>
      <c r="L392" s="7"/>
      <c r="M392" s="8" t="s">
        <v>17</v>
      </c>
    </row>
    <row r="393" customFormat="false" ht="15" hidden="false" customHeight="false" outlineLevel="0" collapsed="false">
      <c r="A393" s="2" t="n">
        <v>392</v>
      </c>
      <c r="B393" s="3" t="s">
        <v>837</v>
      </c>
      <c r="C393" s="3" t="s">
        <v>838</v>
      </c>
      <c r="D393" s="4"/>
      <c r="E393" s="3" t="s">
        <v>15</v>
      </c>
      <c r="F393" s="3" t="s">
        <v>839</v>
      </c>
      <c r="G393" s="5" t="s">
        <v>16</v>
      </c>
      <c r="H393" s="6"/>
      <c r="I393" s="5"/>
      <c r="J393" s="5"/>
      <c r="K393" s="6"/>
      <c r="L393" s="7"/>
      <c r="M393" s="8" t="s">
        <v>17</v>
      </c>
    </row>
    <row r="394" customFormat="false" ht="15" hidden="false" customHeight="false" outlineLevel="0" collapsed="false">
      <c r="A394" s="2" t="n">
        <v>393</v>
      </c>
      <c r="B394" s="3" t="s">
        <v>840</v>
      </c>
      <c r="C394" s="3" t="s">
        <v>841</v>
      </c>
      <c r="D394" s="4" t="s">
        <v>842</v>
      </c>
      <c r="E394" s="3" t="s">
        <v>15</v>
      </c>
      <c r="F394" s="3" t="s">
        <v>843</v>
      </c>
      <c r="G394" s="5" t="s">
        <v>16</v>
      </c>
      <c r="H394" s="6"/>
      <c r="I394" s="5"/>
      <c r="J394" s="5"/>
      <c r="K394" s="6"/>
      <c r="L394" s="7"/>
      <c r="M394" s="8" t="s">
        <v>17</v>
      </c>
    </row>
    <row r="395" customFormat="false" ht="15" hidden="false" customHeight="false" outlineLevel="0" collapsed="false">
      <c r="A395" s="2" t="n">
        <v>394</v>
      </c>
      <c r="B395" s="3" t="s">
        <v>844</v>
      </c>
      <c r="C395" s="3" t="s">
        <v>845</v>
      </c>
      <c r="D395" s="4"/>
      <c r="E395" s="3" t="s">
        <v>15</v>
      </c>
      <c r="F395" s="3" t="s">
        <v>846</v>
      </c>
      <c r="G395" s="5" t="s">
        <v>16</v>
      </c>
      <c r="H395" s="6"/>
      <c r="I395" s="5"/>
      <c r="J395" s="5"/>
      <c r="K395" s="6"/>
      <c r="L395" s="7"/>
      <c r="M395" s="8" t="s">
        <v>17</v>
      </c>
    </row>
    <row r="396" customFormat="false" ht="15" hidden="false" customHeight="false" outlineLevel="0" collapsed="false">
      <c r="A396" s="2" t="n">
        <v>395</v>
      </c>
      <c r="B396" s="3" t="s">
        <v>847</v>
      </c>
      <c r="C396" s="3" t="s">
        <v>26</v>
      </c>
      <c r="D396" s="4"/>
      <c r="E396" s="3" t="s">
        <v>15</v>
      </c>
      <c r="F396" s="3" t="s">
        <v>848</v>
      </c>
      <c r="G396" s="5" t="s">
        <v>16</v>
      </c>
      <c r="H396" s="6"/>
      <c r="I396" s="5"/>
      <c r="J396" s="5"/>
      <c r="K396" s="6"/>
      <c r="L396" s="7"/>
      <c r="M396" s="8" t="s">
        <v>17</v>
      </c>
    </row>
    <row r="397" customFormat="false" ht="15" hidden="false" customHeight="false" outlineLevel="0" collapsed="false">
      <c r="A397" s="2" t="n">
        <v>396</v>
      </c>
      <c r="B397" s="3" t="s">
        <v>849</v>
      </c>
      <c r="C397" s="3" t="s">
        <v>62</v>
      </c>
      <c r="D397" s="4"/>
      <c r="E397" s="3" t="s">
        <v>15</v>
      </c>
      <c r="F397" s="3"/>
      <c r="G397" s="5" t="s">
        <v>16</v>
      </c>
      <c r="H397" s="6"/>
      <c r="I397" s="5"/>
      <c r="J397" s="5"/>
      <c r="K397" s="6"/>
      <c r="L397" s="7"/>
      <c r="M397" s="8" t="s">
        <v>17</v>
      </c>
    </row>
    <row r="398" customFormat="false" ht="15" hidden="false" customHeight="false" outlineLevel="0" collapsed="false">
      <c r="A398" s="2" t="n">
        <v>397</v>
      </c>
      <c r="B398" s="3" t="s">
        <v>850</v>
      </c>
      <c r="C398" s="3" t="s">
        <v>88</v>
      </c>
      <c r="D398" s="4" t="s">
        <v>851</v>
      </c>
      <c r="E398" s="3" t="s">
        <v>15</v>
      </c>
      <c r="F398" s="3" t="s">
        <v>852</v>
      </c>
      <c r="G398" s="5" t="s">
        <v>16</v>
      </c>
      <c r="H398" s="6"/>
      <c r="I398" s="5"/>
      <c r="J398" s="5"/>
      <c r="K398" s="6"/>
      <c r="L398" s="7"/>
      <c r="M398" s="8" t="s">
        <v>17</v>
      </c>
    </row>
    <row r="399" customFormat="false" ht="15" hidden="false" customHeight="false" outlineLevel="0" collapsed="false">
      <c r="A399" s="2" t="n">
        <v>398</v>
      </c>
      <c r="B399" s="3" t="s">
        <v>853</v>
      </c>
      <c r="C399" s="3"/>
      <c r="D399" s="4"/>
      <c r="E399" s="3" t="s">
        <v>15</v>
      </c>
      <c r="F399" s="3"/>
      <c r="G399" s="5" t="s">
        <v>16</v>
      </c>
      <c r="H399" s="6"/>
      <c r="I399" s="5"/>
      <c r="J399" s="5"/>
      <c r="K399" s="6"/>
      <c r="L399" s="7"/>
      <c r="M399" s="8" t="s">
        <v>17</v>
      </c>
    </row>
    <row r="400" customFormat="false" ht="15" hidden="false" customHeight="false" outlineLevel="0" collapsed="false">
      <c r="A400" s="2" t="n">
        <v>399</v>
      </c>
      <c r="B400" s="3" t="s">
        <v>854</v>
      </c>
      <c r="C400" s="3" t="s">
        <v>88</v>
      </c>
      <c r="D400" s="4"/>
      <c r="E400" s="3" t="s">
        <v>15</v>
      </c>
      <c r="F400" s="3"/>
      <c r="G400" s="5" t="s">
        <v>16</v>
      </c>
      <c r="H400" s="6"/>
      <c r="I400" s="5"/>
      <c r="J400" s="5"/>
      <c r="K400" s="6"/>
      <c r="L400" s="7"/>
      <c r="M400" s="8" t="s">
        <v>17</v>
      </c>
    </row>
    <row r="401" customFormat="false" ht="15" hidden="false" customHeight="false" outlineLevel="0" collapsed="false">
      <c r="A401" s="2" t="n">
        <v>400</v>
      </c>
      <c r="B401" s="3" t="s">
        <v>855</v>
      </c>
      <c r="C401" s="3"/>
      <c r="D401" s="4"/>
      <c r="E401" s="3" t="s">
        <v>15</v>
      </c>
      <c r="F401" s="3" t="s">
        <v>856</v>
      </c>
      <c r="G401" s="5" t="s">
        <v>16</v>
      </c>
      <c r="H401" s="6"/>
      <c r="I401" s="5"/>
      <c r="J401" s="5"/>
      <c r="K401" s="6"/>
      <c r="L401" s="7"/>
      <c r="M401" s="8" t="s">
        <v>17</v>
      </c>
    </row>
    <row r="402" customFormat="false" ht="15" hidden="false" customHeight="false" outlineLevel="0" collapsed="false">
      <c r="A402" s="2" t="n">
        <v>401</v>
      </c>
      <c r="B402" s="3" t="s">
        <v>857</v>
      </c>
      <c r="C402" s="3" t="s">
        <v>88</v>
      </c>
      <c r="D402" s="4" t="s">
        <v>858</v>
      </c>
      <c r="E402" s="3" t="s">
        <v>15</v>
      </c>
      <c r="F402" s="3" t="s">
        <v>859</v>
      </c>
      <c r="G402" s="5" t="s">
        <v>16</v>
      </c>
      <c r="H402" s="6"/>
      <c r="I402" s="5"/>
      <c r="J402" s="5"/>
      <c r="K402" s="6"/>
      <c r="L402" s="7"/>
      <c r="M402" s="8" t="s">
        <v>17</v>
      </c>
    </row>
    <row r="403" customFormat="false" ht="15" hidden="false" customHeight="false" outlineLevel="0" collapsed="false">
      <c r="A403" s="2" t="n">
        <v>402</v>
      </c>
      <c r="B403" s="3" t="s">
        <v>860</v>
      </c>
      <c r="C403" s="3" t="s">
        <v>861</v>
      </c>
      <c r="D403" s="4"/>
      <c r="E403" s="3" t="s">
        <v>15</v>
      </c>
      <c r="F403" s="3" t="s">
        <v>862</v>
      </c>
      <c r="G403" s="5" t="s">
        <v>16</v>
      </c>
      <c r="H403" s="6"/>
      <c r="I403" s="5"/>
      <c r="J403" s="5"/>
      <c r="K403" s="6"/>
      <c r="L403" s="7"/>
      <c r="M403" s="8" t="s">
        <v>17</v>
      </c>
    </row>
    <row r="404" customFormat="false" ht="15" hidden="false" customHeight="false" outlineLevel="0" collapsed="false">
      <c r="A404" s="2" t="n">
        <v>403</v>
      </c>
      <c r="B404" s="3" t="s">
        <v>863</v>
      </c>
      <c r="C404" s="3" t="s">
        <v>864</v>
      </c>
      <c r="D404" s="4"/>
      <c r="E404" s="3" t="s">
        <v>15</v>
      </c>
      <c r="F404" s="3" t="s">
        <v>865</v>
      </c>
      <c r="G404" s="5" t="s">
        <v>16</v>
      </c>
      <c r="H404" s="6"/>
      <c r="I404" s="5"/>
      <c r="J404" s="5"/>
      <c r="K404" s="6"/>
      <c r="L404" s="7"/>
      <c r="M404" s="8" t="s">
        <v>17</v>
      </c>
    </row>
    <row r="405" customFormat="false" ht="15" hidden="false" customHeight="false" outlineLevel="0" collapsed="false">
      <c r="A405" s="2" t="n">
        <v>404</v>
      </c>
      <c r="B405" s="3" t="s">
        <v>866</v>
      </c>
      <c r="C405" s="3"/>
      <c r="D405" s="4"/>
      <c r="E405" s="3" t="s">
        <v>15</v>
      </c>
      <c r="F405" s="3"/>
      <c r="G405" s="5" t="s">
        <v>16</v>
      </c>
      <c r="H405" s="6"/>
      <c r="I405" s="5"/>
      <c r="J405" s="5"/>
      <c r="K405" s="6"/>
      <c r="L405" s="7"/>
      <c r="M405" s="8" t="s">
        <v>17</v>
      </c>
    </row>
    <row r="406" customFormat="false" ht="15" hidden="false" customHeight="false" outlineLevel="0" collapsed="false">
      <c r="A406" s="2" t="n">
        <v>405</v>
      </c>
      <c r="B406" s="3" t="s">
        <v>866</v>
      </c>
      <c r="C406" s="3"/>
      <c r="D406" s="4"/>
      <c r="E406" s="3" t="s">
        <v>15</v>
      </c>
      <c r="F406" s="3"/>
      <c r="G406" s="5" t="s">
        <v>16</v>
      </c>
      <c r="H406" s="6"/>
      <c r="I406" s="5"/>
      <c r="J406" s="5"/>
      <c r="K406" s="6"/>
      <c r="L406" s="7"/>
      <c r="M406" s="8" t="s">
        <v>17</v>
      </c>
    </row>
    <row r="407" customFormat="false" ht="15" hidden="false" customHeight="false" outlineLevel="0" collapsed="false">
      <c r="A407" s="2" t="n">
        <v>406</v>
      </c>
      <c r="B407" s="3" t="s">
        <v>867</v>
      </c>
      <c r="C407" s="3" t="s">
        <v>88</v>
      </c>
      <c r="D407" s="4"/>
      <c r="E407" s="3" t="s">
        <v>15</v>
      </c>
      <c r="F407" s="3" t="s">
        <v>868</v>
      </c>
      <c r="G407" s="5" t="s">
        <v>16</v>
      </c>
      <c r="H407" s="6"/>
      <c r="I407" s="5"/>
      <c r="J407" s="5"/>
      <c r="K407" s="6"/>
      <c r="L407" s="7"/>
      <c r="M407" s="8" t="s">
        <v>17</v>
      </c>
    </row>
    <row r="408" customFormat="false" ht="15" hidden="false" customHeight="false" outlineLevel="0" collapsed="false">
      <c r="A408" s="2" t="n">
        <v>407</v>
      </c>
      <c r="B408" s="3" t="s">
        <v>869</v>
      </c>
      <c r="C408" s="3"/>
      <c r="D408" s="4"/>
      <c r="E408" s="3" t="s">
        <v>15</v>
      </c>
      <c r="F408" s="3"/>
      <c r="G408" s="5" t="s">
        <v>16</v>
      </c>
      <c r="H408" s="6"/>
      <c r="I408" s="5"/>
      <c r="J408" s="5"/>
      <c r="K408" s="6"/>
      <c r="L408" s="7"/>
      <c r="M408" s="8" t="s">
        <v>17</v>
      </c>
    </row>
    <row r="409" customFormat="false" ht="15" hidden="false" customHeight="false" outlineLevel="0" collapsed="false">
      <c r="A409" s="2" t="n">
        <v>408</v>
      </c>
      <c r="B409" s="3" t="s">
        <v>870</v>
      </c>
      <c r="C409" s="3" t="s">
        <v>871</v>
      </c>
      <c r="D409" s="4"/>
      <c r="E409" s="3" t="s">
        <v>15</v>
      </c>
      <c r="F409" s="3" t="s">
        <v>872</v>
      </c>
      <c r="G409" s="5" t="s">
        <v>16</v>
      </c>
      <c r="H409" s="6"/>
      <c r="I409" s="5"/>
      <c r="J409" s="5"/>
      <c r="K409" s="6"/>
      <c r="L409" s="7"/>
      <c r="M409" s="8" t="s">
        <v>17</v>
      </c>
    </row>
    <row r="410" customFormat="false" ht="15" hidden="false" customHeight="false" outlineLevel="0" collapsed="false">
      <c r="A410" s="2" t="n">
        <v>409</v>
      </c>
      <c r="B410" s="3" t="s">
        <v>873</v>
      </c>
      <c r="C410" s="3" t="s">
        <v>64</v>
      </c>
      <c r="D410" s="4"/>
      <c r="E410" s="3" t="s">
        <v>15</v>
      </c>
      <c r="F410" s="3"/>
      <c r="G410" s="5" t="s">
        <v>16</v>
      </c>
      <c r="H410" s="6"/>
      <c r="I410" s="5"/>
      <c r="J410" s="5"/>
      <c r="K410" s="6"/>
      <c r="L410" s="7"/>
      <c r="M410" s="8" t="s">
        <v>17</v>
      </c>
    </row>
    <row r="411" customFormat="false" ht="15" hidden="false" customHeight="false" outlineLevel="0" collapsed="false">
      <c r="A411" s="2" t="n">
        <v>410</v>
      </c>
      <c r="B411" s="3" t="s">
        <v>874</v>
      </c>
      <c r="C411" s="3" t="s">
        <v>51</v>
      </c>
      <c r="D411" s="4"/>
      <c r="E411" s="3" t="s">
        <v>15</v>
      </c>
      <c r="F411" s="3"/>
      <c r="G411" s="5" t="s">
        <v>16</v>
      </c>
      <c r="H411" s="6"/>
      <c r="I411" s="5"/>
      <c r="J411" s="5"/>
      <c r="K411" s="6"/>
      <c r="L411" s="7"/>
      <c r="M411" s="8" t="s">
        <v>17</v>
      </c>
    </row>
    <row r="412" customFormat="false" ht="15" hidden="false" customHeight="false" outlineLevel="0" collapsed="false">
      <c r="A412" s="2" t="n">
        <v>411</v>
      </c>
      <c r="B412" s="3" t="s">
        <v>875</v>
      </c>
      <c r="C412" s="3" t="s">
        <v>876</v>
      </c>
      <c r="D412" s="4" t="s">
        <v>877</v>
      </c>
      <c r="E412" s="3" t="s">
        <v>15</v>
      </c>
      <c r="F412" s="3" t="s">
        <v>878</v>
      </c>
      <c r="G412" s="5" t="s">
        <v>16</v>
      </c>
      <c r="H412" s="6"/>
      <c r="I412" s="5"/>
      <c r="J412" s="5"/>
      <c r="K412" s="6"/>
      <c r="L412" s="7"/>
      <c r="M412" s="8" t="s">
        <v>17</v>
      </c>
    </row>
    <row r="413" customFormat="false" ht="15" hidden="false" customHeight="false" outlineLevel="0" collapsed="false">
      <c r="A413" s="2" t="n">
        <v>412</v>
      </c>
      <c r="B413" s="3" t="s">
        <v>879</v>
      </c>
      <c r="C413" s="3" t="s">
        <v>26</v>
      </c>
      <c r="D413" s="4" t="s">
        <v>880</v>
      </c>
      <c r="E413" s="3" t="s">
        <v>15</v>
      </c>
      <c r="F413" s="3"/>
      <c r="G413" s="5" t="s">
        <v>16</v>
      </c>
      <c r="H413" s="6"/>
      <c r="I413" s="5"/>
      <c r="J413" s="5"/>
      <c r="K413" s="6"/>
      <c r="L413" s="7"/>
      <c r="M413" s="8" t="s">
        <v>17</v>
      </c>
    </row>
    <row r="414" customFormat="false" ht="15" hidden="false" customHeight="false" outlineLevel="0" collapsed="false">
      <c r="A414" s="2" t="n">
        <v>413</v>
      </c>
      <c r="B414" s="3" t="s">
        <v>881</v>
      </c>
      <c r="C414" s="3"/>
      <c r="D414" s="4" t="s">
        <v>882</v>
      </c>
      <c r="E414" s="3" t="s">
        <v>15</v>
      </c>
      <c r="F414" s="3" t="s">
        <v>883</v>
      </c>
      <c r="G414" s="5" t="s">
        <v>16</v>
      </c>
      <c r="H414" s="6"/>
      <c r="I414" s="5"/>
      <c r="J414" s="5"/>
      <c r="K414" s="6"/>
      <c r="L414" s="7"/>
      <c r="M414" s="8" t="s">
        <v>17</v>
      </c>
    </row>
    <row r="415" customFormat="false" ht="15" hidden="false" customHeight="false" outlineLevel="0" collapsed="false">
      <c r="A415" s="2" t="n">
        <v>414</v>
      </c>
      <c r="B415" s="3" t="s">
        <v>884</v>
      </c>
      <c r="C415" s="3" t="s">
        <v>885</v>
      </c>
      <c r="D415" s="4"/>
      <c r="E415" s="3" t="s">
        <v>15</v>
      </c>
      <c r="F415" s="3" t="s">
        <v>886</v>
      </c>
      <c r="G415" s="5" t="s">
        <v>16</v>
      </c>
      <c r="H415" s="6"/>
      <c r="I415" s="5"/>
      <c r="J415" s="5"/>
      <c r="K415" s="6"/>
      <c r="L415" s="7"/>
      <c r="M415" s="8" t="s">
        <v>17</v>
      </c>
    </row>
    <row r="416" customFormat="false" ht="15" hidden="false" customHeight="false" outlineLevel="0" collapsed="false">
      <c r="A416" s="2" t="n">
        <v>415</v>
      </c>
      <c r="B416" s="3" t="s">
        <v>887</v>
      </c>
      <c r="C416" s="3" t="s">
        <v>84</v>
      </c>
      <c r="D416" s="4" t="s">
        <v>888</v>
      </c>
      <c r="E416" s="3" t="s">
        <v>15</v>
      </c>
      <c r="F416" s="3" t="s">
        <v>889</v>
      </c>
      <c r="G416" s="5" t="s">
        <v>16</v>
      </c>
      <c r="H416" s="6"/>
      <c r="I416" s="5"/>
      <c r="J416" s="5"/>
      <c r="K416" s="6"/>
      <c r="L416" s="7"/>
      <c r="M416" s="8" t="s">
        <v>17</v>
      </c>
    </row>
    <row r="417" customFormat="false" ht="15" hidden="false" customHeight="false" outlineLevel="0" collapsed="false">
      <c r="A417" s="2" t="n">
        <v>416</v>
      </c>
      <c r="B417" s="3" t="s">
        <v>890</v>
      </c>
      <c r="C417" s="3" t="s">
        <v>387</v>
      </c>
      <c r="D417" s="4"/>
      <c r="E417" s="3" t="s">
        <v>15</v>
      </c>
      <c r="F417" s="3" t="s">
        <v>891</v>
      </c>
      <c r="G417" s="5" t="s">
        <v>16</v>
      </c>
      <c r="H417" s="6"/>
      <c r="I417" s="5"/>
      <c r="J417" s="5"/>
      <c r="K417" s="6"/>
      <c r="L417" s="7"/>
      <c r="M417" s="8" t="s">
        <v>17</v>
      </c>
    </row>
    <row r="418" customFormat="false" ht="15" hidden="false" customHeight="false" outlineLevel="0" collapsed="false">
      <c r="A418" s="2" t="n">
        <v>417</v>
      </c>
      <c r="B418" s="3" t="s">
        <v>892</v>
      </c>
      <c r="C418" s="3" t="s">
        <v>81</v>
      </c>
      <c r="D418" s="4" t="s">
        <v>893</v>
      </c>
      <c r="E418" s="3" t="s">
        <v>15</v>
      </c>
      <c r="F418" s="3" t="s">
        <v>894</v>
      </c>
      <c r="G418" s="5" t="s">
        <v>16</v>
      </c>
      <c r="H418" s="6"/>
      <c r="I418" s="5"/>
      <c r="J418" s="5"/>
      <c r="K418" s="6"/>
      <c r="L418" s="7"/>
      <c r="M418" s="8" t="s">
        <v>17</v>
      </c>
    </row>
    <row r="419" customFormat="false" ht="15" hidden="false" customHeight="false" outlineLevel="0" collapsed="false">
      <c r="A419" s="2" t="n">
        <v>418</v>
      </c>
      <c r="B419" s="3" t="s">
        <v>895</v>
      </c>
      <c r="C419" s="3"/>
      <c r="D419" s="4"/>
      <c r="E419" s="3" t="s">
        <v>15</v>
      </c>
      <c r="F419" s="3" t="s">
        <v>896</v>
      </c>
      <c r="G419" s="5" t="s">
        <v>16</v>
      </c>
      <c r="H419" s="6"/>
      <c r="I419" s="5"/>
      <c r="J419" s="5"/>
      <c r="K419" s="6"/>
      <c r="L419" s="7"/>
      <c r="M419" s="8" t="s">
        <v>17</v>
      </c>
    </row>
    <row r="420" customFormat="false" ht="15" hidden="false" customHeight="false" outlineLevel="0" collapsed="false">
      <c r="A420" s="2" t="n">
        <v>419</v>
      </c>
      <c r="B420" s="3" t="s">
        <v>897</v>
      </c>
      <c r="C420" s="3" t="s">
        <v>898</v>
      </c>
      <c r="D420" s="4" t="s">
        <v>899</v>
      </c>
      <c r="E420" s="3" t="s">
        <v>15</v>
      </c>
      <c r="F420" s="3" t="s">
        <v>900</v>
      </c>
      <c r="G420" s="5" t="s">
        <v>16</v>
      </c>
      <c r="H420" s="6"/>
      <c r="I420" s="5"/>
      <c r="J420" s="5"/>
      <c r="K420" s="6"/>
      <c r="L420" s="7"/>
      <c r="M420" s="8" t="s">
        <v>17</v>
      </c>
    </row>
    <row r="421" customFormat="false" ht="15" hidden="false" customHeight="false" outlineLevel="0" collapsed="false">
      <c r="A421" s="2" t="n">
        <v>420</v>
      </c>
      <c r="B421" s="3" t="s">
        <v>901</v>
      </c>
      <c r="C421" s="3" t="s">
        <v>902</v>
      </c>
      <c r="D421" s="4"/>
      <c r="E421" s="3" t="s">
        <v>15</v>
      </c>
      <c r="F421" s="3" t="s">
        <v>903</v>
      </c>
      <c r="G421" s="5" t="s">
        <v>16</v>
      </c>
      <c r="H421" s="6"/>
      <c r="I421" s="5"/>
      <c r="J421" s="5"/>
      <c r="K421" s="6"/>
      <c r="L421" s="7"/>
      <c r="M421" s="8" t="s">
        <v>17</v>
      </c>
    </row>
    <row r="422" customFormat="false" ht="15" hidden="false" customHeight="false" outlineLevel="0" collapsed="false">
      <c r="A422" s="2" t="n">
        <v>421</v>
      </c>
      <c r="B422" s="3" t="s">
        <v>904</v>
      </c>
      <c r="C422" s="3" t="s">
        <v>905</v>
      </c>
      <c r="D422" s="4" t="s">
        <v>906</v>
      </c>
      <c r="E422" s="3" t="s">
        <v>15</v>
      </c>
      <c r="F422" s="3" t="s">
        <v>907</v>
      </c>
      <c r="G422" s="5" t="s">
        <v>16</v>
      </c>
      <c r="H422" s="6"/>
      <c r="I422" s="5"/>
      <c r="J422" s="5"/>
      <c r="K422" s="6"/>
      <c r="L422" s="7"/>
      <c r="M422" s="8" t="s">
        <v>17</v>
      </c>
    </row>
    <row r="423" customFormat="false" ht="15" hidden="false" customHeight="false" outlineLevel="0" collapsed="false">
      <c r="A423" s="2" t="n">
        <v>422</v>
      </c>
      <c r="B423" s="3" t="s">
        <v>908</v>
      </c>
      <c r="C423" s="3" t="s">
        <v>26</v>
      </c>
      <c r="D423" s="4" t="s">
        <v>909</v>
      </c>
      <c r="E423" s="3" t="s">
        <v>15</v>
      </c>
      <c r="F423" s="3"/>
      <c r="G423" s="5" t="s">
        <v>16</v>
      </c>
      <c r="H423" s="6"/>
      <c r="I423" s="5"/>
      <c r="J423" s="5"/>
      <c r="K423" s="6"/>
      <c r="L423" s="7"/>
      <c r="M423" s="8" t="s">
        <v>17</v>
      </c>
    </row>
    <row r="424" customFormat="false" ht="15" hidden="false" customHeight="false" outlineLevel="0" collapsed="false">
      <c r="A424" s="2" t="n">
        <v>423</v>
      </c>
      <c r="B424" s="3" t="s">
        <v>910</v>
      </c>
      <c r="C424" s="3" t="s">
        <v>84</v>
      </c>
      <c r="D424" s="4"/>
      <c r="E424" s="3" t="s">
        <v>15</v>
      </c>
      <c r="F424" s="3" t="s">
        <v>911</v>
      </c>
      <c r="G424" s="5" t="s">
        <v>16</v>
      </c>
      <c r="H424" s="6"/>
      <c r="I424" s="5"/>
      <c r="J424" s="5"/>
      <c r="K424" s="6"/>
      <c r="L424" s="7"/>
      <c r="M424" s="8" t="s">
        <v>17</v>
      </c>
    </row>
    <row r="425" customFormat="false" ht="15" hidden="false" customHeight="false" outlineLevel="0" collapsed="false">
      <c r="A425" s="2" t="n">
        <v>424</v>
      </c>
      <c r="B425" s="3" t="s">
        <v>912</v>
      </c>
      <c r="C425" s="3" t="s">
        <v>30</v>
      </c>
      <c r="D425" s="4"/>
      <c r="E425" s="3" t="s">
        <v>15</v>
      </c>
      <c r="F425" s="3"/>
      <c r="G425" s="5" t="s">
        <v>16</v>
      </c>
      <c r="H425" s="6"/>
      <c r="I425" s="5"/>
      <c r="J425" s="5"/>
      <c r="K425" s="6"/>
      <c r="L425" s="7"/>
      <c r="M425" s="8" t="s">
        <v>17</v>
      </c>
    </row>
    <row r="426" customFormat="false" ht="15" hidden="false" customHeight="false" outlineLevel="0" collapsed="false">
      <c r="A426" s="2" t="n">
        <v>425</v>
      </c>
      <c r="B426" s="3" t="s">
        <v>913</v>
      </c>
      <c r="C426" s="3" t="s">
        <v>124</v>
      </c>
      <c r="D426" s="4"/>
      <c r="E426" s="3" t="s">
        <v>15</v>
      </c>
      <c r="F426" s="3" t="s">
        <v>914</v>
      </c>
      <c r="G426" s="5" t="s">
        <v>16</v>
      </c>
      <c r="H426" s="6"/>
      <c r="I426" s="5"/>
      <c r="J426" s="5"/>
      <c r="K426" s="6"/>
      <c r="L426" s="7"/>
      <c r="M426" s="8" t="s">
        <v>17</v>
      </c>
    </row>
    <row r="427" customFormat="false" ht="15" hidden="false" customHeight="false" outlineLevel="0" collapsed="false">
      <c r="A427" s="2" t="n">
        <v>426</v>
      </c>
      <c r="B427" s="3" t="s">
        <v>915</v>
      </c>
      <c r="C427" s="3" t="s">
        <v>387</v>
      </c>
      <c r="D427" s="4"/>
      <c r="E427" s="3" t="s">
        <v>15</v>
      </c>
      <c r="F427" s="3" t="s">
        <v>916</v>
      </c>
      <c r="G427" s="5" t="s">
        <v>16</v>
      </c>
      <c r="H427" s="6"/>
      <c r="I427" s="5"/>
      <c r="J427" s="5"/>
      <c r="K427" s="6"/>
      <c r="L427" s="7"/>
      <c r="M427" s="8" t="s">
        <v>17</v>
      </c>
    </row>
    <row r="428" customFormat="false" ht="15" hidden="false" customHeight="false" outlineLevel="0" collapsed="false">
      <c r="A428" s="2" t="n">
        <v>427</v>
      </c>
      <c r="B428" s="3" t="s">
        <v>917</v>
      </c>
      <c r="C428" s="3"/>
      <c r="D428" s="4"/>
      <c r="E428" s="3" t="s">
        <v>15</v>
      </c>
      <c r="F428" s="3"/>
      <c r="G428" s="5" t="s">
        <v>16</v>
      </c>
      <c r="H428" s="6"/>
      <c r="I428" s="5"/>
      <c r="J428" s="5"/>
      <c r="K428" s="6"/>
      <c r="L428" s="7"/>
      <c r="M428" s="8" t="s">
        <v>17</v>
      </c>
    </row>
    <row r="429" customFormat="false" ht="15" hidden="false" customHeight="false" outlineLevel="0" collapsed="false">
      <c r="A429" s="2" t="n">
        <v>428</v>
      </c>
      <c r="B429" s="3" t="s">
        <v>918</v>
      </c>
      <c r="C429" s="3"/>
      <c r="D429" s="4"/>
      <c r="E429" s="3" t="s">
        <v>15</v>
      </c>
      <c r="F429" s="3" t="s">
        <v>919</v>
      </c>
      <c r="G429" s="5" t="s">
        <v>16</v>
      </c>
      <c r="H429" s="6"/>
      <c r="I429" s="5"/>
      <c r="J429" s="5"/>
      <c r="K429" s="6"/>
      <c r="L429" s="7"/>
      <c r="M429" s="8" t="s">
        <v>17</v>
      </c>
    </row>
    <row r="430" customFormat="false" ht="15" hidden="false" customHeight="false" outlineLevel="0" collapsed="false">
      <c r="A430" s="2" t="n">
        <v>429</v>
      </c>
      <c r="B430" s="3" t="s">
        <v>920</v>
      </c>
      <c r="C430" s="3"/>
      <c r="D430" s="4" t="s">
        <v>921</v>
      </c>
      <c r="E430" s="3" t="s">
        <v>15</v>
      </c>
      <c r="F430" s="3" t="s">
        <v>922</v>
      </c>
      <c r="G430" s="5" t="s">
        <v>16</v>
      </c>
      <c r="H430" s="6"/>
      <c r="I430" s="5"/>
      <c r="J430" s="5"/>
      <c r="K430" s="6"/>
      <c r="L430" s="7"/>
      <c r="M430" s="8" t="s">
        <v>17</v>
      </c>
    </row>
    <row r="431" customFormat="false" ht="15" hidden="false" customHeight="false" outlineLevel="0" collapsed="false">
      <c r="A431" s="2" t="n">
        <v>430</v>
      </c>
      <c r="B431" s="3" t="s">
        <v>923</v>
      </c>
      <c r="C431" s="3"/>
      <c r="D431" s="4"/>
      <c r="E431" s="3" t="s">
        <v>15</v>
      </c>
      <c r="F431" s="3"/>
      <c r="G431" s="5" t="s">
        <v>16</v>
      </c>
      <c r="H431" s="6"/>
      <c r="I431" s="5"/>
      <c r="J431" s="5"/>
      <c r="K431" s="6"/>
      <c r="L431" s="7"/>
      <c r="M431" s="8" t="s">
        <v>17</v>
      </c>
    </row>
    <row r="432" customFormat="false" ht="15" hidden="false" customHeight="false" outlineLevel="0" collapsed="false">
      <c r="A432" s="2" t="n">
        <v>431</v>
      </c>
      <c r="B432" s="3" t="s">
        <v>924</v>
      </c>
      <c r="C432" s="3"/>
      <c r="D432" s="4"/>
      <c r="E432" s="3" t="s">
        <v>15</v>
      </c>
      <c r="F432" s="3"/>
      <c r="G432" s="5" t="s">
        <v>16</v>
      </c>
      <c r="H432" s="6"/>
      <c r="I432" s="5"/>
      <c r="J432" s="5"/>
      <c r="K432" s="6"/>
      <c r="L432" s="7"/>
      <c r="M432" s="8" t="s">
        <v>17</v>
      </c>
    </row>
    <row r="433" customFormat="false" ht="15" hidden="false" customHeight="false" outlineLevel="0" collapsed="false">
      <c r="A433" s="2" t="n">
        <v>432</v>
      </c>
      <c r="B433" s="3" t="s">
        <v>925</v>
      </c>
      <c r="C433" s="3" t="s">
        <v>459</v>
      </c>
      <c r="D433" s="4" t="s">
        <v>926</v>
      </c>
      <c r="E433" s="3" t="s">
        <v>15</v>
      </c>
      <c r="F433" s="3" t="s">
        <v>927</v>
      </c>
      <c r="G433" s="5" t="s">
        <v>16</v>
      </c>
      <c r="H433" s="6"/>
      <c r="I433" s="5"/>
      <c r="J433" s="5"/>
      <c r="K433" s="6"/>
      <c r="L433" s="7"/>
      <c r="M433" s="8" t="s">
        <v>17</v>
      </c>
    </row>
    <row r="434" customFormat="false" ht="15" hidden="false" customHeight="false" outlineLevel="0" collapsed="false">
      <c r="A434" s="2" t="n">
        <v>433</v>
      </c>
      <c r="B434" s="3" t="s">
        <v>928</v>
      </c>
      <c r="C434" s="3" t="s">
        <v>30</v>
      </c>
      <c r="D434" s="4"/>
      <c r="E434" s="3" t="s">
        <v>15</v>
      </c>
      <c r="F434" s="3" t="s">
        <v>929</v>
      </c>
      <c r="G434" s="5" t="s">
        <v>16</v>
      </c>
      <c r="H434" s="6"/>
      <c r="I434" s="5"/>
      <c r="J434" s="5"/>
      <c r="K434" s="6"/>
      <c r="L434" s="7"/>
      <c r="M434" s="8" t="s">
        <v>17</v>
      </c>
    </row>
    <row r="435" customFormat="false" ht="15" hidden="false" customHeight="false" outlineLevel="0" collapsed="false">
      <c r="A435" s="2" t="n">
        <v>434</v>
      </c>
      <c r="B435" s="3" t="s">
        <v>930</v>
      </c>
      <c r="C435" s="3"/>
      <c r="D435" s="4"/>
      <c r="E435" s="3" t="s">
        <v>15</v>
      </c>
      <c r="F435" s="3"/>
      <c r="G435" s="5" t="s">
        <v>16</v>
      </c>
      <c r="H435" s="6"/>
      <c r="I435" s="5"/>
      <c r="J435" s="5"/>
      <c r="K435" s="6"/>
      <c r="L435" s="7"/>
      <c r="M435" s="8" t="s">
        <v>17</v>
      </c>
    </row>
    <row r="436" customFormat="false" ht="15" hidden="false" customHeight="false" outlineLevel="0" collapsed="false">
      <c r="A436" s="2" t="n">
        <v>435</v>
      </c>
      <c r="B436" s="3" t="s">
        <v>931</v>
      </c>
      <c r="C436" s="3" t="s">
        <v>84</v>
      </c>
      <c r="D436" s="4" t="s">
        <v>932</v>
      </c>
      <c r="E436" s="3" t="s">
        <v>15</v>
      </c>
      <c r="F436" s="3" t="s">
        <v>933</v>
      </c>
      <c r="G436" s="5" t="s">
        <v>16</v>
      </c>
      <c r="H436" s="6"/>
      <c r="I436" s="5"/>
      <c r="J436" s="5"/>
      <c r="K436" s="6"/>
      <c r="L436" s="7"/>
      <c r="M436" s="8" t="s">
        <v>17</v>
      </c>
    </row>
    <row r="437" customFormat="false" ht="15" hidden="false" customHeight="false" outlineLevel="0" collapsed="false">
      <c r="A437" s="2" t="n">
        <v>436</v>
      </c>
      <c r="B437" s="3" t="s">
        <v>934</v>
      </c>
      <c r="C437" s="3" t="s">
        <v>84</v>
      </c>
      <c r="D437" s="4"/>
      <c r="E437" s="3" t="s">
        <v>15</v>
      </c>
      <c r="F437" s="3" t="s">
        <v>935</v>
      </c>
      <c r="G437" s="5" t="s">
        <v>16</v>
      </c>
      <c r="H437" s="6"/>
      <c r="I437" s="5"/>
      <c r="J437" s="5"/>
      <c r="K437" s="6"/>
      <c r="L437" s="7"/>
      <c r="M437" s="8" t="s">
        <v>17</v>
      </c>
    </row>
    <row r="438" customFormat="false" ht="15" hidden="false" customHeight="false" outlineLevel="0" collapsed="false">
      <c r="A438" s="2" t="n">
        <v>437</v>
      </c>
      <c r="B438" s="3" t="s">
        <v>936</v>
      </c>
      <c r="C438" s="3"/>
      <c r="D438" s="4"/>
      <c r="E438" s="3" t="s">
        <v>15</v>
      </c>
      <c r="F438" s="3"/>
      <c r="G438" s="5" t="s">
        <v>16</v>
      </c>
      <c r="H438" s="6"/>
      <c r="I438" s="5"/>
      <c r="J438" s="5"/>
      <c r="K438" s="6"/>
      <c r="L438" s="7"/>
      <c r="M438" s="8" t="s">
        <v>17</v>
      </c>
    </row>
    <row r="439" customFormat="false" ht="15" hidden="false" customHeight="false" outlineLevel="0" collapsed="false">
      <c r="A439" s="2" t="n">
        <v>438</v>
      </c>
      <c r="B439" s="3" t="s">
        <v>937</v>
      </c>
      <c r="C439" s="3"/>
      <c r="D439" s="4"/>
      <c r="E439" s="3" t="s">
        <v>15</v>
      </c>
      <c r="F439" s="3"/>
      <c r="G439" s="5" t="s">
        <v>16</v>
      </c>
      <c r="H439" s="6"/>
      <c r="I439" s="5"/>
      <c r="J439" s="5"/>
      <c r="K439" s="6"/>
      <c r="L439" s="7"/>
      <c r="M439" s="8" t="s">
        <v>17</v>
      </c>
    </row>
    <row r="440" customFormat="false" ht="15" hidden="false" customHeight="false" outlineLevel="0" collapsed="false">
      <c r="A440" s="2" t="n">
        <v>439</v>
      </c>
      <c r="B440" s="3" t="s">
        <v>938</v>
      </c>
      <c r="C440" s="3" t="s">
        <v>211</v>
      </c>
      <c r="D440" s="4"/>
      <c r="E440" s="3" t="s">
        <v>15</v>
      </c>
      <c r="F440" s="3"/>
      <c r="G440" s="5" t="s">
        <v>16</v>
      </c>
      <c r="H440" s="6"/>
      <c r="I440" s="5"/>
      <c r="J440" s="5"/>
      <c r="K440" s="6"/>
      <c r="L440" s="7"/>
      <c r="M440" s="8" t="s">
        <v>17</v>
      </c>
    </row>
    <row r="441" customFormat="false" ht="15" hidden="false" customHeight="false" outlineLevel="0" collapsed="false">
      <c r="A441" s="2" t="n">
        <v>440</v>
      </c>
      <c r="B441" s="3" t="s">
        <v>939</v>
      </c>
      <c r="C441" s="3" t="s">
        <v>940</v>
      </c>
      <c r="D441" s="4"/>
      <c r="E441" s="3" t="s">
        <v>15</v>
      </c>
      <c r="F441" s="3" t="s">
        <v>941</v>
      </c>
      <c r="G441" s="5" t="s">
        <v>16</v>
      </c>
      <c r="H441" s="6"/>
      <c r="I441" s="5"/>
      <c r="J441" s="5"/>
      <c r="K441" s="6"/>
      <c r="L441" s="7"/>
      <c r="M441" s="8" t="s">
        <v>17</v>
      </c>
    </row>
    <row r="442" customFormat="false" ht="15" hidden="false" customHeight="false" outlineLevel="0" collapsed="false">
      <c r="A442" s="2" t="n">
        <v>441</v>
      </c>
      <c r="B442" s="3" t="s">
        <v>942</v>
      </c>
      <c r="C442" s="3" t="s">
        <v>943</v>
      </c>
      <c r="D442" s="4" t="s">
        <v>944</v>
      </c>
      <c r="E442" s="3" t="s">
        <v>15</v>
      </c>
      <c r="F442" s="3" t="s">
        <v>945</v>
      </c>
      <c r="G442" s="5" t="s">
        <v>16</v>
      </c>
      <c r="H442" s="6"/>
      <c r="I442" s="5"/>
      <c r="J442" s="5"/>
      <c r="K442" s="6"/>
      <c r="L442" s="7"/>
      <c r="M442" s="8" t="s">
        <v>17</v>
      </c>
    </row>
    <row r="443" customFormat="false" ht="15" hidden="false" customHeight="false" outlineLevel="0" collapsed="false">
      <c r="A443" s="2" t="n">
        <v>442</v>
      </c>
      <c r="B443" s="3" t="s">
        <v>946</v>
      </c>
      <c r="C443" s="3"/>
      <c r="D443" s="4"/>
      <c r="E443" s="3" t="s">
        <v>15</v>
      </c>
      <c r="F443" s="3"/>
      <c r="G443" s="5" t="s">
        <v>16</v>
      </c>
      <c r="H443" s="6"/>
      <c r="I443" s="5"/>
      <c r="J443" s="5"/>
      <c r="K443" s="6"/>
      <c r="L443" s="7"/>
      <c r="M443" s="8" t="s">
        <v>17</v>
      </c>
    </row>
    <row r="444" customFormat="false" ht="15" hidden="false" customHeight="false" outlineLevel="0" collapsed="false">
      <c r="A444" s="2" t="n">
        <v>443</v>
      </c>
      <c r="B444" s="3" t="s">
        <v>947</v>
      </c>
      <c r="C444" s="3"/>
      <c r="D444" s="4"/>
      <c r="E444" s="3" t="s">
        <v>15</v>
      </c>
      <c r="F444" s="3" t="s">
        <v>948</v>
      </c>
      <c r="G444" s="5" t="s">
        <v>16</v>
      </c>
      <c r="H444" s="6"/>
      <c r="I444" s="5"/>
      <c r="J444" s="5"/>
      <c r="K444" s="6"/>
      <c r="L444" s="7"/>
      <c r="M444" s="8" t="s">
        <v>17</v>
      </c>
    </row>
    <row r="445" customFormat="false" ht="15" hidden="false" customHeight="false" outlineLevel="0" collapsed="false">
      <c r="A445" s="2" t="n">
        <v>444</v>
      </c>
      <c r="B445" s="3" t="s">
        <v>949</v>
      </c>
      <c r="C445" s="3" t="s">
        <v>84</v>
      </c>
      <c r="D445" s="4"/>
      <c r="E445" s="3" t="s">
        <v>15</v>
      </c>
      <c r="F445" s="3" t="s">
        <v>950</v>
      </c>
      <c r="G445" s="5" t="s">
        <v>16</v>
      </c>
      <c r="H445" s="6"/>
      <c r="I445" s="5"/>
      <c r="J445" s="5"/>
      <c r="K445" s="6"/>
      <c r="L445" s="7"/>
      <c r="M445" s="8" t="s">
        <v>17</v>
      </c>
    </row>
    <row r="446" customFormat="false" ht="15" hidden="false" customHeight="false" outlineLevel="0" collapsed="false">
      <c r="A446" s="2" t="n">
        <v>445</v>
      </c>
      <c r="B446" s="3" t="s">
        <v>951</v>
      </c>
      <c r="C446" s="3" t="s">
        <v>19</v>
      </c>
      <c r="D446" s="4"/>
      <c r="E446" s="3" t="s">
        <v>15</v>
      </c>
      <c r="F446" s="3" t="s">
        <v>952</v>
      </c>
      <c r="G446" s="5" t="s">
        <v>16</v>
      </c>
      <c r="H446" s="6"/>
      <c r="I446" s="5"/>
      <c r="J446" s="5"/>
      <c r="K446" s="6"/>
      <c r="L446" s="7"/>
      <c r="M446" s="8" t="s">
        <v>17</v>
      </c>
    </row>
    <row r="447" customFormat="false" ht="15" hidden="false" customHeight="false" outlineLevel="0" collapsed="false">
      <c r="A447" s="2" t="n">
        <v>446</v>
      </c>
      <c r="B447" s="3" t="s">
        <v>953</v>
      </c>
      <c r="C447" s="3" t="s">
        <v>19</v>
      </c>
      <c r="D447" s="4"/>
      <c r="E447" s="3" t="s">
        <v>15</v>
      </c>
      <c r="F447" s="3" t="s">
        <v>954</v>
      </c>
      <c r="G447" s="5" t="s">
        <v>16</v>
      </c>
      <c r="H447" s="6"/>
      <c r="I447" s="5"/>
      <c r="J447" s="5"/>
      <c r="K447" s="6"/>
      <c r="L447" s="7"/>
      <c r="M447" s="8" t="s">
        <v>17</v>
      </c>
    </row>
    <row r="448" customFormat="false" ht="15" hidden="false" customHeight="false" outlineLevel="0" collapsed="false">
      <c r="A448" s="2" t="n">
        <v>447</v>
      </c>
      <c r="B448" s="3" t="s">
        <v>955</v>
      </c>
      <c r="C448" s="3" t="s">
        <v>46</v>
      </c>
      <c r="D448" s="4"/>
      <c r="E448" s="3" t="s">
        <v>15</v>
      </c>
      <c r="F448" s="3" t="s">
        <v>956</v>
      </c>
      <c r="G448" s="5" t="s">
        <v>16</v>
      </c>
      <c r="H448" s="6"/>
      <c r="I448" s="5"/>
      <c r="J448" s="5"/>
      <c r="K448" s="6"/>
      <c r="L448" s="7"/>
      <c r="M448" s="8" t="s">
        <v>17</v>
      </c>
    </row>
    <row r="449" customFormat="false" ht="15" hidden="false" customHeight="false" outlineLevel="0" collapsed="false">
      <c r="A449" s="2" t="n">
        <v>448</v>
      </c>
      <c r="B449" s="3" t="s">
        <v>957</v>
      </c>
      <c r="C449" s="3"/>
      <c r="D449" s="4" t="s">
        <v>958</v>
      </c>
      <c r="E449" s="3" t="s">
        <v>15</v>
      </c>
      <c r="F449" s="3" t="s">
        <v>959</v>
      </c>
      <c r="G449" s="5" t="s">
        <v>16</v>
      </c>
      <c r="H449" s="6"/>
      <c r="I449" s="5"/>
      <c r="J449" s="5"/>
      <c r="K449" s="6"/>
      <c r="L449" s="7"/>
      <c r="M449" s="8" t="s">
        <v>17</v>
      </c>
    </row>
    <row r="450" customFormat="false" ht="15" hidden="false" customHeight="false" outlineLevel="0" collapsed="false">
      <c r="A450" s="2" t="n">
        <v>449</v>
      </c>
      <c r="B450" s="3" t="s">
        <v>960</v>
      </c>
      <c r="C450" s="3"/>
      <c r="D450" s="4" t="s">
        <v>961</v>
      </c>
      <c r="E450" s="3" t="s">
        <v>15</v>
      </c>
      <c r="F450" s="3" t="s">
        <v>962</v>
      </c>
      <c r="G450" s="5" t="s">
        <v>16</v>
      </c>
      <c r="H450" s="6"/>
      <c r="I450" s="5"/>
      <c r="J450" s="5"/>
      <c r="K450" s="6"/>
      <c r="L450" s="7"/>
      <c r="M450" s="8" t="s">
        <v>17</v>
      </c>
    </row>
    <row r="451" customFormat="false" ht="15" hidden="false" customHeight="false" outlineLevel="0" collapsed="false">
      <c r="A451" s="2" t="n">
        <v>450</v>
      </c>
      <c r="B451" s="3" t="s">
        <v>963</v>
      </c>
      <c r="C451" s="3"/>
      <c r="D451" s="4"/>
      <c r="E451" s="3" t="s">
        <v>15</v>
      </c>
      <c r="F451" s="3" t="s">
        <v>964</v>
      </c>
      <c r="G451" s="5" t="s">
        <v>16</v>
      </c>
      <c r="H451" s="6"/>
      <c r="I451" s="5"/>
      <c r="J451" s="5"/>
      <c r="K451" s="6"/>
      <c r="L451" s="7"/>
      <c r="M451" s="8" t="s">
        <v>17</v>
      </c>
    </row>
    <row r="452" customFormat="false" ht="15" hidden="false" customHeight="false" outlineLevel="0" collapsed="false">
      <c r="A452" s="2" t="n">
        <v>451</v>
      </c>
      <c r="B452" s="3" t="s">
        <v>965</v>
      </c>
      <c r="C452" s="3"/>
      <c r="D452" s="4" t="s">
        <v>966</v>
      </c>
      <c r="E452" s="3" t="s">
        <v>15</v>
      </c>
      <c r="F452" s="3"/>
      <c r="G452" s="5" t="s">
        <v>16</v>
      </c>
      <c r="H452" s="6"/>
      <c r="I452" s="5"/>
      <c r="J452" s="5"/>
      <c r="K452" s="6"/>
      <c r="L452" s="7"/>
      <c r="M452" s="8" t="s">
        <v>17</v>
      </c>
    </row>
    <row r="453" customFormat="false" ht="15" hidden="false" customHeight="false" outlineLevel="0" collapsed="false">
      <c r="A453" s="2" t="n">
        <v>452</v>
      </c>
      <c r="B453" s="3" t="s">
        <v>967</v>
      </c>
      <c r="C453" s="3"/>
      <c r="D453" s="4" t="s">
        <v>968</v>
      </c>
      <c r="E453" s="3" t="s">
        <v>15</v>
      </c>
      <c r="F453" s="3" t="s">
        <v>969</v>
      </c>
      <c r="G453" s="5" t="s">
        <v>16</v>
      </c>
      <c r="H453" s="6"/>
      <c r="I453" s="5"/>
      <c r="J453" s="5"/>
      <c r="K453" s="6"/>
      <c r="L453" s="7"/>
      <c r="M453" s="8" t="s">
        <v>17</v>
      </c>
    </row>
    <row r="454" customFormat="false" ht="15" hidden="false" customHeight="false" outlineLevel="0" collapsed="false">
      <c r="A454" s="2" t="n">
        <v>453</v>
      </c>
      <c r="B454" s="3" t="s">
        <v>970</v>
      </c>
      <c r="C454" s="3" t="s">
        <v>84</v>
      </c>
      <c r="D454" s="4"/>
      <c r="E454" s="3" t="s">
        <v>15</v>
      </c>
      <c r="F454" s="3" t="s">
        <v>971</v>
      </c>
      <c r="G454" s="5" t="s">
        <v>16</v>
      </c>
      <c r="H454" s="6"/>
      <c r="I454" s="5"/>
      <c r="J454" s="5"/>
      <c r="K454" s="6"/>
      <c r="L454" s="7"/>
      <c r="M454" s="8" t="s">
        <v>17</v>
      </c>
    </row>
    <row r="455" customFormat="false" ht="15" hidden="false" customHeight="false" outlineLevel="0" collapsed="false">
      <c r="A455" s="2" t="n">
        <v>454</v>
      </c>
      <c r="B455" s="3" t="s">
        <v>972</v>
      </c>
      <c r="C455" s="3"/>
      <c r="D455" s="4"/>
      <c r="E455" s="3" t="s">
        <v>15</v>
      </c>
      <c r="F455" s="3"/>
      <c r="G455" s="5" t="s">
        <v>16</v>
      </c>
      <c r="H455" s="6"/>
      <c r="I455" s="5"/>
      <c r="J455" s="5"/>
      <c r="K455" s="6"/>
      <c r="L455" s="7"/>
      <c r="M455" s="8" t="s">
        <v>17</v>
      </c>
    </row>
    <row r="456" customFormat="false" ht="15" hidden="false" customHeight="false" outlineLevel="0" collapsed="false">
      <c r="A456" s="2" t="n">
        <v>455</v>
      </c>
      <c r="B456" s="3" t="s">
        <v>973</v>
      </c>
      <c r="C456" s="3" t="s">
        <v>104</v>
      </c>
      <c r="D456" s="4"/>
      <c r="E456" s="3" t="s">
        <v>15</v>
      </c>
      <c r="F456" s="3"/>
      <c r="G456" s="5" t="s">
        <v>16</v>
      </c>
      <c r="H456" s="6"/>
      <c r="I456" s="5"/>
      <c r="J456" s="5"/>
      <c r="K456" s="6"/>
      <c r="L456" s="7"/>
      <c r="M456" s="8" t="s">
        <v>17</v>
      </c>
    </row>
    <row r="457" customFormat="false" ht="15" hidden="false" customHeight="false" outlineLevel="0" collapsed="false">
      <c r="A457" s="2" t="n">
        <v>456</v>
      </c>
      <c r="B457" s="3" t="s">
        <v>973</v>
      </c>
      <c r="C457" s="3" t="s">
        <v>974</v>
      </c>
      <c r="D457" s="4"/>
      <c r="E457" s="3" t="s">
        <v>15</v>
      </c>
      <c r="F457" s="3" t="s">
        <v>975</v>
      </c>
      <c r="G457" s="5" t="s">
        <v>16</v>
      </c>
      <c r="H457" s="6"/>
      <c r="I457" s="5"/>
      <c r="J457" s="5"/>
      <c r="K457" s="6"/>
      <c r="L457" s="7"/>
      <c r="M457" s="8" t="s">
        <v>17</v>
      </c>
    </row>
    <row r="458" customFormat="false" ht="15" hidden="false" customHeight="false" outlineLevel="0" collapsed="false">
      <c r="A458" s="2" t="n">
        <v>457</v>
      </c>
      <c r="B458" s="3" t="s">
        <v>976</v>
      </c>
      <c r="C458" s="3" t="s">
        <v>977</v>
      </c>
      <c r="D458" s="4"/>
      <c r="E458" s="3" t="s">
        <v>15</v>
      </c>
      <c r="F458" s="3" t="s">
        <v>978</v>
      </c>
      <c r="G458" s="5" t="s">
        <v>16</v>
      </c>
      <c r="H458" s="6"/>
      <c r="I458" s="5"/>
      <c r="J458" s="5"/>
      <c r="K458" s="6"/>
      <c r="L458" s="7"/>
      <c r="M458" s="8" t="s">
        <v>17</v>
      </c>
    </row>
    <row r="459" customFormat="false" ht="15" hidden="false" customHeight="false" outlineLevel="0" collapsed="false">
      <c r="A459" s="2" t="n">
        <v>458</v>
      </c>
      <c r="B459" s="3" t="s">
        <v>979</v>
      </c>
      <c r="C459" s="3"/>
      <c r="D459" s="4" t="s">
        <v>980</v>
      </c>
      <c r="E459" s="3" t="s">
        <v>15</v>
      </c>
      <c r="F459" s="3"/>
      <c r="G459" s="5" t="s">
        <v>16</v>
      </c>
      <c r="H459" s="6"/>
      <c r="I459" s="5"/>
      <c r="J459" s="5"/>
      <c r="K459" s="6"/>
      <c r="L459" s="7"/>
      <c r="M459" s="8" t="s">
        <v>17</v>
      </c>
    </row>
    <row r="460" customFormat="false" ht="15" hidden="false" customHeight="false" outlineLevel="0" collapsed="false">
      <c r="A460" s="2" t="n">
        <v>459</v>
      </c>
      <c r="B460" s="3" t="s">
        <v>981</v>
      </c>
      <c r="C460" s="3"/>
      <c r="D460" s="4"/>
      <c r="E460" s="3" t="s">
        <v>15</v>
      </c>
      <c r="F460" s="3"/>
      <c r="G460" s="5" t="s">
        <v>16</v>
      </c>
      <c r="H460" s="6"/>
      <c r="I460" s="5"/>
      <c r="J460" s="5"/>
      <c r="K460" s="6"/>
      <c r="L460" s="7"/>
      <c r="M460" s="8" t="s">
        <v>17</v>
      </c>
    </row>
    <row r="461" customFormat="false" ht="15" hidden="false" customHeight="false" outlineLevel="0" collapsed="false">
      <c r="A461" s="2" t="n">
        <v>460</v>
      </c>
      <c r="B461" s="3" t="s">
        <v>982</v>
      </c>
      <c r="C461" s="3" t="s">
        <v>383</v>
      </c>
      <c r="D461" s="4" t="s">
        <v>983</v>
      </c>
      <c r="E461" s="3" t="s">
        <v>15</v>
      </c>
      <c r="F461" s="3" t="s">
        <v>984</v>
      </c>
      <c r="G461" s="5" t="s">
        <v>16</v>
      </c>
      <c r="H461" s="6"/>
      <c r="I461" s="5"/>
      <c r="J461" s="5"/>
      <c r="K461" s="6"/>
      <c r="L461" s="7"/>
      <c r="M461" s="8" t="s">
        <v>17</v>
      </c>
    </row>
    <row r="462" customFormat="false" ht="15" hidden="false" customHeight="false" outlineLevel="0" collapsed="false">
      <c r="A462" s="2" t="n">
        <v>461</v>
      </c>
      <c r="B462" s="3" t="s">
        <v>985</v>
      </c>
      <c r="C462" s="3" t="s">
        <v>387</v>
      </c>
      <c r="D462" s="4"/>
      <c r="E462" s="3" t="s">
        <v>15</v>
      </c>
      <c r="F462" s="3" t="s">
        <v>986</v>
      </c>
      <c r="G462" s="5" t="s">
        <v>16</v>
      </c>
      <c r="H462" s="6"/>
      <c r="I462" s="5"/>
      <c r="J462" s="5"/>
      <c r="K462" s="6"/>
      <c r="L462" s="7"/>
      <c r="M462" s="8" t="s">
        <v>17</v>
      </c>
    </row>
    <row r="463" customFormat="false" ht="15" hidden="false" customHeight="false" outlineLevel="0" collapsed="false">
      <c r="A463" s="2" t="n">
        <v>462</v>
      </c>
      <c r="B463" s="3" t="s">
        <v>987</v>
      </c>
      <c r="C463" s="3" t="s">
        <v>84</v>
      </c>
      <c r="D463" s="4"/>
      <c r="E463" s="3" t="s">
        <v>15</v>
      </c>
      <c r="F463" s="3" t="s">
        <v>988</v>
      </c>
      <c r="G463" s="5" t="s">
        <v>16</v>
      </c>
      <c r="H463" s="6"/>
      <c r="I463" s="5"/>
      <c r="J463" s="5"/>
      <c r="K463" s="6"/>
      <c r="L463" s="7"/>
      <c r="M463" s="8" t="s">
        <v>17</v>
      </c>
    </row>
    <row r="464" customFormat="false" ht="15" hidden="false" customHeight="false" outlineLevel="0" collapsed="false">
      <c r="A464" s="2" t="n">
        <v>463</v>
      </c>
      <c r="B464" s="3" t="s">
        <v>989</v>
      </c>
      <c r="C464" s="3" t="s">
        <v>84</v>
      </c>
      <c r="D464" s="4"/>
      <c r="E464" s="3" t="s">
        <v>15</v>
      </c>
      <c r="F464" s="3" t="s">
        <v>990</v>
      </c>
      <c r="G464" s="5" t="s">
        <v>16</v>
      </c>
      <c r="H464" s="6"/>
      <c r="I464" s="5"/>
      <c r="J464" s="5"/>
      <c r="K464" s="6"/>
      <c r="L464" s="7"/>
      <c r="M464" s="8" t="s">
        <v>17</v>
      </c>
    </row>
    <row r="465" customFormat="false" ht="15" hidden="false" customHeight="false" outlineLevel="0" collapsed="false">
      <c r="A465" s="2" t="n">
        <v>464</v>
      </c>
      <c r="B465" s="3" t="s">
        <v>991</v>
      </c>
      <c r="C465" s="3"/>
      <c r="D465" s="4"/>
      <c r="E465" s="3" t="s">
        <v>15</v>
      </c>
      <c r="F465" s="3"/>
      <c r="G465" s="5" t="s">
        <v>16</v>
      </c>
      <c r="H465" s="6"/>
      <c r="I465" s="5"/>
      <c r="J465" s="5"/>
      <c r="K465" s="6"/>
      <c r="L465" s="7"/>
      <c r="M465" s="8" t="s">
        <v>17</v>
      </c>
    </row>
    <row r="466" customFormat="false" ht="15" hidden="false" customHeight="false" outlineLevel="0" collapsed="false">
      <c r="A466" s="2" t="n">
        <v>465</v>
      </c>
      <c r="B466" s="3" t="s">
        <v>992</v>
      </c>
      <c r="C466" s="3" t="s">
        <v>993</v>
      </c>
      <c r="D466" s="4"/>
      <c r="E466" s="3" t="s">
        <v>15</v>
      </c>
      <c r="F466" s="3" t="s">
        <v>994</v>
      </c>
      <c r="G466" s="5" t="s">
        <v>16</v>
      </c>
      <c r="H466" s="6"/>
      <c r="I466" s="5"/>
      <c r="J466" s="5"/>
      <c r="K466" s="6"/>
      <c r="L466" s="7"/>
      <c r="M466" s="8" t="s">
        <v>17</v>
      </c>
    </row>
    <row r="467" customFormat="false" ht="15" hidden="false" customHeight="false" outlineLevel="0" collapsed="false">
      <c r="A467" s="2" t="n">
        <v>466</v>
      </c>
      <c r="B467" s="3" t="s">
        <v>995</v>
      </c>
      <c r="C467" s="3" t="s">
        <v>88</v>
      </c>
      <c r="D467" s="4"/>
      <c r="E467" s="3" t="s">
        <v>15</v>
      </c>
      <c r="F467" s="3" t="s">
        <v>996</v>
      </c>
      <c r="G467" s="5" t="s">
        <v>16</v>
      </c>
      <c r="H467" s="6"/>
      <c r="I467" s="5"/>
      <c r="J467" s="5"/>
      <c r="K467" s="6"/>
      <c r="L467" s="7"/>
      <c r="M467" s="8" t="s">
        <v>17</v>
      </c>
    </row>
    <row r="468" customFormat="false" ht="15" hidden="false" customHeight="false" outlineLevel="0" collapsed="false">
      <c r="A468" s="2" t="n">
        <v>467</v>
      </c>
      <c r="B468" s="3" t="s">
        <v>997</v>
      </c>
      <c r="C468" s="3"/>
      <c r="D468" s="4"/>
      <c r="E468" s="3" t="s">
        <v>15</v>
      </c>
      <c r="F468" s="3" t="s">
        <v>571</v>
      </c>
      <c r="G468" s="5" t="s">
        <v>16</v>
      </c>
      <c r="H468" s="6"/>
      <c r="I468" s="5"/>
      <c r="J468" s="5"/>
      <c r="K468" s="6"/>
      <c r="L468" s="7"/>
      <c r="M468" s="8" t="s">
        <v>17</v>
      </c>
    </row>
    <row r="469" customFormat="false" ht="15" hidden="false" customHeight="false" outlineLevel="0" collapsed="false">
      <c r="A469" s="2" t="n">
        <v>468</v>
      </c>
      <c r="B469" s="3" t="s">
        <v>998</v>
      </c>
      <c r="C469" s="3"/>
      <c r="D469" s="4"/>
      <c r="E469" s="3" t="s">
        <v>15</v>
      </c>
      <c r="F469" s="3" t="s">
        <v>999</v>
      </c>
      <c r="G469" s="5" t="s">
        <v>16</v>
      </c>
      <c r="H469" s="6"/>
      <c r="I469" s="5"/>
      <c r="J469" s="5"/>
      <c r="K469" s="6"/>
      <c r="L469" s="7"/>
      <c r="M469" s="8" t="s">
        <v>17</v>
      </c>
    </row>
    <row r="470" customFormat="false" ht="15" hidden="false" customHeight="false" outlineLevel="0" collapsed="false">
      <c r="A470" s="2" t="n">
        <v>469</v>
      </c>
      <c r="B470" s="3" t="s">
        <v>1000</v>
      </c>
      <c r="C470" s="3" t="s">
        <v>1001</v>
      </c>
      <c r="D470" s="4"/>
      <c r="E470" s="3" t="s">
        <v>15</v>
      </c>
      <c r="F470" s="3" t="s">
        <v>1002</v>
      </c>
      <c r="G470" s="5" t="s">
        <v>16</v>
      </c>
      <c r="H470" s="6"/>
      <c r="I470" s="5"/>
      <c r="J470" s="5"/>
      <c r="K470" s="6"/>
      <c r="L470" s="7"/>
      <c r="M470" s="8" t="s">
        <v>17</v>
      </c>
    </row>
    <row r="471" customFormat="false" ht="15" hidden="false" customHeight="false" outlineLevel="0" collapsed="false">
      <c r="A471" s="2" t="n">
        <v>470</v>
      </c>
      <c r="B471" s="3" t="s">
        <v>1003</v>
      </c>
      <c r="C471" s="3" t="s">
        <v>1004</v>
      </c>
      <c r="D471" s="4"/>
      <c r="E471" s="3" t="s">
        <v>15</v>
      </c>
      <c r="F471" s="3" t="s">
        <v>1005</v>
      </c>
      <c r="G471" s="5" t="s">
        <v>16</v>
      </c>
      <c r="H471" s="6"/>
      <c r="I471" s="5"/>
      <c r="J471" s="5"/>
      <c r="K471" s="6"/>
      <c r="L471" s="7"/>
      <c r="M471" s="8" t="s">
        <v>17</v>
      </c>
    </row>
    <row r="472" customFormat="false" ht="15" hidden="false" customHeight="false" outlineLevel="0" collapsed="false">
      <c r="A472" s="2" t="n">
        <v>471</v>
      </c>
      <c r="B472" s="3" t="s">
        <v>1006</v>
      </c>
      <c r="C472" s="3" t="s">
        <v>1007</v>
      </c>
      <c r="D472" s="4" t="s">
        <v>1008</v>
      </c>
      <c r="E472" s="3" t="s">
        <v>15</v>
      </c>
      <c r="F472" s="3" t="s">
        <v>1009</v>
      </c>
      <c r="G472" s="5" t="s">
        <v>16</v>
      </c>
      <c r="H472" s="6"/>
      <c r="I472" s="5"/>
      <c r="J472" s="5"/>
      <c r="K472" s="6"/>
      <c r="L472" s="7"/>
      <c r="M472" s="8" t="s">
        <v>17</v>
      </c>
    </row>
    <row r="473" customFormat="false" ht="15" hidden="false" customHeight="false" outlineLevel="0" collapsed="false">
      <c r="A473" s="2" t="n">
        <v>472</v>
      </c>
      <c r="B473" s="3" t="s">
        <v>1010</v>
      </c>
      <c r="C473" s="3" t="s">
        <v>51</v>
      </c>
      <c r="D473" s="4"/>
      <c r="E473" s="3" t="s">
        <v>15</v>
      </c>
      <c r="F473" s="3"/>
      <c r="G473" s="5" t="s">
        <v>16</v>
      </c>
      <c r="H473" s="6"/>
      <c r="I473" s="5"/>
      <c r="J473" s="5"/>
      <c r="K473" s="6"/>
      <c r="L473" s="7"/>
      <c r="M473" s="8" t="s">
        <v>17</v>
      </c>
    </row>
    <row r="474" customFormat="false" ht="15" hidden="false" customHeight="false" outlineLevel="0" collapsed="false">
      <c r="A474" s="2" t="n">
        <v>473</v>
      </c>
      <c r="B474" s="3" t="s">
        <v>1011</v>
      </c>
      <c r="C474" s="3" t="s">
        <v>88</v>
      </c>
      <c r="D474" s="4"/>
      <c r="E474" s="3" t="s">
        <v>15</v>
      </c>
      <c r="F474" s="3" t="s">
        <v>1012</v>
      </c>
      <c r="G474" s="5" t="s">
        <v>16</v>
      </c>
      <c r="H474" s="6"/>
      <c r="I474" s="5"/>
      <c r="J474" s="5"/>
      <c r="K474" s="6"/>
      <c r="L474" s="7"/>
      <c r="M474" s="8" t="s">
        <v>17</v>
      </c>
    </row>
    <row r="475" customFormat="false" ht="15" hidden="false" customHeight="false" outlineLevel="0" collapsed="false">
      <c r="A475" s="2" t="n">
        <v>474</v>
      </c>
      <c r="B475" s="3" t="s">
        <v>1013</v>
      </c>
      <c r="C475" s="3" t="s">
        <v>84</v>
      </c>
      <c r="D475" s="4" t="s">
        <v>1014</v>
      </c>
      <c r="E475" s="3" t="s">
        <v>15</v>
      </c>
      <c r="F475" s="3"/>
      <c r="G475" s="5" t="s">
        <v>16</v>
      </c>
      <c r="H475" s="6"/>
      <c r="I475" s="5"/>
      <c r="J475" s="5"/>
      <c r="K475" s="6"/>
      <c r="L475" s="7"/>
      <c r="M475" s="8" t="s">
        <v>17</v>
      </c>
    </row>
    <row r="476" customFormat="false" ht="15" hidden="false" customHeight="false" outlineLevel="0" collapsed="false">
      <c r="A476" s="2" t="n">
        <v>475</v>
      </c>
      <c r="B476" s="3" t="s">
        <v>1015</v>
      </c>
      <c r="C476" s="3"/>
      <c r="D476" s="4"/>
      <c r="E476" s="3" t="s">
        <v>15</v>
      </c>
      <c r="F476" s="3"/>
      <c r="G476" s="5" t="s">
        <v>16</v>
      </c>
      <c r="H476" s="6"/>
      <c r="I476" s="5"/>
      <c r="J476" s="5"/>
      <c r="K476" s="6"/>
      <c r="L476" s="7"/>
      <c r="M476" s="8" t="s">
        <v>17</v>
      </c>
    </row>
    <row r="477" customFormat="false" ht="15" hidden="false" customHeight="false" outlineLevel="0" collapsed="false">
      <c r="A477" s="2" t="n">
        <v>476</v>
      </c>
      <c r="B477" s="3" t="s">
        <v>1016</v>
      </c>
      <c r="C477" s="3" t="s">
        <v>88</v>
      </c>
      <c r="D477" s="4"/>
      <c r="E477" s="3" t="s">
        <v>15</v>
      </c>
      <c r="F477" s="3" t="s">
        <v>1017</v>
      </c>
      <c r="G477" s="5" t="s">
        <v>16</v>
      </c>
      <c r="H477" s="6"/>
      <c r="I477" s="5"/>
      <c r="J477" s="5"/>
      <c r="K477" s="6"/>
      <c r="L477" s="7"/>
      <c r="M477" s="8" t="s">
        <v>17</v>
      </c>
    </row>
    <row r="478" customFormat="false" ht="15" hidden="false" customHeight="false" outlineLevel="0" collapsed="false">
      <c r="A478" s="2" t="n">
        <v>477</v>
      </c>
      <c r="B478" s="3" t="s">
        <v>1018</v>
      </c>
      <c r="C478" s="3" t="s">
        <v>387</v>
      </c>
      <c r="D478" s="4"/>
      <c r="E478" s="3" t="s">
        <v>15</v>
      </c>
      <c r="F478" s="3" t="s">
        <v>1019</v>
      </c>
      <c r="G478" s="5" t="s">
        <v>16</v>
      </c>
      <c r="H478" s="6"/>
      <c r="I478" s="5"/>
      <c r="J478" s="5"/>
      <c r="K478" s="6"/>
      <c r="L478" s="7"/>
      <c r="M478" s="8" t="s">
        <v>17</v>
      </c>
    </row>
    <row r="479" customFormat="false" ht="15" hidden="false" customHeight="false" outlineLevel="0" collapsed="false">
      <c r="A479" s="2" t="n">
        <v>478</v>
      </c>
      <c r="B479" s="3" t="s">
        <v>1020</v>
      </c>
      <c r="C479" s="3" t="s">
        <v>19</v>
      </c>
      <c r="D479" s="4"/>
      <c r="E479" s="3" t="s">
        <v>15</v>
      </c>
      <c r="F479" s="3"/>
      <c r="G479" s="5" t="s">
        <v>16</v>
      </c>
      <c r="H479" s="6"/>
      <c r="I479" s="5"/>
      <c r="J479" s="5"/>
      <c r="K479" s="6"/>
      <c r="L479" s="7"/>
      <c r="M479" s="8" t="s">
        <v>17</v>
      </c>
    </row>
    <row r="480" customFormat="false" ht="15" hidden="false" customHeight="false" outlineLevel="0" collapsed="false">
      <c r="A480" s="2" t="n">
        <v>479</v>
      </c>
      <c r="B480" s="3" t="s">
        <v>1021</v>
      </c>
      <c r="C480" s="3"/>
      <c r="D480" s="4"/>
      <c r="E480" s="3" t="s">
        <v>15</v>
      </c>
      <c r="F480" s="3" t="s">
        <v>1022</v>
      </c>
      <c r="G480" s="5" t="s">
        <v>16</v>
      </c>
      <c r="H480" s="6"/>
      <c r="I480" s="5"/>
      <c r="J480" s="5"/>
      <c r="K480" s="6"/>
      <c r="L480" s="7"/>
      <c r="M480" s="8" t="s">
        <v>17</v>
      </c>
    </row>
    <row r="481" customFormat="false" ht="15" hidden="false" customHeight="false" outlineLevel="0" collapsed="false">
      <c r="A481" s="2" t="n">
        <v>480</v>
      </c>
      <c r="B481" s="3" t="s">
        <v>1023</v>
      </c>
      <c r="C481" s="3"/>
      <c r="D481" s="4"/>
      <c r="E481" s="3" t="s">
        <v>15</v>
      </c>
      <c r="F481" s="3" t="s">
        <v>1024</v>
      </c>
      <c r="G481" s="5" t="s">
        <v>16</v>
      </c>
      <c r="H481" s="6"/>
      <c r="I481" s="5"/>
      <c r="J481" s="5"/>
      <c r="K481" s="6"/>
      <c r="L481" s="7"/>
      <c r="M481" s="8" t="s">
        <v>17</v>
      </c>
    </row>
    <row r="482" customFormat="false" ht="15" hidden="false" customHeight="false" outlineLevel="0" collapsed="false">
      <c r="A482" s="2" t="n">
        <v>481</v>
      </c>
      <c r="B482" s="3" t="s">
        <v>1025</v>
      </c>
      <c r="C482" s="3"/>
      <c r="D482" s="4"/>
      <c r="E482" s="3" t="s">
        <v>15</v>
      </c>
      <c r="F482" s="3"/>
      <c r="G482" s="5" t="s">
        <v>16</v>
      </c>
      <c r="H482" s="6"/>
      <c r="I482" s="5"/>
      <c r="J482" s="5"/>
      <c r="K482" s="6"/>
      <c r="L482" s="7"/>
      <c r="M482" s="8" t="s">
        <v>17</v>
      </c>
    </row>
    <row r="483" customFormat="false" ht="15" hidden="false" customHeight="false" outlineLevel="0" collapsed="false">
      <c r="A483" s="2" t="n">
        <v>482</v>
      </c>
      <c r="B483" s="3" t="s">
        <v>1026</v>
      </c>
      <c r="C483" s="3"/>
      <c r="D483" s="4" t="s">
        <v>1027</v>
      </c>
      <c r="E483" s="3" t="s">
        <v>15</v>
      </c>
      <c r="F483" s="3"/>
      <c r="G483" s="5" t="s">
        <v>16</v>
      </c>
      <c r="H483" s="6"/>
      <c r="I483" s="5"/>
      <c r="J483" s="5"/>
      <c r="K483" s="6"/>
      <c r="L483" s="7"/>
      <c r="M483" s="8" t="s">
        <v>17</v>
      </c>
    </row>
    <row r="484" customFormat="false" ht="15" hidden="false" customHeight="false" outlineLevel="0" collapsed="false">
      <c r="A484" s="2" t="n">
        <v>483</v>
      </c>
      <c r="B484" s="3" t="s">
        <v>1028</v>
      </c>
      <c r="C484" s="3" t="s">
        <v>84</v>
      </c>
      <c r="D484" s="4" t="s">
        <v>1029</v>
      </c>
      <c r="E484" s="3" t="s">
        <v>15</v>
      </c>
      <c r="F484" s="3" t="s">
        <v>1030</v>
      </c>
      <c r="G484" s="5" t="s">
        <v>16</v>
      </c>
      <c r="H484" s="6"/>
      <c r="I484" s="5"/>
      <c r="J484" s="5"/>
      <c r="K484" s="6"/>
      <c r="L484" s="7"/>
      <c r="M484" s="8" t="s">
        <v>17</v>
      </c>
    </row>
    <row r="485" customFormat="false" ht="15" hidden="false" customHeight="false" outlineLevel="0" collapsed="false">
      <c r="A485" s="2" t="n">
        <v>484</v>
      </c>
      <c r="B485" s="3" t="s">
        <v>1031</v>
      </c>
      <c r="C485" s="3" t="s">
        <v>84</v>
      </c>
      <c r="D485" s="4"/>
      <c r="E485" s="3" t="s">
        <v>15</v>
      </c>
      <c r="F485" s="3" t="s">
        <v>1032</v>
      </c>
      <c r="G485" s="5" t="s">
        <v>16</v>
      </c>
      <c r="H485" s="6"/>
      <c r="I485" s="5"/>
      <c r="J485" s="5"/>
      <c r="K485" s="6"/>
      <c r="L485" s="7"/>
      <c r="M485" s="8" t="s">
        <v>17</v>
      </c>
    </row>
    <row r="486" customFormat="false" ht="15" hidden="false" customHeight="false" outlineLevel="0" collapsed="false">
      <c r="A486" s="2" t="n">
        <v>485</v>
      </c>
      <c r="B486" s="3" t="s">
        <v>1033</v>
      </c>
      <c r="C486" s="3" t="s">
        <v>44</v>
      </c>
      <c r="D486" s="4"/>
      <c r="E486" s="3" t="s">
        <v>15</v>
      </c>
      <c r="F486" s="3"/>
      <c r="G486" s="5" t="s">
        <v>16</v>
      </c>
      <c r="H486" s="6"/>
      <c r="I486" s="5"/>
      <c r="J486" s="5"/>
      <c r="K486" s="6"/>
      <c r="L486" s="7"/>
      <c r="M486" s="8" t="s">
        <v>17</v>
      </c>
    </row>
    <row r="487" customFormat="false" ht="15" hidden="false" customHeight="false" outlineLevel="0" collapsed="false">
      <c r="A487" s="2" t="n">
        <v>486</v>
      </c>
      <c r="B487" s="3" t="s">
        <v>1034</v>
      </c>
      <c r="C487" s="3" t="s">
        <v>1035</v>
      </c>
      <c r="D487" s="4"/>
      <c r="E487" s="3" t="s">
        <v>15</v>
      </c>
      <c r="F487" s="3" t="s">
        <v>1036</v>
      </c>
      <c r="G487" s="5" t="s">
        <v>16</v>
      </c>
      <c r="H487" s="6"/>
      <c r="I487" s="5"/>
      <c r="J487" s="5"/>
      <c r="K487" s="6"/>
      <c r="L487" s="7"/>
      <c r="M487" s="8" t="s">
        <v>17</v>
      </c>
    </row>
    <row r="488" customFormat="false" ht="15" hidden="false" customHeight="false" outlineLevel="0" collapsed="false">
      <c r="A488" s="2" t="n">
        <v>487</v>
      </c>
      <c r="B488" s="3" t="s">
        <v>1037</v>
      </c>
      <c r="C488" s="3"/>
      <c r="D488" s="4" t="s">
        <v>1038</v>
      </c>
      <c r="E488" s="3" t="s">
        <v>15</v>
      </c>
      <c r="F488" s="3" t="s">
        <v>1039</v>
      </c>
      <c r="G488" s="5" t="s">
        <v>16</v>
      </c>
      <c r="H488" s="6"/>
      <c r="I488" s="5"/>
      <c r="J488" s="5"/>
      <c r="K488" s="6"/>
      <c r="L488" s="7"/>
      <c r="M488" s="8" t="s">
        <v>17</v>
      </c>
    </row>
    <row r="489" customFormat="false" ht="15" hidden="false" customHeight="false" outlineLevel="0" collapsed="false">
      <c r="A489" s="2" t="n">
        <v>488</v>
      </c>
      <c r="B489" s="3" t="s">
        <v>1040</v>
      </c>
      <c r="C489" s="3" t="s">
        <v>1041</v>
      </c>
      <c r="D489" s="4" t="s">
        <v>1042</v>
      </c>
      <c r="E489" s="3" t="s">
        <v>15</v>
      </c>
      <c r="F489" s="3" t="s">
        <v>1043</v>
      </c>
      <c r="G489" s="5" t="s">
        <v>16</v>
      </c>
      <c r="H489" s="6"/>
      <c r="I489" s="5"/>
      <c r="J489" s="5"/>
      <c r="K489" s="6"/>
      <c r="L489" s="7"/>
      <c r="M489" s="8" t="s">
        <v>17</v>
      </c>
    </row>
    <row r="490" customFormat="false" ht="15" hidden="false" customHeight="false" outlineLevel="0" collapsed="false">
      <c r="A490" s="2" t="n">
        <v>489</v>
      </c>
      <c r="B490" s="3" t="s">
        <v>1044</v>
      </c>
      <c r="C490" s="3"/>
      <c r="D490" s="4"/>
      <c r="E490" s="3" t="s">
        <v>15</v>
      </c>
      <c r="F490" s="3"/>
      <c r="G490" s="5" t="s">
        <v>16</v>
      </c>
      <c r="H490" s="6"/>
      <c r="I490" s="5"/>
      <c r="J490" s="5"/>
      <c r="K490" s="6"/>
      <c r="L490" s="7"/>
      <c r="M490" s="8" t="s">
        <v>17</v>
      </c>
    </row>
    <row r="491" customFormat="false" ht="15" hidden="false" customHeight="false" outlineLevel="0" collapsed="false">
      <c r="A491" s="2" t="n">
        <v>490</v>
      </c>
      <c r="B491" s="3" t="s">
        <v>1045</v>
      </c>
      <c r="C491" s="3" t="s">
        <v>387</v>
      </c>
      <c r="D491" s="4" t="s">
        <v>1046</v>
      </c>
      <c r="E491" s="3" t="s">
        <v>15</v>
      </c>
      <c r="F491" s="3" t="s">
        <v>1047</v>
      </c>
      <c r="G491" s="5" t="s">
        <v>16</v>
      </c>
      <c r="H491" s="6"/>
      <c r="I491" s="5"/>
      <c r="J491" s="5"/>
      <c r="K491" s="6"/>
      <c r="L491" s="7"/>
      <c r="M491" s="8" t="s">
        <v>17</v>
      </c>
    </row>
    <row r="492" customFormat="false" ht="15" hidden="false" customHeight="false" outlineLevel="0" collapsed="false">
      <c r="A492" s="2" t="n">
        <v>491</v>
      </c>
      <c r="B492" s="3" t="s">
        <v>1048</v>
      </c>
      <c r="C492" s="3"/>
      <c r="D492" s="4"/>
      <c r="E492" s="3" t="s">
        <v>15</v>
      </c>
      <c r="F492" s="3"/>
      <c r="G492" s="5" t="s">
        <v>16</v>
      </c>
      <c r="H492" s="6"/>
      <c r="I492" s="5"/>
      <c r="J492" s="5"/>
      <c r="K492" s="6"/>
      <c r="L492" s="7"/>
      <c r="M492" s="8" t="s">
        <v>17</v>
      </c>
    </row>
    <row r="493" customFormat="false" ht="15" hidden="false" customHeight="false" outlineLevel="0" collapsed="false">
      <c r="A493" s="2" t="n">
        <v>492</v>
      </c>
      <c r="B493" s="3" t="s">
        <v>1049</v>
      </c>
      <c r="C493" s="3" t="s">
        <v>75</v>
      </c>
      <c r="D493" s="4" t="s">
        <v>1050</v>
      </c>
      <c r="E493" s="3" t="s">
        <v>15</v>
      </c>
      <c r="F493" s="3" t="s">
        <v>1051</v>
      </c>
      <c r="G493" s="5" t="s">
        <v>16</v>
      </c>
      <c r="H493" s="6"/>
      <c r="I493" s="5"/>
      <c r="J493" s="5"/>
      <c r="K493" s="6"/>
      <c r="L493" s="7"/>
      <c r="M493" s="8" t="s">
        <v>17</v>
      </c>
    </row>
    <row r="494" customFormat="false" ht="15" hidden="false" customHeight="false" outlineLevel="0" collapsed="false">
      <c r="A494" s="2" t="n">
        <v>493</v>
      </c>
      <c r="B494" s="3" t="s">
        <v>1052</v>
      </c>
      <c r="C494" s="3" t="s">
        <v>75</v>
      </c>
      <c r="D494" s="4" t="s">
        <v>1053</v>
      </c>
      <c r="E494" s="3" t="s">
        <v>15</v>
      </c>
      <c r="F494" s="3" t="s">
        <v>1054</v>
      </c>
      <c r="G494" s="5" t="s">
        <v>16</v>
      </c>
      <c r="H494" s="6"/>
      <c r="I494" s="5"/>
      <c r="J494" s="5"/>
      <c r="K494" s="6"/>
      <c r="L494" s="7"/>
      <c r="M494" s="8" t="s">
        <v>17</v>
      </c>
    </row>
    <row r="495" customFormat="false" ht="15" hidden="false" customHeight="false" outlineLevel="0" collapsed="false">
      <c r="A495" s="2" t="n">
        <v>494</v>
      </c>
      <c r="B495" s="3" t="s">
        <v>1055</v>
      </c>
      <c r="C495" s="3" t="s">
        <v>387</v>
      </c>
      <c r="D495" s="4"/>
      <c r="E495" s="3" t="s">
        <v>15</v>
      </c>
      <c r="F495" s="3"/>
      <c r="G495" s="5" t="s">
        <v>16</v>
      </c>
      <c r="H495" s="6"/>
      <c r="I495" s="5"/>
      <c r="J495" s="5"/>
      <c r="K495" s="6"/>
      <c r="L495" s="7"/>
      <c r="M495" s="8" t="s">
        <v>17</v>
      </c>
    </row>
    <row r="496" customFormat="false" ht="15" hidden="false" customHeight="false" outlineLevel="0" collapsed="false">
      <c r="A496" s="2" t="n">
        <v>495</v>
      </c>
      <c r="B496" s="3" t="s">
        <v>1056</v>
      </c>
      <c r="C496" s="3" t="s">
        <v>84</v>
      </c>
      <c r="D496" s="4"/>
      <c r="E496" s="3" t="s">
        <v>15</v>
      </c>
      <c r="F496" s="3" t="s">
        <v>1057</v>
      </c>
      <c r="G496" s="5" t="s">
        <v>16</v>
      </c>
      <c r="H496" s="6"/>
      <c r="I496" s="5"/>
      <c r="J496" s="5"/>
      <c r="K496" s="6"/>
      <c r="L496" s="7"/>
      <c r="M496" s="8" t="s">
        <v>17</v>
      </c>
    </row>
    <row r="497" customFormat="false" ht="15" hidden="false" customHeight="false" outlineLevel="0" collapsed="false">
      <c r="A497" s="2" t="n">
        <v>496</v>
      </c>
      <c r="B497" s="3" t="s">
        <v>1058</v>
      </c>
      <c r="C497" s="3"/>
      <c r="D497" s="4"/>
      <c r="E497" s="3" t="s">
        <v>15</v>
      </c>
      <c r="F497" s="3" t="s">
        <v>1059</v>
      </c>
      <c r="G497" s="5" t="s">
        <v>16</v>
      </c>
      <c r="H497" s="6"/>
      <c r="I497" s="5"/>
      <c r="J497" s="5"/>
      <c r="K497" s="6"/>
      <c r="L497" s="7"/>
      <c r="M497" s="8" t="s">
        <v>17</v>
      </c>
    </row>
    <row r="498" customFormat="false" ht="15" hidden="false" customHeight="false" outlineLevel="0" collapsed="false">
      <c r="A498" s="2" t="n">
        <v>497</v>
      </c>
      <c r="B498" s="3" t="s">
        <v>1060</v>
      </c>
      <c r="C498" s="3" t="s">
        <v>180</v>
      </c>
      <c r="D498" s="4" t="s">
        <v>1061</v>
      </c>
      <c r="E498" s="3" t="s">
        <v>15</v>
      </c>
      <c r="F498" s="3" t="s">
        <v>1062</v>
      </c>
      <c r="G498" s="5" t="s">
        <v>16</v>
      </c>
      <c r="H498" s="6"/>
      <c r="I498" s="5"/>
      <c r="J498" s="5"/>
      <c r="K498" s="6"/>
      <c r="L498" s="7"/>
      <c r="M498" s="8" t="s">
        <v>17</v>
      </c>
    </row>
    <row r="499" customFormat="false" ht="15" hidden="false" customHeight="false" outlineLevel="0" collapsed="false">
      <c r="A499" s="2" t="n">
        <v>498</v>
      </c>
      <c r="B499" s="3" t="s">
        <v>1063</v>
      </c>
      <c r="C499" s="3" t="s">
        <v>81</v>
      </c>
      <c r="D499" s="4"/>
      <c r="E499" s="3" t="s">
        <v>15</v>
      </c>
      <c r="F499" s="3"/>
      <c r="G499" s="5" t="s">
        <v>16</v>
      </c>
      <c r="H499" s="6"/>
      <c r="I499" s="5"/>
      <c r="J499" s="5"/>
      <c r="K499" s="6"/>
      <c r="L499" s="7"/>
      <c r="M499" s="8" t="s">
        <v>17</v>
      </c>
    </row>
    <row r="500" customFormat="false" ht="15" hidden="false" customHeight="false" outlineLevel="0" collapsed="false">
      <c r="A500" s="2" t="n">
        <v>499</v>
      </c>
      <c r="B500" s="3" t="s">
        <v>1064</v>
      </c>
      <c r="C500" s="3"/>
      <c r="D500" s="4"/>
      <c r="E500" s="3" t="s">
        <v>15</v>
      </c>
      <c r="F500" s="3"/>
      <c r="G500" s="5" t="s">
        <v>16</v>
      </c>
      <c r="H500" s="6"/>
      <c r="I500" s="5"/>
      <c r="J500" s="5"/>
      <c r="K500" s="6"/>
      <c r="L500" s="7"/>
      <c r="M500" s="8" t="s">
        <v>17</v>
      </c>
    </row>
    <row r="501" customFormat="false" ht="15" hidden="false" customHeight="false" outlineLevel="0" collapsed="false">
      <c r="A501" s="2" t="n">
        <v>500</v>
      </c>
      <c r="B501" s="3" t="s">
        <v>1065</v>
      </c>
      <c r="C501" s="3" t="s">
        <v>84</v>
      </c>
      <c r="D501" s="4"/>
      <c r="E501" s="3" t="s">
        <v>15</v>
      </c>
      <c r="F501" s="3" t="s">
        <v>1066</v>
      </c>
      <c r="G501" s="5" t="s">
        <v>16</v>
      </c>
      <c r="H501" s="6"/>
      <c r="I501" s="5"/>
      <c r="J501" s="5"/>
      <c r="K501" s="6"/>
      <c r="L501" s="7"/>
      <c r="M501" s="8" t="s">
        <v>17</v>
      </c>
    </row>
    <row r="502" customFormat="false" ht="15" hidden="false" customHeight="false" outlineLevel="0" collapsed="false">
      <c r="A502" s="2" t="n">
        <v>501</v>
      </c>
      <c r="B502" s="3" t="s">
        <v>1067</v>
      </c>
      <c r="C502" s="3"/>
      <c r="D502" s="4"/>
      <c r="E502" s="3" t="s">
        <v>15</v>
      </c>
      <c r="F502" s="3"/>
      <c r="G502" s="5" t="s">
        <v>16</v>
      </c>
      <c r="H502" s="6"/>
      <c r="I502" s="5"/>
      <c r="J502" s="5"/>
      <c r="K502" s="6"/>
      <c r="L502" s="7"/>
      <c r="M502" s="8" t="s">
        <v>17</v>
      </c>
    </row>
    <row r="503" customFormat="false" ht="15" hidden="false" customHeight="false" outlineLevel="0" collapsed="false">
      <c r="A503" s="2" t="n">
        <v>502</v>
      </c>
      <c r="B503" s="3" t="s">
        <v>1068</v>
      </c>
      <c r="C503" s="3" t="s">
        <v>84</v>
      </c>
      <c r="D503" s="4"/>
      <c r="E503" s="3" t="s">
        <v>15</v>
      </c>
      <c r="F503" s="3" t="s">
        <v>1069</v>
      </c>
      <c r="G503" s="5" t="s">
        <v>16</v>
      </c>
      <c r="H503" s="6"/>
      <c r="I503" s="5"/>
      <c r="J503" s="5"/>
      <c r="K503" s="6"/>
      <c r="L503" s="7"/>
      <c r="M503" s="8" t="s">
        <v>17</v>
      </c>
    </row>
    <row r="504" customFormat="false" ht="15" hidden="false" customHeight="false" outlineLevel="0" collapsed="false">
      <c r="A504" s="2" t="n">
        <v>503</v>
      </c>
      <c r="B504" s="3" t="s">
        <v>1070</v>
      </c>
      <c r="C504" s="3" t="s">
        <v>84</v>
      </c>
      <c r="D504" s="4"/>
      <c r="E504" s="3" t="s">
        <v>15</v>
      </c>
      <c r="F504" s="3" t="s">
        <v>1071</v>
      </c>
      <c r="G504" s="5" t="s">
        <v>16</v>
      </c>
      <c r="H504" s="6"/>
      <c r="I504" s="5"/>
      <c r="J504" s="5"/>
      <c r="K504" s="6"/>
      <c r="L504" s="7"/>
      <c r="M504" s="8" t="s">
        <v>17</v>
      </c>
    </row>
    <row r="505" customFormat="false" ht="15" hidden="false" customHeight="false" outlineLevel="0" collapsed="false">
      <c r="A505" s="2" t="n">
        <v>504</v>
      </c>
      <c r="B505" s="3" t="s">
        <v>1072</v>
      </c>
      <c r="C505" s="3" t="s">
        <v>88</v>
      </c>
      <c r="D505" s="4"/>
      <c r="E505" s="3" t="s">
        <v>15</v>
      </c>
      <c r="F505" s="3" t="s">
        <v>1073</v>
      </c>
      <c r="G505" s="5" t="s">
        <v>16</v>
      </c>
      <c r="H505" s="6"/>
      <c r="I505" s="5"/>
      <c r="J505" s="5"/>
      <c r="K505" s="6"/>
      <c r="L505" s="7"/>
      <c r="M505" s="8" t="s">
        <v>17</v>
      </c>
    </row>
    <row r="506" customFormat="false" ht="15" hidden="false" customHeight="false" outlineLevel="0" collapsed="false">
      <c r="A506" s="2" t="n">
        <v>505</v>
      </c>
      <c r="B506" s="3" t="s">
        <v>1074</v>
      </c>
      <c r="C506" s="3" t="s">
        <v>84</v>
      </c>
      <c r="D506" s="4"/>
      <c r="E506" s="3" t="s">
        <v>15</v>
      </c>
      <c r="F506" s="3" t="s">
        <v>1075</v>
      </c>
      <c r="G506" s="5" t="s">
        <v>16</v>
      </c>
      <c r="H506" s="6"/>
      <c r="I506" s="5"/>
      <c r="J506" s="5"/>
      <c r="K506" s="6"/>
      <c r="L506" s="7"/>
      <c r="M506" s="8" t="s">
        <v>17</v>
      </c>
    </row>
    <row r="507" customFormat="false" ht="15" hidden="false" customHeight="false" outlineLevel="0" collapsed="false">
      <c r="A507" s="2" t="n">
        <v>506</v>
      </c>
      <c r="B507" s="3" t="s">
        <v>1076</v>
      </c>
      <c r="C507" s="3" t="s">
        <v>1077</v>
      </c>
      <c r="D507" s="4"/>
      <c r="E507" s="3" t="s">
        <v>15</v>
      </c>
      <c r="F507" s="3" t="s">
        <v>1078</v>
      </c>
      <c r="G507" s="5" t="s">
        <v>16</v>
      </c>
      <c r="H507" s="6"/>
      <c r="I507" s="5"/>
      <c r="J507" s="5"/>
      <c r="K507" s="6"/>
      <c r="L507" s="7"/>
      <c r="M507" s="8" t="s">
        <v>17</v>
      </c>
    </row>
    <row r="508" customFormat="false" ht="15" hidden="false" customHeight="false" outlineLevel="0" collapsed="false">
      <c r="A508" s="2" t="n">
        <v>507</v>
      </c>
      <c r="B508" s="3" t="s">
        <v>1079</v>
      </c>
      <c r="C508" s="3" t="s">
        <v>84</v>
      </c>
      <c r="D508" s="4"/>
      <c r="E508" s="3" t="s">
        <v>15</v>
      </c>
      <c r="F508" s="3"/>
      <c r="G508" s="5" t="s">
        <v>16</v>
      </c>
      <c r="H508" s="6"/>
      <c r="I508" s="5"/>
      <c r="J508" s="5"/>
      <c r="K508" s="6"/>
      <c r="L508" s="7"/>
      <c r="M508" s="8" t="s">
        <v>17</v>
      </c>
    </row>
    <row r="509" customFormat="false" ht="15" hidden="false" customHeight="false" outlineLevel="0" collapsed="false">
      <c r="A509" s="2" t="n">
        <v>508</v>
      </c>
      <c r="B509" s="3" t="s">
        <v>1080</v>
      </c>
      <c r="C509" s="3" t="s">
        <v>88</v>
      </c>
      <c r="D509" s="4"/>
      <c r="E509" s="3" t="s">
        <v>15</v>
      </c>
      <c r="F509" s="3" t="s">
        <v>1081</v>
      </c>
      <c r="G509" s="5" t="s">
        <v>16</v>
      </c>
      <c r="H509" s="6"/>
      <c r="I509" s="5"/>
      <c r="J509" s="5"/>
      <c r="K509" s="6"/>
      <c r="L509" s="7"/>
      <c r="M509" s="8" t="s">
        <v>17</v>
      </c>
    </row>
    <row r="510" customFormat="false" ht="15" hidden="false" customHeight="false" outlineLevel="0" collapsed="false">
      <c r="A510" s="2" t="n">
        <v>509</v>
      </c>
      <c r="B510" s="3" t="s">
        <v>1082</v>
      </c>
      <c r="C510" s="3" t="s">
        <v>84</v>
      </c>
      <c r="D510" s="4"/>
      <c r="E510" s="3" t="s">
        <v>15</v>
      </c>
      <c r="F510" s="3" t="s">
        <v>1083</v>
      </c>
      <c r="G510" s="5" t="s">
        <v>16</v>
      </c>
      <c r="H510" s="6"/>
      <c r="I510" s="5"/>
      <c r="J510" s="5"/>
      <c r="K510" s="6"/>
      <c r="L510" s="7"/>
      <c r="M510" s="8" t="s">
        <v>17</v>
      </c>
    </row>
    <row r="511" customFormat="false" ht="15" hidden="false" customHeight="false" outlineLevel="0" collapsed="false">
      <c r="A511" s="2" t="n">
        <v>510</v>
      </c>
      <c r="B511" s="3" t="s">
        <v>1084</v>
      </c>
      <c r="C511" s="3" t="s">
        <v>84</v>
      </c>
      <c r="D511" s="4" t="s">
        <v>461</v>
      </c>
      <c r="E511" s="3" t="s">
        <v>15</v>
      </c>
      <c r="F511" s="3" t="s">
        <v>1085</v>
      </c>
      <c r="G511" s="5" t="s">
        <v>16</v>
      </c>
      <c r="H511" s="6"/>
      <c r="I511" s="5"/>
      <c r="J511" s="5"/>
      <c r="K511" s="6"/>
      <c r="L511" s="7"/>
      <c r="M511" s="8" t="s">
        <v>17</v>
      </c>
    </row>
    <row r="512" customFormat="false" ht="15" hidden="false" customHeight="false" outlineLevel="0" collapsed="false">
      <c r="A512" s="2" t="n">
        <v>511</v>
      </c>
      <c r="B512" s="3" t="s">
        <v>1086</v>
      </c>
      <c r="C512" s="3" t="s">
        <v>44</v>
      </c>
      <c r="D512" s="4"/>
      <c r="E512" s="3" t="s">
        <v>15</v>
      </c>
      <c r="F512" s="3"/>
      <c r="G512" s="5" t="s">
        <v>16</v>
      </c>
      <c r="H512" s="6"/>
      <c r="I512" s="5"/>
      <c r="J512" s="5"/>
      <c r="K512" s="6"/>
      <c r="L512" s="7"/>
      <c r="M512" s="8" t="s">
        <v>17</v>
      </c>
    </row>
    <row r="513" customFormat="false" ht="15" hidden="false" customHeight="false" outlineLevel="0" collapsed="false">
      <c r="A513" s="2" t="n">
        <v>512</v>
      </c>
      <c r="B513" s="3" t="s">
        <v>1087</v>
      </c>
      <c r="C513" s="3" t="s">
        <v>1088</v>
      </c>
      <c r="D513" s="4"/>
      <c r="E513" s="3" t="s">
        <v>15</v>
      </c>
      <c r="F513" s="3"/>
      <c r="G513" s="5" t="s">
        <v>16</v>
      </c>
      <c r="H513" s="6"/>
      <c r="I513" s="5"/>
      <c r="J513" s="5"/>
      <c r="K513" s="6"/>
      <c r="L513" s="7"/>
      <c r="M513" s="8" t="s">
        <v>17</v>
      </c>
    </row>
    <row r="514" customFormat="false" ht="15" hidden="false" customHeight="false" outlineLevel="0" collapsed="false">
      <c r="A514" s="2" t="n">
        <v>513</v>
      </c>
      <c r="B514" s="3" t="s">
        <v>1089</v>
      </c>
      <c r="C514" s="3" t="s">
        <v>387</v>
      </c>
      <c r="D514" s="4" t="s">
        <v>1090</v>
      </c>
      <c r="E514" s="3" t="s">
        <v>15</v>
      </c>
      <c r="F514" s="3"/>
      <c r="G514" s="5" t="s">
        <v>16</v>
      </c>
      <c r="H514" s="6"/>
      <c r="I514" s="5"/>
      <c r="J514" s="5"/>
      <c r="K514" s="6"/>
      <c r="L514" s="7"/>
      <c r="M514" s="8" t="s">
        <v>17</v>
      </c>
    </row>
    <row r="515" customFormat="false" ht="15" hidden="false" customHeight="false" outlineLevel="0" collapsed="false">
      <c r="A515" s="2" t="n">
        <v>514</v>
      </c>
      <c r="B515" s="3" t="s">
        <v>1091</v>
      </c>
      <c r="C515" s="3"/>
      <c r="D515" s="4"/>
      <c r="E515" s="3" t="s">
        <v>15</v>
      </c>
      <c r="F515" s="3"/>
      <c r="G515" s="5" t="s">
        <v>16</v>
      </c>
      <c r="H515" s="6"/>
      <c r="I515" s="5"/>
      <c r="J515" s="5"/>
      <c r="K515" s="6"/>
      <c r="L515" s="7"/>
      <c r="M515" s="8" t="s">
        <v>17</v>
      </c>
    </row>
    <row r="516" customFormat="false" ht="15" hidden="false" customHeight="false" outlineLevel="0" collapsed="false">
      <c r="A516" s="2" t="n">
        <v>515</v>
      </c>
      <c r="B516" s="3" t="s">
        <v>1092</v>
      </c>
      <c r="C516" s="3"/>
      <c r="D516" s="4" t="s">
        <v>1093</v>
      </c>
      <c r="E516" s="3" t="s">
        <v>15</v>
      </c>
      <c r="F516" s="3"/>
      <c r="G516" s="5" t="s">
        <v>16</v>
      </c>
      <c r="H516" s="6"/>
      <c r="I516" s="5"/>
      <c r="J516" s="5"/>
      <c r="K516" s="6"/>
      <c r="L516" s="7"/>
      <c r="M516" s="8" t="s">
        <v>17</v>
      </c>
    </row>
    <row r="517" customFormat="false" ht="15" hidden="false" customHeight="false" outlineLevel="0" collapsed="false">
      <c r="A517" s="2" t="n">
        <v>516</v>
      </c>
      <c r="B517" s="3" t="s">
        <v>1094</v>
      </c>
      <c r="C517" s="3" t="s">
        <v>84</v>
      </c>
      <c r="D517" s="4"/>
      <c r="E517" s="3" t="s">
        <v>15</v>
      </c>
      <c r="F517" s="3" t="s">
        <v>1095</v>
      </c>
      <c r="G517" s="5" t="s">
        <v>16</v>
      </c>
      <c r="H517" s="6"/>
      <c r="I517" s="5"/>
      <c r="J517" s="5"/>
      <c r="K517" s="6"/>
      <c r="L517" s="7"/>
      <c r="M517" s="8" t="s">
        <v>17</v>
      </c>
    </row>
    <row r="518" customFormat="false" ht="15" hidden="false" customHeight="false" outlineLevel="0" collapsed="false">
      <c r="A518" s="2" t="n">
        <v>517</v>
      </c>
      <c r="B518" s="3" t="s">
        <v>1096</v>
      </c>
      <c r="C518" s="3" t="s">
        <v>84</v>
      </c>
      <c r="D518" s="4"/>
      <c r="E518" s="3" t="s">
        <v>15</v>
      </c>
      <c r="F518" s="3" t="s">
        <v>1097</v>
      </c>
      <c r="G518" s="5" t="s">
        <v>16</v>
      </c>
      <c r="H518" s="6"/>
      <c r="I518" s="5"/>
      <c r="J518" s="5"/>
      <c r="K518" s="6"/>
      <c r="L518" s="7"/>
      <c r="M518" s="8" t="s">
        <v>17</v>
      </c>
    </row>
    <row r="519" customFormat="false" ht="15" hidden="false" customHeight="false" outlineLevel="0" collapsed="false">
      <c r="A519" s="2" t="n">
        <v>518</v>
      </c>
      <c r="B519" s="3" t="s">
        <v>1098</v>
      </c>
      <c r="C519" s="3"/>
      <c r="D519" s="4"/>
      <c r="E519" s="3" t="s">
        <v>15</v>
      </c>
      <c r="F519" s="3"/>
      <c r="G519" s="5" t="s">
        <v>16</v>
      </c>
      <c r="H519" s="6"/>
      <c r="I519" s="5"/>
      <c r="J519" s="5"/>
      <c r="K519" s="6"/>
      <c r="L519" s="7"/>
      <c r="M519" s="8" t="s">
        <v>17</v>
      </c>
    </row>
    <row r="520" customFormat="false" ht="15" hidden="false" customHeight="false" outlineLevel="0" collapsed="false">
      <c r="A520" s="2" t="n">
        <v>519</v>
      </c>
      <c r="B520" s="3" t="s">
        <v>1099</v>
      </c>
      <c r="C520" s="3"/>
      <c r="D520" s="4"/>
      <c r="E520" s="3" t="s">
        <v>15</v>
      </c>
      <c r="F520" s="3"/>
      <c r="G520" s="5" t="s">
        <v>16</v>
      </c>
      <c r="H520" s="6"/>
      <c r="I520" s="5"/>
      <c r="J520" s="5"/>
      <c r="K520" s="6"/>
      <c r="L520" s="7"/>
      <c r="M520" s="8" t="s">
        <v>17</v>
      </c>
    </row>
    <row r="521" customFormat="false" ht="15" hidden="false" customHeight="false" outlineLevel="0" collapsed="false">
      <c r="A521" s="2" t="n">
        <v>520</v>
      </c>
      <c r="B521" s="3" t="s">
        <v>1100</v>
      </c>
      <c r="C521" s="3" t="s">
        <v>387</v>
      </c>
      <c r="D521" s="4"/>
      <c r="E521" s="3" t="s">
        <v>15</v>
      </c>
      <c r="F521" s="3" t="s">
        <v>389</v>
      </c>
      <c r="G521" s="5" t="s">
        <v>16</v>
      </c>
      <c r="H521" s="6"/>
      <c r="I521" s="5"/>
      <c r="J521" s="5"/>
      <c r="K521" s="6"/>
      <c r="L521" s="7"/>
      <c r="M521" s="8" t="s">
        <v>17</v>
      </c>
    </row>
    <row r="522" customFormat="false" ht="15" hidden="false" customHeight="false" outlineLevel="0" collapsed="false">
      <c r="A522" s="2" t="n">
        <v>521</v>
      </c>
      <c r="B522" s="3" t="s">
        <v>1101</v>
      </c>
      <c r="C522" s="3" t="s">
        <v>84</v>
      </c>
      <c r="D522" s="4" t="s">
        <v>1102</v>
      </c>
      <c r="E522" s="3" t="s">
        <v>15</v>
      </c>
      <c r="F522" s="3" t="s">
        <v>1103</v>
      </c>
      <c r="G522" s="5" t="s">
        <v>16</v>
      </c>
      <c r="H522" s="6"/>
      <c r="I522" s="5"/>
      <c r="J522" s="5"/>
      <c r="K522" s="6"/>
      <c r="L522" s="7"/>
      <c r="M522" s="8" t="s">
        <v>17</v>
      </c>
    </row>
    <row r="523" customFormat="false" ht="15" hidden="false" customHeight="false" outlineLevel="0" collapsed="false">
      <c r="A523" s="2" t="n">
        <v>522</v>
      </c>
      <c r="B523" s="3" t="s">
        <v>1104</v>
      </c>
      <c r="C523" s="3" t="s">
        <v>459</v>
      </c>
      <c r="D523" s="4" t="s">
        <v>1105</v>
      </c>
      <c r="E523" s="3" t="s">
        <v>15</v>
      </c>
      <c r="F523" s="3"/>
      <c r="G523" s="5" t="s">
        <v>16</v>
      </c>
      <c r="H523" s="6"/>
      <c r="I523" s="5"/>
      <c r="J523" s="5"/>
      <c r="K523" s="6"/>
      <c r="L523" s="7"/>
      <c r="M523" s="8" t="s">
        <v>17</v>
      </c>
    </row>
    <row r="524" customFormat="false" ht="15" hidden="false" customHeight="false" outlineLevel="0" collapsed="false">
      <c r="A524" s="2" t="n">
        <v>523</v>
      </c>
      <c r="B524" s="3" t="s">
        <v>1106</v>
      </c>
      <c r="C524" s="3" t="s">
        <v>558</v>
      </c>
      <c r="D524" s="4"/>
      <c r="E524" s="3" t="s">
        <v>15</v>
      </c>
      <c r="F524" s="3" t="s">
        <v>1107</v>
      </c>
      <c r="G524" s="5" t="s">
        <v>16</v>
      </c>
      <c r="H524" s="6"/>
      <c r="I524" s="5"/>
      <c r="J524" s="5"/>
      <c r="K524" s="6"/>
      <c r="L524" s="7"/>
      <c r="M524" s="8" t="s">
        <v>17</v>
      </c>
    </row>
    <row r="525" customFormat="false" ht="15" hidden="false" customHeight="false" outlineLevel="0" collapsed="false">
      <c r="A525" s="2" t="n">
        <v>524</v>
      </c>
      <c r="B525" s="3" t="s">
        <v>1108</v>
      </c>
      <c r="C525" s="3" t="s">
        <v>84</v>
      </c>
      <c r="D525" s="4"/>
      <c r="E525" s="3" t="s">
        <v>15</v>
      </c>
      <c r="F525" s="3" t="s">
        <v>1109</v>
      </c>
      <c r="G525" s="5" t="s">
        <v>16</v>
      </c>
      <c r="H525" s="6"/>
      <c r="I525" s="5"/>
      <c r="J525" s="5"/>
      <c r="K525" s="6"/>
      <c r="L525" s="7"/>
      <c r="M525" s="8" t="s">
        <v>17</v>
      </c>
    </row>
    <row r="526" customFormat="false" ht="15" hidden="false" customHeight="false" outlineLevel="0" collapsed="false">
      <c r="A526" s="2" t="n">
        <v>525</v>
      </c>
      <c r="B526" s="3" t="s">
        <v>1110</v>
      </c>
      <c r="C526" s="3" t="s">
        <v>88</v>
      </c>
      <c r="D526" s="4"/>
      <c r="E526" s="3" t="s">
        <v>15</v>
      </c>
      <c r="F526" s="3" t="s">
        <v>1111</v>
      </c>
      <c r="G526" s="5" t="s">
        <v>16</v>
      </c>
      <c r="H526" s="6"/>
      <c r="I526" s="5"/>
      <c r="J526" s="5"/>
      <c r="K526" s="6"/>
      <c r="L526" s="7"/>
      <c r="M526" s="8" t="s">
        <v>17</v>
      </c>
    </row>
    <row r="527" customFormat="false" ht="15" hidden="false" customHeight="false" outlineLevel="0" collapsed="false">
      <c r="A527" s="2" t="n">
        <v>526</v>
      </c>
      <c r="B527" s="3" t="s">
        <v>1112</v>
      </c>
      <c r="C527" s="3" t="s">
        <v>1113</v>
      </c>
      <c r="D527" s="4"/>
      <c r="E527" s="3" t="s">
        <v>15</v>
      </c>
      <c r="F527" s="3" t="s">
        <v>1114</v>
      </c>
      <c r="G527" s="5" t="s">
        <v>16</v>
      </c>
      <c r="H527" s="6"/>
      <c r="I527" s="5"/>
      <c r="J527" s="5"/>
      <c r="K527" s="6"/>
      <c r="L527" s="7"/>
      <c r="M527" s="8" t="s">
        <v>17</v>
      </c>
    </row>
    <row r="528" customFormat="false" ht="15" hidden="false" customHeight="false" outlineLevel="0" collapsed="false">
      <c r="A528" s="2" t="n">
        <v>527</v>
      </c>
      <c r="B528" s="3" t="s">
        <v>1115</v>
      </c>
      <c r="C528" s="3" t="s">
        <v>124</v>
      </c>
      <c r="D528" s="4"/>
      <c r="E528" s="3" t="s">
        <v>15</v>
      </c>
      <c r="F528" s="3" t="s">
        <v>1116</v>
      </c>
      <c r="G528" s="5" t="s">
        <v>16</v>
      </c>
      <c r="H528" s="6"/>
      <c r="I528" s="5"/>
      <c r="J528" s="5"/>
      <c r="K528" s="6"/>
      <c r="L528" s="7"/>
      <c r="M528" s="8" t="s">
        <v>17</v>
      </c>
    </row>
    <row r="529" customFormat="false" ht="15" hidden="false" customHeight="false" outlineLevel="0" collapsed="false">
      <c r="A529" s="2" t="n">
        <v>528</v>
      </c>
      <c r="B529" s="3" t="s">
        <v>1117</v>
      </c>
      <c r="C529" s="3" t="s">
        <v>38</v>
      </c>
      <c r="D529" s="4"/>
      <c r="E529" s="3" t="s">
        <v>15</v>
      </c>
      <c r="F529" s="3" t="s">
        <v>1118</v>
      </c>
      <c r="G529" s="5" t="s">
        <v>16</v>
      </c>
      <c r="H529" s="6"/>
      <c r="I529" s="5"/>
      <c r="J529" s="5"/>
      <c r="K529" s="6"/>
      <c r="L529" s="7"/>
      <c r="M529" s="8" t="s">
        <v>17</v>
      </c>
    </row>
    <row r="530" customFormat="false" ht="15" hidden="false" customHeight="false" outlineLevel="0" collapsed="false">
      <c r="A530" s="2" t="n">
        <v>529</v>
      </c>
      <c r="B530" s="3" t="s">
        <v>1119</v>
      </c>
      <c r="C530" s="3" t="s">
        <v>387</v>
      </c>
      <c r="D530" s="4"/>
      <c r="E530" s="3" t="s">
        <v>15</v>
      </c>
      <c r="F530" s="3" t="s">
        <v>1120</v>
      </c>
      <c r="G530" s="5" t="s">
        <v>16</v>
      </c>
      <c r="H530" s="6"/>
      <c r="I530" s="5"/>
      <c r="J530" s="5"/>
      <c r="K530" s="6"/>
      <c r="L530" s="7"/>
      <c r="M530" s="8" t="s">
        <v>17</v>
      </c>
    </row>
    <row r="531" customFormat="false" ht="15" hidden="false" customHeight="false" outlineLevel="0" collapsed="false">
      <c r="A531" s="2" t="n">
        <v>530</v>
      </c>
      <c r="B531" s="3" t="s">
        <v>1121</v>
      </c>
      <c r="C531" s="3" t="s">
        <v>141</v>
      </c>
      <c r="D531" s="4"/>
      <c r="E531" s="3" t="s">
        <v>15</v>
      </c>
      <c r="F531" s="3"/>
      <c r="G531" s="5" t="s">
        <v>16</v>
      </c>
      <c r="H531" s="6"/>
      <c r="I531" s="5"/>
      <c r="J531" s="5"/>
      <c r="K531" s="6"/>
      <c r="L531" s="7"/>
      <c r="M531" s="8" t="s">
        <v>17</v>
      </c>
    </row>
    <row r="532" customFormat="false" ht="15" hidden="false" customHeight="false" outlineLevel="0" collapsed="false">
      <c r="A532" s="2" t="n">
        <v>531</v>
      </c>
      <c r="B532" s="3" t="s">
        <v>1122</v>
      </c>
      <c r="C532" s="3"/>
      <c r="D532" s="4" t="s">
        <v>1123</v>
      </c>
      <c r="E532" s="3" t="s">
        <v>15</v>
      </c>
      <c r="F532" s="3" t="s">
        <v>1124</v>
      </c>
      <c r="G532" s="5" t="s">
        <v>16</v>
      </c>
      <c r="H532" s="6"/>
      <c r="I532" s="5"/>
      <c r="J532" s="5"/>
      <c r="K532" s="6"/>
      <c r="L532" s="7"/>
      <c r="M532" s="8" t="s">
        <v>17</v>
      </c>
    </row>
    <row r="533" customFormat="false" ht="15" hidden="false" customHeight="false" outlineLevel="0" collapsed="false">
      <c r="A533" s="2" t="n">
        <v>532</v>
      </c>
      <c r="B533" s="3" t="s">
        <v>1125</v>
      </c>
      <c r="C533" s="3" t="s">
        <v>387</v>
      </c>
      <c r="D533" s="4"/>
      <c r="E533" s="3" t="s">
        <v>15</v>
      </c>
      <c r="F533" s="3"/>
      <c r="G533" s="5" t="s">
        <v>16</v>
      </c>
      <c r="H533" s="6"/>
      <c r="I533" s="5"/>
      <c r="J533" s="5"/>
      <c r="K533" s="6"/>
      <c r="L533" s="7"/>
      <c r="M533" s="8" t="s">
        <v>17</v>
      </c>
    </row>
    <row r="534" customFormat="false" ht="15" hidden="false" customHeight="false" outlineLevel="0" collapsed="false">
      <c r="A534" s="2" t="n">
        <v>533</v>
      </c>
      <c r="B534" s="3" t="s">
        <v>1126</v>
      </c>
      <c r="C534" s="3" t="s">
        <v>1127</v>
      </c>
      <c r="D534" s="4"/>
      <c r="E534" s="3" t="s">
        <v>15</v>
      </c>
      <c r="F534" s="3" t="s">
        <v>1128</v>
      </c>
      <c r="G534" s="5" t="s">
        <v>16</v>
      </c>
      <c r="H534" s="6"/>
      <c r="I534" s="5"/>
      <c r="J534" s="5"/>
      <c r="K534" s="6"/>
      <c r="L534" s="7"/>
      <c r="M534" s="8" t="s">
        <v>17</v>
      </c>
    </row>
    <row r="535" customFormat="false" ht="15" hidden="false" customHeight="false" outlineLevel="0" collapsed="false">
      <c r="A535" s="2" t="n">
        <v>534</v>
      </c>
      <c r="B535" s="3" t="s">
        <v>1129</v>
      </c>
      <c r="C535" s="3"/>
      <c r="D535" s="4"/>
      <c r="E535" s="3" t="s">
        <v>15</v>
      </c>
      <c r="F535" s="3"/>
      <c r="G535" s="5" t="s">
        <v>16</v>
      </c>
      <c r="H535" s="6"/>
      <c r="I535" s="5"/>
      <c r="J535" s="5"/>
      <c r="K535" s="6"/>
      <c r="L535" s="7"/>
      <c r="M535" s="8" t="s">
        <v>17</v>
      </c>
    </row>
    <row r="536" customFormat="false" ht="15" hidden="false" customHeight="false" outlineLevel="0" collapsed="false">
      <c r="A536" s="2" t="n">
        <v>535</v>
      </c>
      <c r="B536" s="3" t="s">
        <v>1130</v>
      </c>
      <c r="C536" s="3"/>
      <c r="D536" s="4"/>
      <c r="E536" s="3" t="s">
        <v>15</v>
      </c>
      <c r="F536" s="3"/>
      <c r="G536" s="5" t="s">
        <v>16</v>
      </c>
      <c r="H536" s="6"/>
      <c r="I536" s="5"/>
      <c r="J536" s="5"/>
      <c r="K536" s="6"/>
      <c r="L536" s="7"/>
      <c r="M536" s="8" t="s">
        <v>17</v>
      </c>
    </row>
    <row r="537" customFormat="false" ht="15" hidden="false" customHeight="false" outlineLevel="0" collapsed="false">
      <c r="A537" s="2" t="n">
        <v>536</v>
      </c>
      <c r="B537" s="3" t="s">
        <v>1131</v>
      </c>
      <c r="C537" s="3" t="s">
        <v>1132</v>
      </c>
      <c r="D537" s="4"/>
      <c r="E537" s="3" t="s">
        <v>15</v>
      </c>
      <c r="F537" s="3"/>
      <c r="G537" s="5" t="s">
        <v>16</v>
      </c>
      <c r="H537" s="6"/>
      <c r="I537" s="5"/>
      <c r="J537" s="5"/>
      <c r="K537" s="6"/>
      <c r="L537" s="7"/>
      <c r="M537" s="8" t="s">
        <v>17</v>
      </c>
    </row>
    <row r="538" customFormat="false" ht="15" hidden="false" customHeight="false" outlineLevel="0" collapsed="false">
      <c r="A538" s="2" t="n">
        <v>537</v>
      </c>
      <c r="B538" s="3" t="s">
        <v>1133</v>
      </c>
      <c r="C538" s="3" t="s">
        <v>75</v>
      </c>
      <c r="D538" s="4"/>
      <c r="E538" s="3" t="s">
        <v>15</v>
      </c>
      <c r="F538" s="3" t="s">
        <v>1134</v>
      </c>
      <c r="G538" s="5" t="s">
        <v>16</v>
      </c>
      <c r="H538" s="6"/>
      <c r="I538" s="5"/>
      <c r="J538" s="5"/>
      <c r="K538" s="6"/>
      <c r="L538" s="7"/>
      <c r="M538" s="8" t="s">
        <v>17</v>
      </c>
    </row>
    <row r="539" customFormat="false" ht="15" hidden="false" customHeight="false" outlineLevel="0" collapsed="false">
      <c r="A539" s="2" t="n">
        <v>538</v>
      </c>
      <c r="B539" s="3" t="s">
        <v>1135</v>
      </c>
      <c r="C539" s="3"/>
      <c r="D539" s="4"/>
      <c r="E539" s="3" t="s">
        <v>15</v>
      </c>
      <c r="F539" s="3" t="s">
        <v>1136</v>
      </c>
      <c r="G539" s="5" t="s">
        <v>16</v>
      </c>
      <c r="H539" s="6"/>
      <c r="I539" s="5"/>
      <c r="J539" s="5"/>
      <c r="K539" s="6"/>
      <c r="L539" s="7"/>
      <c r="M539" s="8" t="s">
        <v>17</v>
      </c>
    </row>
    <row r="540" customFormat="false" ht="15" hidden="false" customHeight="false" outlineLevel="0" collapsed="false">
      <c r="A540" s="2" t="n">
        <v>539</v>
      </c>
      <c r="B540" s="3" t="s">
        <v>1137</v>
      </c>
      <c r="C540" s="3"/>
      <c r="D540" s="4"/>
      <c r="E540" s="3" t="s">
        <v>15</v>
      </c>
      <c r="F540" s="3" t="s">
        <v>1138</v>
      </c>
      <c r="G540" s="5" t="s">
        <v>16</v>
      </c>
      <c r="H540" s="6"/>
      <c r="I540" s="5"/>
      <c r="J540" s="5"/>
      <c r="K540" s="6"/>
      <c r="L540" s="7"/>
      <c r="M540" s="8" t="s">
        <v>17</v>
      </c>
    </row>
    <row r="541" customFormat="false" ht="15" hidden="false" customHeight="false" outlineLevel="0" collapsed="false">
      <c r="A541" s="2" t="n">
        <v>540</v>
      </c>
      <c r="B541" s="3" t="s">
        <v>1139</v>
      </c>
      <c r="C541" s="3" t="s">
        <v>84</v>
      </c>
      <c r="D541" s="4"/>
      <c r="E541" s="3" t="s">
        <v>15</v>
      </c>
      <c r="F541" s="3" t="s">
        <v>1140</v>
      </c>
      <c r="G541" s="5" t="s">
        <v>16</v>
      </c>
      <c r="H541" s="6"/>
      <c r="I541" s="5"/>
      <c r="J541" s="5"/>
      <c r="K541" s="6"/>
      <c r="L541" s="7"/>
      <c r="M541" s="8" t="s">
        <v>17</v>
      </c>
    </row>
    <row r="542" customFormat="false" ht="15" hidden="false" customHeight="false" outlineLevel="0" collapsed="false">
      <c r="A542" s="2" t="n">
        <v>541</v>
      </c>
      <c r="B542" s="3" t="s">
        <v>1141</v>
      </c>
      <c r="C542" s="3"/>
      <c r="D542" s="4"/>
      <c r="E542" s="3" t="s">
        <v>15</v>
      </c>
      <c r="F542" s="3" t="s">
        <v>1142</v>
      </c>
      <c r="G542" s="5" t="s">
        <v>16</v>
      </c>
      <c r="H542" s="6"/>
      <c r="I542" s="5"/>
      <c r="J542" s="5"/>
      <c r="K542" s="6"/>
      <c r="L542" s="7"/>
      <c r="M542" s="8" t="s">
        <v>17</v>
      </c>
    </row>
    <row r="543" customFormat="false" ht="15" hidden="false" customHeight="false" outlineLevel="0" collapsed="false">
      <c r="A543" s="2" t="n">
        <v>542</v>
      </c>
      <c r="B543" s="3" t="s">
        <v>1143</v>
      </c>
      <c r="C543" s="3"/>
      <c r="D543" s="4"/>
      <c r="E543" s="3" t="s">
        <v>15</v>
      </c>
      <c r="F543" s="3"/>
      <c r="G543" s="5" t="s">
        <v>16</v>
      </c>
      <c r="H543" s="6"/>
      <c r="I543" s="5"/>
      <c r="J543" s="5"/>
      <c r="K543" s="6"/>
      <c r="L543" s="7"/>
      <c r="M543" s="8" t="s">
        <v>17</v>
      </c>
    </row>
    <row r="544" customFormat="false" ht="15" hidden="false" customHeight="false" outlineLevel="0" collapsed="false">
      <c r="A544" s="2" t="n">
        <v>543</v>
      </c>
      <c r="B544" s="3" t="s">
        <v>1144</v>
      </c>
      <c r="C544" s="3" t="s">
        <v>84</v>
      </c>
      <c r="D544" s="4"/>
      <c r="E544" s="3" t="s">
        <v>15</v>
      </c>
      <c r="F544" s="3"/>
      <c r="G544" s="5" t="s">
        <v>16</v>
      </c>
      <c r="H544" s="6"/>
      <c r="I544" s="5"/>
      <c r="J544" s="5"/>
      <c r="K544" s="6"/>
      <c r="L544" s="7"/>
      <c r="M544" s="8" t="s">
        <v>17</v>
      </c>
    </row>
    <row r="545" customFormat="false" ht="15" hidden="false" customHeight="false" outlineLevel="0" collapsed="false">
      <c r="A545" s="2" t="n">
        <v>544</v>
      </c>
      <c r="B545" s="3" t="s">
        <v>1145</v>
      </c>
      <c r="C545" s="3"/>
      <c r="D545" s="4"/>
      <c r="E545" s="3" t="s">
        <v>15</v>
      </c>
      <c r="F545" s="3"/>
      <c r="G545" s="5" t="s">
        <v>16</v>
      </c>
      <c r="H545" s="6"/>
      <c r="I545" s="5"/>
      <c r="J545" s="5"/>
      <c r="K545" s="6"/>
      <c r="L545" s="7"/>
      <c r="M545" s="8" t="s">
        <v>17</v>
      </c>
    </row>
    <row r="546" customFormat="false" ht="15" hidden="false" customHeight="false" outlineLevel="0" collapsed="false">
      <c r="A546" s="2" t="n">
        <v>545</v>
      </c>
      <c r="B546" s="3" t="s">
        <v>1146</v>
      </c>
      <c r="C546" s="3" t="s">
        <v>81</v>
      </c>
      <c r="D546" s="4"/>
      <c r="E546" s="3" t="s">
        <v>15</v>
      </c>
      <c r="F546" s="3"/>
      <c r="G546" s="5" t="s">
        <v>16</v>
      </c>
      <c r="H546" s="6"/>
      <c r="I546" s="5"/>
      <c r="J546" s="5"/>
      <c r="K546" s="6"/>
      <c r="L546" s="7"/>
      <c r="M546" s="8" t="s">
        <v>17</v>
      </c>
    </row>
    <row r="547" customFormat="false" ht="15" hidden="false" customHeight="false" outlineLevel="0" collapsed="false">
      <c r="A547" s="2" t="n">
        <v>546</v>
      </c>
      <c r="B547" s="3" t="s">
        <v>1147</v>
      </c>
      <c r="C547" s="3" t="s">
        <v>19</v>
      </c>
      <c r="D547" s="4"/>
      <c r="E547" s="3" t="s">
        <v>15</v>
      </c>
      <c r="F547" s="3" t="s">
        <v>1148</v>
      </c>
      <c r="G547" s="5" t="s">
        <v>16</v>
      </c>
      <c r="H547" s="6"/>
      <c r="I547" s="5"/>
      <c r="J547" s="5"/>
      <c r="K547" s="6"/>
      <c r="L547" s="7"/>
      <c r="M547" s="8" t="s">
        <v>17</v>
      </c>
    </row>
    <row r="548" customFormat="false" ht="15" hidden="false" customHeight="false" outlineLevel="0" collapsed="false">
      <c r="A548" s="2" t="n">
        <v>547</v>
      </c>
      <c r="B548" s="3" t="s">
        <v>1149</v>
      </c>
      <c r="C548" s="3" t="s">
        <v>180</v>
      </c>
      <c r="D548" s="4"/>
      <c r="E548" s="3" t="s">
        <v>15</v>
      </c>
      <c r="F548" s="3"/>
      <c r="G548" s="5" t="s">
        <v>16</v>
      </c>
      <c r="H548" s="6"/>
      <c r="I548" s="5"/>
      <c r="J548" s="5"/>
      <c r="K548" s="6"/>
      <c r="L548" s="7"/>
      <c r="M548" s="8" t="s">
        <v>17</v>
      </c>
    </row>
    <row r="549" customFormat="false" ht="15" hidden="false" customHeight="false" outlineLevel="0" collapsed="false">
      <c r="A549" s="2" t="n">
        <v>548</v>
      </c>
      <c r="B549" s="3" t="s">
        <v>1150</v>
      </c>
      <c r="C549" s="3" t="s">
        <v>44</v>
      </c>
      <c r="D549" s="4"/>
      <c r="E549" s="3" t="s">
        <v>15</v>
      </c>
      <c r="F549" s="3" t="s">
        <v>1151</v>
      </c>
      <c r="G549" s="5" t="s">
        <v>16</v>
      </c>
      <c r="H549" s="6"/>
      <c r="I549" s="5"/>
      <c r="J549" s="5"/>
      <c r="K549" s="6"/>
      <c r="L549" s="7"/>
      <c r="M549" s="8" t="s">
        <v>17</v>
      </c>
    </row>
    <row r="550" customFormat="false" ht="15" hidden="false" customHeight="false" outlineLevel="0" collapsed="false">
      <c r="A550" s="2" t="n">
        <v>549</v>
      </c>
      <c r="B550" s="3" t="s">
        <v>1152</v>
      </c>
      <c r="C550" s="3" t="s">
        <v>84</v>
      </c>
      <c r="D550" s="4"/>
      <c r="E550" s="3" t="s">
        <v>15</v>
      </c>
      <c r="F550" s="3" t="s">
        <v>1153</v>
      </c>
      <c r="G550" s="5" t="s">
        <v>16</v>
      </c>
      <c r="H550" s="6"/>
      <c r="I550" s="5"/>
      <c r="J550" s="5"/>
      <c r="K550" s="6"/>
      <c r="L550" s="7"/>
      <c r="M550" s="8" t="s">
        <v>17</v>
      </c>
    </row>
    <row r="551" customFormat="false" ht="15" hidden="false" customHeight="false" outlineLevel="0" collapsed="false">
      <c r="A551" s="2" t="n">
        <v>550</v>
      </c>
      <c r="B551" s="3" t="s">
        <v>1154</v>
      </c>
      <c r="C551" s="3"/>
      <c r="D551" s="4" t="s">
        <v>1155</v>
      </c>
      <c r="E551" s="3" t="s">
        <v>15</v>
      </c>
      <c r="F551" s="3"/>
      <c r="G551" s="5" t="s">
        <v>16</v>
      </c>
      <c r="H551" s="6"/>
      <c r="I551" s="5"/>
      <c r="J551" s="5"/>
      <c r="K551" s="6"/>
      <c r="L551" s="7"/>
      <c r="M551" s="8" t="s">
        <v>17</v>
      </c>
    </row>
    <row r="552" customFormat="false" ht="15" hidden="false" customHeight="false" outlineLevel="0" collapsed="false">
      <c r="A552" s="2" t="n">
        <v>551</v>
      </c>
      <c r="B552" s="3" t="s">
        <v>1156</v>
      </c>
      <c r="C552" s="3"/>
      <c r="D552" s="4"/>
      <c r="E552" s="3" t="s">
        <v>15</v>
      </c>
      <c r="F552" s="3"/>
      <c r="G552" s="5" t="s">
        <v>16</v>
      </c>
      <c r="H552" s="6"/>
      <c r="I552" s="5"/>
      <c r="J552" s="5"/>
      <c r="K552" s="6"/>
      <c r="L552" s="7"/>
      <c r="M552" s="8" t="s">
        <v>17</v>
      </c>
    </row>
    <row r="553" customFormat="false" ht="15" hidden="false" customHeight="false" outlineLevel="0" collapsed="false">
      <c r="A553" s="2" t="n">
        <v>552</v>
      </c>
      <c r="B553" s="3" t="s">
        <v>1157</v>
      </c>
      <c r="C553" s="3"/>
      <c r="D553" s="4"/>
      <c r="E553" s="3" t="s">
        <v>15</v>
      </c>
      <c r="F553" s="3"/>
      <c r="G553" s="5" t="s">
        <v>16</v>
      </c>
      <c r="H553" s="6"/>
      <c r="I553" s="5"/>
      <c r="J553" s="5"/>
      <c r="K553" s="6"/>
      <c r="L553" s="7"/>
      <c r="M553" s="8" t="s">
        <v>17</v>
      </c>
    </row>
    <row r="554" customFormat="false" ht="15" hidden="false" customHeight="false" outlineLevel="0" collapsed="false">
      <c r="A554" s="2" t="n">
        <v>553</v>
      </c>
      <c r="B554" s="3" t="s">
        <v>1158</v>
      </c>
      <c r="C554" s="3" t="s">
        <v>211</v>
      </c>
      <c r="D554" s="4"/>
      <c r="E554" s="3" t="s">
        <v>15</v>
      </c>
      <c r="F554" s="3"/>
      <c r="G554" s="5" t="s">
        <v>16</v>
      </c>
      <c r="H554" s="6"/>
      <c r="I554" s="5"/>
      <c r="J554" s="5"/>
      <c r="K554" s="6"/>
      <c r="L554" s="7"/>
      <c r="M554" s="8" t="s">
        <v>17</v>
      </c>
    </row>
    <row r="555" customFormat="false" ht="15" hidden="false" customHeight="false" outlineLevel="0" collapsed="false">
      <c r="A555" s="2" t="n">
        <v>554</v>
      </c>
      <c r="B555" s="3" t="s">
        <v>1159</v>
      </c>
      <c r="C555" s="3" t="s">
        <v>84</v>
      </c>
      <c r="D555" s="4"/>
      <c r="E555" s="3" t="s">
        <v>15</v>
      </c>
      <c r="F555" s="3" t="s">
        <v>1160</v>
      </c>
      <c r="G555" s="5" t="s">
        <v>16</v>
      </c>
      <c r="H555" s="6"/>
      <c r="I555" s="5"/>
      <c r="J555" s="5"/>
      <c r="K555" s="6"/>
      <c r="L555" s="7"/>
      <c r="M555" s="8" t="s">
        <v>17</v>
      </c>
    </row>
    <row r="556" customFormat="false" ht="15" hidden="false" customHeight="false" outlineLevel="0" collapsed="false">
      <c r="A556" s="2" t="n">
        <v>555</v>
      </c>
      <c r="B556" s="3" t="s">
        <v>1161</v>
      </c>
      <c r="C556" s="3"/>
      <c r="D556" s="4"/>
      <c r="E556" s="3" t="s">
        <v>15</v>
      </c>
      <c r="F556" s="3"/>
      <c r="G556" s="5" t="s">
        <v>16</v>
      </c>
      <c r="H556" s="6"/>
      <c r="I556" s="5"/>
      <c r="J556" s="5"/>
      <c r="K556" s="6"/>
      <c r="L556" s="7"/>
      <c r="M556" s="8" t="s">
        <v>17</v>
      </c>
    </row>
    <row r="557" customFormat="false" ht="15" hidden="false" customHeight="false" outlineLevel="0" collapsed="false">
      <c r="A557" s="2" t="n">
        <v>556</v>
      </c>
      <c r="B557" s="3" t="s">
        <v>1162</v>
      </c>
      <c r="C557" s="3" t="s">
        <v>88</v>
      </c>
      <c r="D557" s="4"/>
      <c r="E557" s="3" t="s">
        <v>15</v>
      </c>
      <c r="F557" s="3" t="s">
        <v>1163</v>
      </c>
      <c r="G557" s="5" t="s">
        <v>16</v>
      </c>
      <c r="H557" s="6"/>
      <c r="I557" s="5"/>
      <c r="J557" s="5"/>
      <c r="K557" s="6"/>
      <c r="L557" s="7"/>
      <c r="M557" s="8" t="s">
        <v>17</v>
      </c>
    </row>
    <row r="558" customFormat="false" ht="15" hidden="false" customHeight="false" outlineLevel="0" collapsed="false">
      <c r="A558" s="2" t="n">
        <v>557</v>
      </c>
      <c r="B558" s="3" t="s">
        <v>1164</v>
      </c>
      <c r="C558" s="3" t="s">
        <v>383</v>
      </c>
      <c r="D558" s="4"/>
      <c r="E558" s="3" t="s">
        <v>15</v>
      </c>
      <c r="F558" s="3" t="s">
        <v>1165</v>
      </c>
      <c r="G558" s="5" t="s">
        <v>16</v>
      </c>
      <c r="H558" s="6"/>
      <c r="I558" s="5"/>
      <c r="J558" s="5"/>
      <c r="K558" s="6"/>
      <c r="L558" s="7"/>
      <c r="M558" s="8" t="s">
        <v>17</v>
      </c>
    </row>
    <row r="559" customFormat="false" ht="15" hidden="false" customHeight="false" outlineLevel="0" collapsed="false">
      <c r="A559" s="2" t="n">
        <v>558</v>
      </c>
      <c r="B559" s="3" t="s">
        <v>1166</v>
      </c>
      <c r="C559" s="3" t="s">
        <v>44</v>
      </c>
      <c r="D559" s="4" t="s">
        <v>1167</v>
      </c>
      <c r="E559" s="3" t="s">
        <v>15</v>
      </c>
      <c r="F559" s="3" t="s">
        <v>1168</v>
      </c>
      <c r="G559" s="5" t="s">
        <v>16</v>
      </c>
      <c r="H559" s="6"/>
      <c r="I559" s="5"/>
      <c r="J559" s="5"/>
      <c r="K559" s="6"/>
      <c r="L559" s="7"/>
      <c r="M559" s="8" t="s">
        <v>17</v>
      </c>
    </row>
    <row r="560" customFormat="false" ht="15" hidden="false" customHeight="false" outlineLevel="0" collapsed="false">
      <c r="A560" s="2" t="n">
        <v>559</v>
      </c>
      <c r="B560" s="3" t="s">
        <v>1169</v>
      </c>
      <c r="C560" s="3" t="s">
        <v>1170</v>
      </c>
      <c r="D560" s="4"/>
      <c r="E560" s="3" t="s">
        <v>15</v>
      </c>
      <c r="F560" s="3" t="s">
        <v>1171</v>
      </c>
      <c r="G560" s="5" t="s">
        <v>16</v>
      </c>
      <c r="H560" s="6"/>
      <c r="I560" s="5"/>
      <c r="J560" s="5"/>
      <c r="K560" s="6"/>
      <c r="L560" s="7"/>
      <c r="M560" s="8" t="s">
        <v>17</v>
      </c>
    </row>
    <row r="561" customFormat="false" ht="15" hidden="false" customHeight="false" outlineLevel="0" collapsed="false">
      <c r="A561" s="2" t="n">
        <v>560</v>
      </c>
      <c r="B561" s="3" t="s">
        <v>1172</v>
      </c>
      <c r="C561" s="3"/>
      <c r="D561" s="4"/>
      <c r="E561" s="3" t="s">
        <v>15</v>
      </c>
      <c r="F561" s="3" t="s">
        <v>1173</v>
      </c>
      <c r="G561" s="5" t="s">
        <v>16</v>
      </c>
      <c r="H561" s="6"/>
      <c r="I561" s="5"/>
      <c r="J561" s="5"/>
      <c r="K561" s="6"/>
      <c r="L561" s="7"/>
      <c r="M561" s="8" t="s">
        <v>17</v>
      </c>
    </row>
    <row r="562" customFormat="false" ht="15" hidden="false" customHeight="false" outlineLevel="0" collapsed="false">
      <c r="A562" s="2" t="n">
        <v>561</v>
      </c>
      <c r="B562" s="3" t="s">
        <v>1174</v>
      </c>
      <c r="C562" s="3" t="s">
        <v>104</v>
      </c>
      <c r="D562" s="4" t="s">
        <v>1175</v>
      </c>
      <c r="E562" s="3" t="s">
        <v>15</v>
      </c>
      <c r="F562" s="3"/>
      <c r="G562" s="5" t="s">
        <v>16</v>
      </c>
      <c r="H562" s="6"/>
      <c r="I562" s="5"/>
      <c r="J562" s="5"/>
      <c r="K562" s="6"/>
      <c r="L562" s="7"/>
      <c r="M562" s="8" t="s">
        <v>17</v>
      </c>
    </row>
    <row r="563" customFormat="false" ht="15" hidden="false" customHeight="false" outlineLevel="0" collapsed="false">
      <c r="A563" s="2" t="n">
        <v>562</v>
      </c>
      <c r="B563" s="3" t="s">
        <v>1176</v>
      </c>
      <c r="C563" s="3" t="s">
        <v>1177</v>
      </c>
      <c r="D563" s="4" t="s">
        <v>1178</v>
      </c>
      <c r="E563" s="3" t="s">
        <v>15</v>
      </c>
      <c r="F563" s="3" t="s">
        <v>1179</v>
      </c>
      <c r="G563" s="5" t="s">
        <v>16</v>
      </c>
      <c r="H563" s="6"/>
      <c r="I563" s="5"/>
      <c r="J563" s="5"/>
      <c r="K563" s="6"/>
      <c r="L563" s="7"/>
      <c r="M563" s="8" t="s">
        <v>17</v>
      </c>
    </row>
    <row r="564" customFormat="false" ht="15" hidden="false" customHeight="false" outlineLevel="0" collapsed="false">
      <c r="A564" s="2" t="n">
        <v>563</v>
      </c>
      <c r="B564" s="3" t="s">
        <v>1180</v>
      </c>
      <c r="C564" s="3"/>
      <c r="D564" s="4"/>
      <c r="E564" s="3" t="s">
        <v>15</v>
      </c>
      <c r="F564" s="3"/>
      <c r="G564" s="5" t="s">
        <v>16</v>
      </c>
      <c r="H564" s="6"/>
      <c r="I564" s="5"/>
      <c r="J564" s="5"/>
      <c r="K564" s="6"/>
      <c r="L564" s="7"/>
      <c r="M564" s="8" t="s">
        <v>17</v>
      </c>
    </row>
    <row r="565" customFormat="false" ht="15" hidden="false" customHeight="false" outlineLevel="0" collapsed="false">
      <c r="A565" s="2" t="n">
        <v>564</v>
      </c>
      <c r="B565" s="3" t="s">
        <v>1181</v>
      </c>
      <c r="C565" s="3"/>
      <c r="D565" s="4"/>
      <c r="E565" s="3" t="s">
        <v>15</v>
      </c>
      <c r="F565" s="3"/>
      <c r="G565" s="5" t="s">
        <v>16</v>
      </c>
      <c r="H565" s="6"/>
      <c r="I565" s="5"/>
      <c r="J565" s="5"/>
      <c r="K565" s="6"/>
      <c r="L565" s="7"/>
      <c r="M565" s="8" t="s">
        <v>17</v>
      </c>
    </row>
    <row r="566" customFormat="false" ht="15" hidden="false" customHeight="false" outlineLevel="0" collapsed="false">
      <c r="A566" s="2" t="n">
        <v>565</v>
      </c>
      <c r="B566" s="3" t="s">
        <v>1182</v>
      </c>
      <c r="C566" s="3"/>
      <c r="D566" s="4"/>
      <c r="E566" s="3" t="s">
        <v>15</v>
      </c>
      <c r="F566" s="3" t="s">
        <v>1183</v>
      </c>
      <c r="G566" s="5" t="s">
        <v>16</v>
      </c>
      <c r="H566" s="6"/>
      <c r="I566" s="5"/>
      <c r="J566" s="5"/>
      <c r="K566" s="6"/>
      <c r="L566" s="7"/>
      <c r="M566" s="8" t="s">
        <v>17</v>
      </c>
    </row>
    <row r="567" customFormat="false" ht="15" hidden="false" customHeight="false" outlineLevel="0" collapsed="false">
      <c r="A567" s="2" t="n">
        <v>566</v>
      </c>
      <c r="B567" s="3" t="s">
        <v>1184</v>
      </c>
      <c r="C567" s="3" t="s">
        <v>84</v>
      </c>
      <c r="D567" s="4"/>
      <c r="E567" s="3" t="s">
        <v>15</v>
      </c>
      <c r="F567" s="3" t="s">
        <v>1185</v>
      </c>
      <c r="G567" s="5" t="s">
        <v>16</v>
      </c>
      <c r="H567" s="6"/>
      <c r="I567" s="5"/>
      <c r="J567" s="5"/>
      <c r="K567" s="6"/>
      <c r="L567" s="7"/>
      <c r="M567" s="8" t="s">
        <v>17</v>
      </c>
    </row>
    <row r="568" customFormat="false" ht="15" hidden="false" customHeight="false" outlineLevel="0" collapsed="false">
      <c r="A568" s="2" t="n">
        <v>567</v>
      </c>
      <c r="B568" s="3" t="s">
        <v>1186</v>
      </c>
      <c r="C568" s="3" t="s">
        <v>84</v>
      </c>
      <c r="D568" s="4"/>
      <c r="E568" s="3" t="s">
        <v>15</v>
      </c>
      <c r="F568" s="3" t="s">
        <v>1187</v>
      </c>
      <c r="G568" s="5" t="s">
        <v>16</v>
      </c>
      <c r="H568" s="6"/>
      <c r="I568" s="5"/>
      <c r="J568" s="5"/>
      <c r="K568" s="6"/>
      <c r="L568" s="7"/>
      <c r="M568" s="8" t="s">
        <v>17</v>
      </c>
    </row>
    <row r="569" customFormat="false" ht="15" hidden="false" customHeight="false" outlineLevel="0" collapsed="false">
      <c r="A569" s="2" t="n">
        <v>568</v>
      </c>
      <c r="B569" s="3" t="s">
        <v>1188</v>
      </c>
      <c r="C569" s="3"/>
      <c r="D569" s="4"/>
      <c r="E569" s="3" t="s">
        <v>15</v>
      </c>
      <c r="F569" s="3"/>
      <c r="G569" s="5" t="s">
        <v>16</v>
      </c>
      <c r="H569" s="6"/>
      <c r="I569" s="5"/>
      <c r="J569" s="5"/>
      <c r="K569" s="6"/>
      <c r="L569" s="7"/>
      <c r="M569" s="8" t="s">
        <v>17</v>
      </c>
    </row>
    <row r="570" customFormat="false" ht="15" hidden="false" customHeight="false" outlineLevel="0" collapsed="false">
      <c r="A570" s="2" t="n">
        <v>569</v>
      </c>
      <c r="B570" s="3" t="s">
        <v>1189</v>
      </c>
      <c r="C570" s="3"/>
      <c r="D570" s="4"/>
      <c r="E570" s="3" t="s">
        <v>15</v>
      </c>
      <c r="F570" s="3"/>
      <c r="G570" s="5" t="s">
        <v>16</v>
      </c>
      <c r="H570" s="6"/>
      <c r="I570" s="5"/>
      <c r="J570" s="5"/>
      <c r="K570" s="6"/>
      <c r="L570" s="7"/>
      <c r="M570" s="8" t="s">
        <v>17</v>
      </c>
    </row>
    <row r="571" customFormat="false" ht="15" hidden="false" customHeight="false" outlineLevel="0" collapsed="false">
      <c r="A571" s="2" t="n">
        <v>570</v>
      </c>
      <c r="B571" s="3" t="s">
        <v>1190</v>
      </c>
      <c r="C571" s="3" t="s">
        <v>84</v>
      </c>
      <c r="D571" s="4" t="s">
        <v>1191</v>
      </c>
      <c r="E571" s="3" t="s">
        <v>15</v>
      </c>
      <c r="F571" s="3"/>
      <c r="G571" s="5" t="s">
        <v>16</v>
      </c>
      <c r="H571" s="6"/>
      <c r="I571" s="5"/>
      <c r="J571" s="5"/>
      <c r="K571" s="6"/>
      <c r="L571" s="7"/>
      <c r="M571" s="8" t="s">
        <v>17</v>
      </c>
    </row>
    <row r="572" customFormat="false" ht="15" hidden="false" customHeight="false" outlineLevel="0" collapsed="false">
      <c r="A572" s="2" t="n">
        <v>571</v>
      </c>
      <c r="B572" s="3" t="s">
        <v>1192</v>
      </c>
      <c r="C572" s="3" t="s">
        <v>84</v>
      </c>
      <c r="D572" s="4"/>
      <c r="E572" s="3" t="s">
        <v>15</v>
      </c>
      <c r="F572" s="3" t="s">
        <v>1193</v>
      </c>
      <c r="G572" s="5" t="s">
        <v>16</v>
      </c>
      <c r="H572" s="6"/>
      <c r="I572" s="5"/>
      <c r="J572" s="5"/>
      <c r="K572" s="6"/>
      <c r="L572" s="7"/>
      <c r="M572" s="8" t="s">
        <v>17</v>
      </c>
    </row>
    <row r="573" customFormat="false" ht="15" hidden="false" customHeight="false" outlineLevel="0" collapsed="false">
      <c r="A573" s="2" t="n">
        <v>572</v>
      </c>
      <c r="B573" s="3" t="s">
        <v>1194</v>
      </c>
      <c r="C573" s="3" t="s">
        <v>1195</v>
      </c>
      <c r="D573" s="4"/>
      <c r="E573" s="3" t="s">
        <v>15</v>
      </c>
      <c r="F573" s="3"/>
      <c r="G573" s="5" t="s">
        <v>16</v>
      </c>
      <c r="H573" s="6"/>
      <c r="I573" s="5"/>
      <c r="J573" s="5"/>
      <c r="K573" s="6"/>
      <c r="L573" s="7"/>
      <c r="M573" s="8" t="s">
        <v>17</v>
      </c>
    </row>
    <row r="574" customFormat="false" ht="15" hidden="false" customHeight="false" outlineLevel="0" collapsed="false">
      <c r="A574" s="2" t="n">
        <v>573</v>
      </c>
      <c r="B574" s="3" t="s">
        <v>1196</v>
      </c>
      <c r="C574" s="3"/>
      <c r="D574" s="4"/>
      <c r="E574" s="3" t="s">
        <v>15</v>
      </c>
      <c r="F574" s="3" t="s">
        <v>1197</v>
      </c>
      <c r="G574" s="5" t="s">
        <v>16</v>
      </c>
      <c r="H574" s="6"/>
      <c r="I574" s="5"/>
      <c r="J574" s="5"/>
      <c r="K574" s="6"/>
      <c r="L574" s="7"/>
      <c r="M574" s="8" t="s">
        <v>17</v>
      </c>
    </row>
    <row r="575" customFormat="false" ht="15" hidden="false" customHeight="false" outlineLevel="0" collapsed="false">
      <c r="A575" s="2" t="n">
        <v>574</v>
      </c>
      <c r="B575" s="3" t="s">
        <v>1198</v>
      </c>
      <c r="C575" s="3"/>
      <c r="D575" s="4" t="s">
        <v>1199</v>
      </c>
      <c r="E575" s="3" t="s">
        <v>15</v>
      </c>
      <c r="F575" s="3" t="s">
        <v>1200</v>
      </c>
      <c r="G575" s="5" t="s">
        <v>16</v>
      </c>
      <c r="H575" s="6"/>
      <c r="I575" s="5"/>
      <c r="J575" s="5"/>
      <c r="K575" s="6"/>
      <c r="L575" s="7"/>
      <c r="M575" s="8" t="s">
        <v>17</v>
      </c>
    </row>
    <row r="576" customFormat="false" ht="15" hidden="false" customHeight="false" outlineLevel="0" collapsed="false">
      <c r="A576" s="2" t="n">
        <v>575</v>
      </c>
      <c r="B576" s="3" t="s">
        <v>1201</v>
      </c>
      <c r="C576" s="3" t="s">
        <v>46</v>
      </c>
      <c r="D576" s="4"/>
      <c r="E576" s="3" t="s">
        <v>15</v>
      </c>
      <c r="F576" s="3" t="s">
        <v>1202</v>
      </c>
      <c r="G576" s="5" t="s">
        <v>16</v>
      </c>
      <c r="H576" s="6"/>
      <c r="I576" s="5"/>
      <c r="J576" s="5"/>
      <c r="K576" s="6"/>
      <c r="L576" s="7"/>
      <c r="M576" s="8" t="s">
        <v>17</v>
      </c>
    </row>
    <row r="577" customFormat="false" ht="15" hidden="false" customHeight="false" outlineLevel="0" collapsed="false">
      <c r="A577" s="2" t="n">
        <v>576</v>
      </c>
      <c r="B577" s="3" t="s">
        <v>1203</v>
      </c>
      <c r="C577" s="3" t="s">
        <v>84</v>
      </c>
      <c r="D577" s="4" t="s">
        <v>1204</v>
      </c>
      <c r="E577" s="3" t="s">
        <v>15</v>
      </c>
      <c r="F577" s="3" t="s">
        <v>1205</v>
      </c>
      <c r="G577" s="5" t="s">
        <v>16</v>
      </c>
      <c r="H577" s="6"/>
      <c r="I577" s="5"/>
      <c r="J577" s="5"/>
      <c r="K577" s="6"/>
      <c r="L577" s="7"/>
      <c r="M577" s="8" t="s">
        <v>17</v>
      </c>
    </row>
    <row r="578" customFormat="false" ht="15" hidden="false" customHeight="false" outlineLevel="0" collapsed="false">
      <c r="A578" s="2" t="n">
        <v>577</v>
      </c>
      <c r="B578" s="3" t="s">
        <v>1206</v>
      </c>
      <c r="C578" s="3"/>
      <c r="D578" s="4"/>
      <c r="E578" s="3" t="s">
        <v>15</v>
      </c>
      <c r="F578" s="3"/>
      <c r="G578" s="5" t="s">
        <v>16</v>
      </c>
      <c r="H578" s="6"/>
      <c r="I578" s="5"/>
      <c r="J578" s="5"/>
      <c r="K578" s="6"/>
      <c r="L578" s="7"/>
      <c r="M578" s="8" t="s">
        <v>17</v>
      </c>
    </row>
    <row r="579" customFormat="false" ht="15" hidden="false" customHeight="false" outlineLevel="0" collapsed="false">
      <c r="A579" s="2" t="n">
        <v>578</v>
      </c>
      <c r="B579" s="3" t="s">
        <v>1207</v>
      </c>
      <c r="C579" s="3" t="s">
        <v>1208</v>
      </c>
      <c r="D579" s="4"/>
      <c r="E579" s="3" t="s">
        <v>15</v>
      </c>
      <c r="F579" s="3" t="s">
        <v>1209</v>
      </c>
      <c r="G579" s="5" t="s">
        <v>16</v>
      </c>
      <c r="H579" s="6"/>
      <c r="I579" s="5"/>
      <c r="J579" s="5"/>
      <c r="K579" s="6"/>
      <c r="L579" s="7"/>
      <c r="M579" s="8" t="s">
        <v>17</v>
      </c>
    </row>
    <row r="580" customFormat="false" ht="15" hidden="false" customHeight="false" outlineLevel="0" collapsed="false">
      <c r="A580" s="2" t="n">
        <v>579</v>
      </c>
      <c r="B580" s="3" t="s">
        <v>1210</v>
      </c>
      <c r="C580" s="3" t="s">
        <v>84</v>
      </c>
      <c r="D580" s="4" t="s">
        <v>1211</v>
      </c>
      <c r="E580" s="3" t="s">
        <v>15</v>
      </c>
      <c r="F580" s="3" t="s">
        <v>1212</v>
      </c>
      <c r="G580" s="5" t="s">
        <v>16</v>
      </c>
      <c r="H580" s="6"/>
      <c r="I580" s="5"/>
      <c r="J580" s="5"/>
      <c r="K580" s="6"/>
      <c r="L580" s="7"/>
      <c r="M580" s="8" t="s">
        <v>17</v>
      </c>
    </row>
    <row r="581" customFormat="false" ht="15" hidden="false" customHeight="false" outlineLevel="0" collapsed="false">
      <c r="A581" s="2" t="n">
        <v>580</v>
      </c>
      <c r="B581" s="3" t="s">
        <v>1213</v>
      </c>
      <c r="C581" s="3" t="s">
        <v>84</v>
      </c>
      <c r="D581" s="4" t="s">
        <v>1214</v>
      </c>
      <c r="E581" s="3" t="s">
        <v>15</v>
      </c>
      <c r="F581" s="3" t="s">
        <v>1215</v>
      </c>
      <c r="G581" s="5" t="s">
        <v>16</v>
      </c>
      <c r="H581" s="6"/>
      <c r="I581" s="5"/>
      <c r="J581" s="5"/>
      <c r="K581" s="6"/>
      <c r="L581" s="7"/>
      <c r="M581" s="8" t="s">
        <v>17</v>
      </c>
    </row>
    <row r="582" customFormat="false" ht="15" hidden="false" customHeight="false" outlineLevel="0" collapsed="false">
      <c r="A582" s="2" t="n">
        <v>581</v>
      </c>
      <c r="B582" s="3" t="s">
        <v>1216</v>
      </c>
      <c r="C582" s="3"/>
      <c r="D582" s="4" t="s">
        <v>813</v>
      </c>
      <c r="E582" s="3" t="s">
        <v>15</v>
      </c>
      <c r="F582" s="3"/>
      <c r="G582" s="5" t="s">
        <v>16</v>
      </c>
      <c r="H582" s="6"/>
      <c r="I582" s="5"/>
      <c r="J582" s="5"/>
      <c r="K582" s="6"/>
      <c r="L582" s="7"/>
      <c r="M582" s="8" t="s">
        <v>17</v>
      </c>
    </row>
    <row r="583" customFormat="false" ht="15" hidden="false" customHeight="false" outlineLevel="0" collapsed="false">
      <c r="A583" s="2" t="n">
        <v>582</v>
      </c>
      <c r="B583" s="3" t="s">
        <v>1217</v>
      </c>
      <c r="C583" s="3"/>
      <c r="D583" s="4" t="s">
        <v>1218</v>
      </c>
      <c r="E583" s="3" t="s">
        <v>15</v>
      </c>
      <c r="F583" s="3" t="s">
        <v>1219</v>
      </c>
      <c r="G583" s="5" t="s">
        <v>16</v>
      </c>
      <c r="H583" s="6"/>
      <c r="I583" s="5"/>
      <c r="J583" s="5"/>
      <c r="K583" s="6"/>
      <c r="L583" s="7"/>
      <c r="M583" s="8" t="s">
        <v>17</v>
      </c>
    </row>
    <row r="584" customFormat="false" ht="15" hidden="false" customHeight="false" outlineLevel="0" collapsed="false">
      <c r="A584" s="2" t="n">
        <v>583</v>
      </c>
      <c r="B584" s="3" t="s">
        <v>1220</v>
      </c>
      <c r="C584" s="3" t="s">
        <v>1221</v>
      </c>
      <c r="D584" s="4"/>
      <c r="E584" s="3" t="s">
        <v>15</v>
      </c>
      <c r="F584" s="3" t="s">
        <v>1222</v>
      </c>
      <c r="G584" s="5" t="s">
        <v>16</v>
      </c>
      <c r="H584" s="6"/>
      <c r="I584" s="5"/>
      <c r="J584" s="5"/>
      <c r="K584" s="6"/>
      <c r="L584" s="7"/>
      <c r="M584" s="8" t="s">
        <v>17</v>
      </c>
    </row>
    <row r="585" customFormat="false" ht="15" hidden="false" customHeight="false" outlineLevel="0" collapsed="false">
      <c r="A585" s="2" t="n">
        <v>584</v>
      </c>
      <c r="B585" s="3" t="s">
        <v>1223</v>
      </c>
      <c r="C585" s="3" t="s">
        <v>104</v>
      </c>
      <c r="D585" s="4"/>
      <c r="E585" s="3" t="s">
        <v>15</v>
      </c>
      <c r="F585" s="3" t="s">
        <v>1224</v>
      </c>
      <c r="G585" s="5" t="s">
        <v>16</v>
      </c>
      <c r="H585" s="6"/>
      <c r="I585" s="5"/>
      <c r="J585" s="5"/>
      <c r="K585" s="6"/>
      <c r="L585" s="7"/>
      <c r="M585" s="8" t="s">
        <v>17</v>
      </c>
    </row>
    <row r="586" customFormat="false" ht="15" hidden="false" customHeight="false" outlineLevel="0" collapsed="false">
      <c r="A586" s="2" t="n">
        <v>585</v>
      </c>
      <c r="B586" s="3" t="s">
        <v>1225</v>
      </c>
      <c r="C586" s="3" t="s">
        <v>387</v>
      </c>
      <c r="D586" s="4"/>
      <c r="E586" s="3" t="s">
        <v>15</v>
      </c>
      <c r="F586" s="3"/>
      <c r="G586" s="5" t="s">
        <v>16</v>
      </c>
      <c r="H586" s="6"/>
      <c r="I586" s="5"/>
      <c r="J586" s="5"/>
      <c r="K586" s="6"/>
      <c r="L586" s="7"/>
      <c r="M586" s="8" t="s">
        <v>17</v>
      </c>
    </row>
    <row r="587" customFormat="false" ht="15" hidden="false" customHeight="false" outlineLevel="0" collapsed="false">
      <c r="A587" s="2" t="n">
        <v>586</v>
      </c>
      <c r="B587" s="3" t="s">
        <v>1226</v>
      </c>
      <c r="C587" s="3" t="s">
        <v>104</v>
      </c>
      <c r="D587" s="4"/>
      <c r="E587" s="3" t="s">
        <v>15</v>
      </c>
      <c r="F587" s="3" t="s">
        <v>1227</v>
      </c>
      <c r="G587" s="5" t="s">
        <v>16</v>
      </c>
      <c r="H587" s="6"/>
      <c r="I587" s="5"/>
      <c r="J587" s="5"/>
      <c r="K587" s="6"/>
      <c r="L587" s="7"/>
      <c r="M587" s="8" t="s">
        <v>17</v>
      </c>
    </row>
    <row r="588" customFormat="false" ht="15" hidden="false" customHeight="false" outlineLevel="0" collapsed="false">
      <c r="A588" s="2" t="n">
        <v>587</v>
      </c>
      <c r="B588" s="3" t="s">
        <v>1228</v>
      </c>
      <c r="C588" s="3" t="s">
        <v>1229</v>
      </c>
      <c r="D588" s="4"/>
      <c r="E588" s="3" t="s">
        <v>15</v>
      </c>
      <c r="F588" s="3" t="s">
        <v>1227</v>
      </c>
      <c r="G588" s="5" t="s">
        <v>16</v>
      </c>
      <c r="H588" s="6"/>
      <c r="I588" s="5"/>
      <c r="J588" s="5"/>
      <c r="K588" s="6"/>
      <c r="L588" s="7"/>
      <c r="M588" s="8" t="s">
        <v>17</v>
      </c>
    </row>
    <row r="589" customFormat="false" ht="15" hidden="false" customHeight="false" outlineLevel="0" collapsed="false">
      <c r="A589" s="2" t="n">
        <v>588</v>
      </c>
      <c r="B589" s="3" t="s">
        <v>1230</v>
      </c>
      <c r="C589" s="3" t="s">
        <v>1231</v>
      </c>
      <c r="D589" s="4" t="s">
        <v>1232</v>
      </c>
      <c r="E589" s="3" t="s">
        <v>15</v>
      </c>
      <c r="F589" s="3"/>
      <c r="G589" s="5" t="s">
        <v>16</v>
      </c>
      <c r="H589" s="6"/>
      <c r="I589" s="5"/>
      <c r="J589" s="5"/>
      <c r="K589" s="6"/>
      <c r="L589" s="7"/>
      <c r="M589" s="8" t="s">
        <v>17</v>
      </c>
    </row>
    <row r="590" customFormat="false" ht="15" hidden="false" customHeight="false" outlineLevel="0" collapsed="false">
      <c r="A590" s="2" t="n">
        <v>589</v>
      </c>
      <c r="B590" s="3" t="s">
        <v>1233</v>
      </c>
      <c r="C590" s="3" t="s">
        <v>459</v>
      </c>
      <c r="D590" s="4"/>
      <c r="E590" s="3" t="s">
        <v>15</v>
      </c>
      <c r="F590" s="3" t="s">
        <v>1234</v>
      </c>
      <c r="G590" s="5" t="s">
        <v>16</v>
      </c>
      <c r="H590" s="6"/>
      <c r="I590" s="5"/>
      <c r="J590" s="5"/>
      <c r="K590" s="6"/>
      <c r="L590" s="7"/>
      <c r="M590" s="8" t="s">
        <v>17</v>
      </c>
    </row>
    <row r="591" customFormat="false" ht="15" hidden="false" customHeight="false" outlineLevel="0" collapsed="false">
      <c r="A591" s="2" t="n">
        <v>590</v>
      </c>
      <c r="B591" s="3" t="s">
        <v>1235</v>
      </c>
      <c r="C591" s="3" t="s">
        <v>1236</v>
      </c>
      <c r="D591" s="4"/>
      <c r="E591" s="3" t="s">
        <v>15</v>
      </c>
      <c r="F591" s="3" t="s">
        <v>1237</v>
      </c>
      <c r="G591" s="5" t="s">
        <v>16</v>
      </c>
      <c r="H591" s="6"/>
      <c r="I591" s="5"/>
      <c r="J591" s="5"/>
      <c r="K591" s="6"/>
      <c r="L591" s="7"/>
      <c r="M591" s="8" t="s">
        <v>17</v>
      </c>
    </row>
    <row r="592" customFormat="false" ht="15" hidden="false" customHeight="false" outlineLevel="0" collapsed="false">
      <c r="A592" s="2" t="n">
        <v>591</v>
      </c>
      <c r="B592" s="3" t="s">
        <v>1238</v>
      </c>
      <c r="C592" s="3" t="s">
        <v>208</v>
      </c>
      <c r="D592" s="4"/>
      <c r="E592" s="3" t="s">
        <v>15</v>
      </c>
      <c r="F592" s="3"/>
      <c r="G592" s="5" t="s">
        <v>16</v>
      </c>
      <c r="H592" s="6"/>
      <c r="I592" s="5"/>
      <c r="J592" s="5"/>
      <c r="K592" s="6"/>
      <c r="L592" s="7"/>
      <c r="M592" s="8" t="s">
        <v>17</v>
      </c>
    </row>
    <row r="593" customFormat="false" ht="15" hidden="false" customHeight="false" outlineLevel="0" collapsed="false">
      <c r="A593" s="2" t="n">
        <v>592</v>
      </c>
      <c r="B593" s="3" t="s">
        <v>1239</v>
      </c>
      <c r="C593" s="3" t="s">
        <v>84</v>
      </c>
      <c r="D593" s="4"/>
      <c r="E593" s="3" t="s">
        <v>15</v>
      </c>
      <c r="F593" s="3" t="s">
        <v>1240</v>
      </c>
      <c r="G593" s="5" t="s">
        <v>16</v>
      </c>
      <c r="H593" s="6"/>
      <c r="I593" s="5"/>
      <c r="J593" s="5"/>
      <c r="K593" s="6"/>
      <c r="L593" s="7"/>
      <c r="M593" s="8" t="s">
        <v>17</v>
      </c>
    </row>
    <row r="594" customFormat="false" ht="15" hidden="false" customHeight="false" outlineLevel="0" collapsed="false">
      <c r="A594" s="2" t="n">
        <v>593</v>
      </c>
      <c r="B594" s="3" t="s">
        <v>1241</v>
      </c>
      <c r="C594" s="3" t="s">
        <v>1242</v>
      </c>
      <c r="D594" s="4"/>
      <c r="E594" s="3" t="s">
        <v>15</v>
      </c>
      <c r="F594" s="3"/>
      <c r="G594" s="5" t="s">
        <v>16</v>
      </c>
      <c r="H594" s="6"/>
      <c r="I594" s="5"/>
      <c r="J594" s="5"/>
      <c r="K594" s="6"/>
      <c r="L594" s="7"/>
      <c r="M594" s="8" t="s">
        <v>17</v>
      </c>
    </row>
    <row r="595" customFormat="false" ht="15" hidden="false" customHeight="false" outlineLevel="0" collapsed="false">
      <c r="A595" s="2" t="n">
        <v>594</v>
      </c>
      <c r="B595" s="3" t="s">
        <v>1243</v>
      </c>
      <c r="C595" s="3" t="s">
        <v>84</v>
      </c>
      <c r="D595" s="4"/>
      <c r="E595" s="3" t="s">
        <v>15</v>
      </c>
      <c r="F595" s="3"/>
      <c r="G595" s="5" t="s">
        <v>16</v>
      </c>
      <c r="H595" s="6"/>
      <c r="I595" s="5"/>
      <c r="J595" s="5"/>
      <c r="K595" s="6"/>
      <c r="L595" s="7"/>
      <c r="M595" s="8" t="s">
        <v>17</v>
      </c>
    </row>
    <row r="596" customFormat="false" ht="15" hidden="false" customHeight="false" outlineLevel="0" collapsed="false">
      <c r="A596" s="2" t="n">
        <v>595</v>
      </c>
      <c r="B596" s="3" t="s">
        <v>1244</v>
      </c>
      <c r="C596" s="3"/>
      <c r="D596" s="4"/>
      <c r="E596" s="3" t="s">
        <v>15</v>
      </c>
      <c r="F596" s="3"/>
      <c r="G596" s="5" t="s">
        <v>16</v>
      </c>
      <c r="H596" s="6"/>
      <c r="I596" s="5"/>
      <c r="J596" s="5"/>
      <c r="K596" s="6"/>
      <c r="L596" s="7"/>
      <c r="M596" s="8" t="s">
        <v>17</v>
      </c>
    </row>
    <row r="597" customFormat="false" ht="15" hidden="false" customHeight="false" outlineLevel="0" collapsed="false">
      <c r="A597" s="2" t="n">
        <v>596</v>
      </c>
      <c r="B597" s="3" t="s">
        <v>1245</v>
      </c>
      <c r="C597" s="3"/>
      <c r="D597" s="4"/>
      <c r="E597" s="3" t="s">
        <v>15</v>
      </c>
      <c r="F597" s="3"/>
      <c r="G597" s="5" t="s">
        <v>16</v>
      </c>
      <c r="H597" s="6"/>
      <c r="I597" s="5"/>
      <c r="J597" s="5"/>
      <c r="K597" s="6"/>
      <c r="L597" s="7"/>
      <c r="M597" s="8" t="s">
        <v>17</v>
      </c>
    </row>
    <row r="598" customFormat="false" ht="15" hidden="false" customHeight="false" outlineLevel="0" collapsed="false">
      <c r="A598" s="2" t="n">
        <v>597</v>
      </c>
      <c r="B598" s="3" t="s">
        <v>1246</v>
      </c>
      <c r="C598" s="3" t="s">
        <v>84</v>
      </c>
      <c r="D598" s="4" t="s">
        <v>1247</v>
      </c>
      <c r="E598" s="3" t="s">
        <v>15</v>
      </c>
      <c r="F598" s="3" t="s">
        <v>1248</v>
      </c>
      <c r="G598" s="5" t="s">
        <v>16</v>
      </c>
      <c r="H598" s="6"/>
      <c r="I598" s="5"/>
      <c r="J598" s="5"/>
      <c r="K598" s="6"/>
      <c r="L598" s="7"/>
      <c r="M598" s="8" t="s">
        <v>17</v>
      </c>
    </row>
    <row r="599" customFormat="false" ht="15" hidden="false" customHeight="false" outlineLevel="0" collapsed="false">
      <c r="A599" s="2" t="n">
        <v>598</v>
      </c>
      <c r="B599" s="3" t="s">
        <v>1249</v>
      </c>
      <c r="C599" s="3" t="s">
        <v>64</v>
      </c>
      <c r="D599" s="4" t="s">
        <v>1250</v>
      </c>
      <c r="E599" s="3" t="s">
        <v>15</v>
      </c>
      <c r="F599" s="3" t="s">
        <v>1251</v>
      </c>
      <c r="G599" s="5" t="s">
        <v>16</v>
      </c>
      <c r="H599" s="6"/>
      <c r="I599" s="5"/>
      <c r="J599" s="5"/>
      <c r="K599" s="6"/>
      <c r="L599" s="7"/>
      <c r="M599" s="8" t="s">
        <v>17</v>
      </c>
    </row>
    <row r="600" customFormat="false" ht="15" hidden="false" customHeight="false" outlineLevel="0" collapsed="false">
      <c r="A600" s="2" t="n">
        <v>599</v>
      </c>
      <c r="B600" s="3" t="s">
        <v>1252</v>
      </c>
      <c r="C600" s="3"/>
      <c r="D600" s="4"/>
      <c r="E600" s="3" t="s">
        <v>15</v>
      </c>
      <c r="F600" s="3" t="s">
        <v>1253</v>
      </c>
      <c r="G600" s="5" t="s">
        <v>16</v>
      </c>
      <c r="H600" s="6"/>
      <c r="I600" s="5"/>
      <c r="J600" s="5"/>
      <c r="K600" s="6"/>
      <c r="L600" s="7"/>
      <c r="M600" s="8" t="s">
        <v>17</v>
      </c>
    </row>
    <row r="601" customFormat="false" ht="15" hidden="false" customHeight="false" outlineLevel="0" collapsed="false">
      <c r="A601" s="2" t="n">
        <v>600</v>
      </c>
      <c r="B601" s="3" t="s">
        <v>1254</v>
      </c>
      <c r="C601" s="3" t="s">
        <v>104</v>
      </c>
      <c r="D601" s="4"/>
      <c r="E601" s="3" t="s">
        <v>15</v>
      </c>
      <c r="F601" s="3" t="s">
        <v>1255</v>
      </c>
      <c r="G601" s="5" t="s">
        <v>16</v>
      </c>
      <c r="H601" s="6"/>
      <c r="I601" s="5"/>
      <c r="J601" s="5"/>
      <c r="K601" s="6"/>
      <c r="L601" s="7"/>
      <c r="M601" s="8" t="s">
        <v>17</v>
      </c>
    </row>
    <row r="602" customFormat="false" ht="15" hidden="false" customHeight="false" outlineLevel="0" collapsed="false">
      <c r="A602" s="2" t="n">
        <v>601</v>
      </c>
      <c r="B602" s="3" t="s">
        <v>1256</v>
      </c>
      <c r="C602" s="3" t="s">
        <v>387</v>
      </c>
      <c r="D602" s="4"/>
      <c r="E602" s="3" t="s">
        <v>15</v>
      </c>
      <c r="F602" s="3"/>
      <c r="G602" s="5" t="s">
        <v>16</v>
      </c>
      <c r="H602" s="6"/>
      <c r="I602" s="5"/>
      <c r="J602" s="5"/>
      <c r="K602" s="6"/>
      <c r="L602" s="7"/>
      <c r="M602" s="8" t="s">
        <v>17</v>
      </c>
    </row>
    <row r="603" customFormat="false" ht="15" hidden="false" customHeight="false" outlineLevel="0" collapsed="false">
      <c r="A603" s="2" t="n">
        <v>602</v>
      </c>
      <c r="B603" s="3" t="s">
        <v>1257</v>
      </c>
      <c r="C603" s="3"/>
      <c r="D603" s="4" t="s">
        <v>1258</v>
      </c>
      <c r="E603" s="3" t="s">
        <v>15</v>
      </c>
      <c r="F603" s="3" t="s">
        <v>1259</v>
      </c>
      <c r="G603" s="5" t="s">
        <v>16</v>
      </c>
      <c r="H603" s="6"/>
      <c r="I603" s="5"/>
      <c r="J603" s="5"/>
      <c r="K603" s="6"/>
      <c r="L603" s="7"/>
      <c r="M603" s="8" t="s">
        <v>17</v>
      </c>
    </row>
    <row r="604" customFormat="false" ht="15" hidden="false" customHeight="false" outlineLevel="0" collapsed="false">
      <c r="A604" s="2" t="n">
        <v>603</v>
      </c>
      <c r="B604" s="3" t="s">
        <v>1260</v>
      </c>
      <c r="C604" s="3" t="s">
        <v>84</v>
      </c>
      <c r="D604" s="4" t="s">
        <v>1261</v>
      </c>
      <c r="E604" s="3" t="s">
        <v>15</v>
      </c>
      <c r="F604" s="3"/>
      <c r="G604" s="5" t="s">
        <v>16</v>
      </c>
      <c r="H604" s="6"/>
      <c r="I604" s="5"/>
      <c r="J604" s="5"/>
      <c r="K604" s="6"/>
      <c r="L604" s="7"/>
      <c r="M604" s="8" t="s">
        <v>17</v>
      </c>
    </row>
    <row r="605" customFormat="false" ht="15" hidden="false" customHeight="false" outlineLevel="0" collapsed="false">
      <c r="A605" s="2" t="n">
        <v>604</v>
      </c>
      <c r="B605" s="3" t="s">
        <v>1262</v>
      </c>
      <c r="C605" s="3" t="s">
        <v>84</v>
      </c>
      <c r="D605" s="4"/>
      <c r="E605" s="3" t="s">
        <v>15</v>
      </c>
      <c r="F605" s="3" t="s">
        <v>1263</v>
      </c>
      <c r="G605" s="5" t="s">
        <v>16</v>
      </c>
      <c r="H605" s="6"/>
      <c r="I605" s="5"/>
      <c r="J605" s="5"/>
      <c r="K605" s="6"/>
      <c r="L605" s="7"/>
      <c r="M605" s="8" t="s">
        <v>17</v>
      </c>
    </row>
    <row r="606" customFormat="false" ht="15" hidden="false" customHeight="false" outlineLevel="0" collapsed="false">
      <c r="A606" s="2" t="n">
        <v>605</v>
      </c>
      <c r="B606" s="3" t="s">
        <v>1264</v>
      </c>
      <c r="C606" s="3" t="s">
        <v>19</v>
      </c>
      <c r="D606" s="4" t="s">
        <v>1265</v>
      </c>
      <c r="E606" s="3" t="s">
        <v>15</v>
      </c>
      <c r="F606" s="3" t="s">
        <v>1266</v>
      </c>
      <c r="G606" s="5" t="s">
        <v>16</v>
      </c>
      <c r="H606" s="6"/>
      <c r="I606" s="5"/>
      <c r="J606" s="5"/>
      <c r="K606" s="6"/>
      <c r="L606" s="7"/>
      <c r="M606" s="8" t="s">
        <v>17</v>
      </c>
    </row>
    <row r="607" customFormat="false" ht="15" hidden="false" customHeight="false" outlineLevel="0" collapsed="false">
      <c r="A607" s="2" t="n">
        <v>606</v>
      </c>
      <c r="B607" s="3" t="s">
        <v>1267</v>
      </c>
      <c r="C607" s="3" t="s">
        <v>84</v>
      </c>
      <c r="D607" s="4"/>
      <c r="E607" s="3" t="s">
        <v>15</v>
      </c>
      <c r="F607" s="3" t="s">
        <v>1268</v>
      </c>
      <c r="G607" s="5" t="s">
        <v>16</v>
      </c>
      <c r="H607" s="6"/>
      <c r="I607" s="5"/>
      <c r="J607" s="5"/>
      <c r="K607" s="6"/>
      <c r="L607" s="7"/>
      <c r="M607" s="8" t="s">
        <v>17</v>
      </c>
    </row>
    <row r="608" customFormat="false" ht="15" hidden="false" customHeight="false" outlineLevel="0" collapsed="false">
      <c r="A608" s="2" t="n">
        <v>607</v>
      </c>
      <c r="B608" s="3" t="s">
        <v>1269</v>
      </c>
      <c r="C608" s="3"/>
      <c r="D608" s="4"/>
      <c r="E608" s="3" t="s">
        <v>15</v>
      </c>
      <c r="F608" s="3"/>
      <c r="G608" s="5" t="s">
        <v>16</v>
      </c>
      <c r="H608" s="6"/>
      <c r="I608" s="5"/>
      <c r="J608" s="5"/>
      <c r="K608" s="6"/>
      <c r="L608" s="7"/>
      <c r="M608" s="8" t="s">
        <v>17</v>
      </c>
    </row>
    <row r="609" customFormat="false" ht="15" hidden="false" customHeight="false" outlineLevel="0" collapsed="false">
      <c r="A609" s="2" t="n">
        <v>608</v>
      </c>
      <c r="B609" s="3" t="s">
        <v>1270</v>
      </c>
      <c r="C609" s="3"/>
      <c r="D609" s="4"/>
      <c r="E609" s="3" t="s">
        <v>15</v>
      </c>
      <c r="F609" s="3"/>
      <c r="G609" s="5" t="s">
        <v>16</v>
      </c>
      <c r="H609" s="6"/>
      <c r="I609" s="5"/>
      <c r="J609" s="5"/>
      <c r="K609" s="6"/>
      <c r="L609" s="7"/>
      <c r="M609" s="8" t="s">
        <v>17</v>
      </c>
    </row>
    <row r="610" customFormat="false" ht="15" hidden="false" customHeight="false" outlineLevel="0" collapsed="false">
      <c r="A610" s="2" t="n">
        <v>609</v>
      </c>
      <c r="B610" s="3" t="s">
        <v>1271</v>
      </c>
      <c r="C610" s="3"/>
      <c r="D610" s="4"/>
      <c r="E610" s="3" t="s">
        <v>15</v>
      </c>
      <c r="F610" s="3"/>
      <c r="G610" s="5" t="s">
        <v>16</v>
      </c>
      <c r="H610" s="6"/>
      <c r="I610" s="5"/>
      <c r="J610" s="5"/>
      <c r="K610" s="6"/>
      <c r="L610" s="7"/>
      <c r="M610" s="8" t="s">
        <v>17</v>
      </c>
    </row>
    <row r="611" customFormat="false" ht="15" hidden="false" customHeight="false" outlineLevel="0" collapsed="false">
      <c r="A611" s="2" t="n">
        <v>610</v>
      </c>
      <c r="B611" s="3" t="s">
        <v>1272</v>
      </c>
      <c r="C611" s="3"/>
      <c r="D611" s="4" t="s">
        <v>1273</v>
      </c>
      <c r="E611" s="3" t="s">
        <v>15</v>
      </c>
      <c r="F611" s="3" t="s">
        <v>1274</v>
      </c>
      <c r="G611" s="5" t="s">
        <v>16</v>
      </c>
      <c r="H611" s="6"/>
      <c r="I611" s="5"/>
      <c r="J611" s="5"/>
      <c r="K611" s="6"/>
      <c r="L611" s="7"/>
      <c r="M611" s="8" t="s">
        <v>17</v>
      </c>
    </row>
    <row r="612" customFormat="false" ht="15" hidden="false" customHeight="false" outlineLevel="0" collapsed="false">
      <c r="A612" s="2" t="n">
        <v>611</v>
      </c>
      <c r="B612" s="3" t="s">
        <v>1275</v>
      </c>
      <c r="C612" s="3" t="s">
        <v>81</v>
      </c>
      <c r="D612" s="4"/>
      <c r="E612" s="3" t="s">
        <v>15</v>
      </c>
      <c r="F612" s="3" t="s">
        <v>1276</v>
      </c>
      <c r="G612" s="5" t="s">
        <v>16</v>
      </c>
      <c r="H612" s="6"/>
      <c r="I612" s="5"/>
      <c r="J612" s="5"/>
      <c r="K612" s="6"/>
      <c r="L612" s="7"/>
      <c r="M612" s="8" t="s">
        <v>17</v>
      </c>
    </row>
    <row r="613" customFormat="false" ht="15" hidden="false" customHeight="false" outlineLevel="0" collapsed="false">
      <c r="A613" s="2" t="n">
        <v>612</v>
      </c>
      <c r="B613" s="3" t="s">
        <v>1275</v>
      </c>
      <c r="C613" s="3" t="s">
        <v>154</v>
      </c>
      <c r="D613" s="4"/>
      <c r="E613" s="3" t="s">
        <v>15</v>
      </c>
      <c r="F613" s="3" t="s">
        <v>1277</v>
      </c>
      <c r="G613" s="5" t="s">
        <v>16</v>
      </c>
      <c r="H613" s="6"/>
      <c r="I613" s="5"/>
      <c r="J613" s="5"/>
      <c r="K613" s="6"/>
      <c r="L613" s="7"/>
      <c r="M613" s="8" t="s">
        <v>17</v>
      </c>
    </row>
    <row r="614" customFormat="false" ht="15" hidden="false" customHeight="false" outlineLevel="0" collapsed="false">
      <c r="A614" s="2" t="n">
        <v>613</v>
      </c>
      <c r="B614" s="3" t="s">
        <v>1278</v>
      </c>
      <c r="C614" s="3" t="s">
        <v>88</v>
      </c>
      <c r="D614" s="4"/>
      <c r="E614" s="3" t="s">
        <v>15</v>
      </c>
      <c r="F614" s="3"/>
      <c r="G614" s="5" t="s">
        <v>16</v>
      </c>
      <c r="H614" s="6"/>
      <c r="I614" s="5"/>
      <c r="J614" s="5"/>
      <c r="K614" s="6"/>
      <c r="L614" s="7"/>
      <c r="M614" s="8" t="s">
        <v>17</v>
      </c>
    </row>
    <row r="615" customFormat="false" ht="15" hidden="false" customHeight="false" outlineLevel="0" collapsed="false">
      <c r="A615" s="2" t="n">
        <v>614</v>
      </c>
      <c r="B615" s="3" t="s">
        <v>1279</v>
      </c>
      <c r="C615" s="3"/>
      <c r="D615" s="4"/>
      <c r="E615" s="3" t="s">
        <v>15</v>
      </c>
      <c r="F615" s="3" t="s">
        <v>1280</v>
      </c>
      <c r="G615" s="5" t="s">
        <v>16</v>
      </c>
      <c r="H615" s="6"/>
      <c r="I615" s="5"/>
      <c r="J615" s="5"/>
      <c r="K615" s="6"/>
      <c r="L615" s="7"/>
      <c r="M615" s="8" t="s">
        <v>17</v>
      </c>
    </row>
    <row r="616" customFormat="false" ht="15" hidden="false" customHeight="false" outlineLevel="0" collapsed="false">
      <c r="A616" s="2" t="n">
        <v>615</v>
      </c>
      <c r="B616" s="3" t="s">
        <v>1281</v>
      </c>
      <c r="C616" s="3" t="s">
        <v>84</v>
      </c>
      <c r="D616" s="4"/>
      <c r="E616" s="3" t="s">
        <v>15</v>
      </c>
      <c r="F616" s="3" t="s">
        <v>1282</v>
      </c>
      <c r="G616" s="5" t="s">
        <v>16</v>
      </c>
      <c r="H616" s="6"/>
      <c r="I616" s="5"/>
      <c r="J616" s="5"/>
      <c r="K616" s="6"/>
      <c r="L616" s="7"/>
      <c r="M616" s="8" t="s">
        <v>17</v>
      </c>
    </row>
    <row r="617" customFormat="false" ht="15" hidden="false" customHeight="false" outlineLevel="0" collapsed="false">
      <c r="A617" s="2" t="n">
        <v>616</v>
      </c>
      <c r="B617" s="3" t="s">
        <v>1283</v>
      </c>
      <c r="C617" s="3" t="s">
        <v>84</v>
      </c>
      <c r="D617" s="4" t="s">
        <v>1284</v>
      </c>
      <c r="E617" s="3" t="s">
        <v>15</v>
      </c>
      <c r="F617" s="3" t="s">
        <v>1285</v>
      </c>
      <c r="G617" s="5" t="s">
        <v>16</v>
      </c>
      <c r="H617" s="6"/>
      <c r="I617" s="5"/>
      <c r="J617" s="5"/>
      <c r="K617" s="6"/>
      <c r="L617" s="7"/>
      <c r="M617" s="8" t="s">
        <v>17</v>
      </c>
    </row>
    <row r="618" customFormat="false" ht="15" hidden="false" customHeight="false" outlineLevel="0" collapsed="false">
      <c r="A618" s="2" t="n">
        <v>617</v>
      </c>
      <c r="B618" s="3" t="s">
        <v>1286</v>
      </c>
      <c r="C618" s="3" t="s">
        <v>1287</v>
      </c>
      <c r="D618" s="4" t="s">
        <v>1288</v>
      </c>
      <c r="E618" s="3" t="s">
        <v>15</v>
      </c>
      <c r="F618" s="3" t="s">
        <v>1289</v>
      </c>
      <c r="G618" s="5" t="s">
        <v>16</v>
      </c>
      <c r="H618" s="6"/>
      <c r="I618" s="5"/>
      <c r="J618" s="5"/>
      <c r="K618" s="6"/>
      <c r="L618" s="7"/>
      <c r="M618" s="8" t="s">
        <v>17</v>
      </c>
    </row>
    <row r="619" customFormat="false" ht="15" hidden="false" customHeight="false" outlineLevel="0" collapsed="false">
      <c r="A619" s="2" t="n">
        <v>618</v>
      </c>
      <c r="B619" s="3" t="s">
        <v>1290</v>
      </c>
      <c r="C619" s="3" t="s">
        <v>1291</v>
      </c>
      <c r="D619" s="4"/>
      <c r="E619" s="3" t="s">
        <v>15</v>
      </c>
      <c r="F619" s="3" t="s">
        <v>1292</v>
      </c>
      <c r="G619" s="5" t="s">
        <v>16</v>
      </c>
      <c r="H619" s="6"/>
      <c r="I619" s="5"/>
      <c r="J619" s="5"/>
      <c r="K619" s="6"/>
      <c r="L619" s="7"/>
      <c r="M619" s="8" t="s">
        <v>17</v>
      </c>
    </row>
    <row r="620" customFormat="false" ht="15" hidden="false" customHeight="false" outlineLevel="0" collapsed="false">
      <c r="A620" s="2" t="n">
        <v>619</v>
      </c>
      <c r="B620" s="3" t="s">
        <v>1293</v>
      </c>
      <c r="C620" s="3" t="s">
        <v>387</v>
      </c>
      <c r="D620" s="4"/>
      <c r="E620" s="3" t="s">
        <v>15</v>
      </c>
      <c r="F620" s="3"/>
      <c r="G620" s="5" t="s">
        <v>16</v>
      </c>
      <c r="H620" s="6"/>
      <c r="I620" s="5"/>
      <c r="J620" s="5"/>
      <c r="K620" s="6"/>
      <c r="L620" s="7"/>
      <c r="M620" s="8" t="s">
        <v>17</v>
      </c>
    </row>
    <row r="621" customFormat="false" ht="15" hidden="false" customHeight="false" outlineLevel="0" collapsed="false">
      <c r="A621" s="2" t="n">
        <v>620</v>
      </c>
      <c r="B621" s="3" t="s">
        <v>1294</v>
      </c>
      <c r="C621" s="3"/>
      <c r="D621" s="4"/>
      <c r="E621" s="3" t="s">
        <v>15</v>
      </c>
      <c r="F621" s="3" t="s">
        <v>1295</v>
      </c>
      <c r="G621" s="5" t="s">
        <v>16</v>
      </c>
      <c r="H621" s="6"/>
      <c r="I621" s="5"/>
      <c r="J621" s="5"/>
      <c r="K621" s="6"/>
      <c r="L621" s="7"/>
      <c r="M621" s="8" t="s">
        <v>17</v>
      </c>
    </row>
    <row r="622" customFormat="false" ht="15" hidden="false" customHeight="false" outlineLevel="0" collapsed="false">
      <c r="A622" s="2" t="n">
        <v>621</v>
      </c>
      <c r="B622" s="3" t="s">
        <v>1296</v>
      </c>
      <c r="C622" s="3"/>
      <c r="D622" s="4"/>
      <c r="E622" s="3" t="s">
        <v>15</v>
      </c>
      <c r="F622" s="3" t="s">
        <v>1297</v>
      </c>
      <c r="G622" s="5" t="s">
        <v>16</v>
      </c>
      <c r="H622" s="6"/>
      <c r="I622" s="5"/>
      <c r="J622" s="5"/>
      <c r="K622" s="6"/>
      <c r="L622" s="7"/>
      <c r="M622" s="8" t="s">
        <v>17</v>
      </c>
    </row>
    <row r="623" customFormat="false" ht="15" hidden="false" customHeight="false" outlineLevel="0" collapsed="false">
      <c r="A623" s="2" t="n">
        <v>622</v>
      </c>
      <c r="B623" s="3" t="s">
        <v>1298</v>
      </c>
      <c r="C623" s="3"/>
      <c r="D623" s="4"/>
      <c r="E623" s="3" t="s">
        <v>15</v>
      </c>
      <c r="F623" s="3" t="s">
        <v>1299</v>
      </c>
      <c r="G623" s="5" t="s">
        <v>16</v>
      </c>
      <c r="H623" s="6"/>
      <c r="I623" s="5"/>
      <c r="J623" s="5"/>
      <c r="K623" s="6"/>
      <c r="L623" s="7"/>
      <c r="M623" s="8" t="s">
        <v>17</v>
      </c>
    </row>
    <row r="624" customFormat="false" ht="15" hidden="false" customHeight="false" outlineLevel="0" collapsed="false">
      <c r="A624" s="2" t="n">
        <v>623</v>
      </c>
      <c r="B624" s="3" t="s">
        <v>1300</v>
      </c>
      <c r="C624" s="3"/>
      <c r="D624" s="4"/>
      <c r="E624" s="3" t="s">
        <v>15</v>
      </c>
      <c r="F624" s="3"/>
      <c r="G624" s="5" t="s">
        <v>16</v>
      </c>
      <c r="H624" s="6"/>
      <c r="I624" s="5"/>
      <c r="J624" s="5"/>
      <c r="K624" s="6"/>
      <c r="L624" s="7"/>
      <c r="M624" s="8" t="s">
        <v>17</v>
      </c>
    </row>
    <row r="625" customFormat="false" ht="15" hidden="false" customHeight="false" outlineLevel="0" collapsed="false">
      <c r="A625" s="2" t="n">
        <v>624</v>
      </c>
      <c r="B625" s="3" t="s">
        <v>1301</v>
      </c>
      <c r="C625" s="3" t="s">
        <v>64</v>
      </c>
      <c r="D625" s="4"/>
      <c r="E625" s="3" t="s">
        <v>15</v>
      </c>
      <c r="F625" s="3"/>
      <c r="G625" s="5" t="s">
        <v>16</v>
      </c>
      <c r="H625" s="6"/>
      <c r="I625" s="5"/>
      <c r="J625" s="5"/>
      <c r="K625" s="6"/>
      <c r="L625" s="7"/>
      <c r="M625" s="8" t="s">
        <v>17</v>
      </c>
    </row>
    <row r="626" customFormat="false" ht="15" hidden="false" customHeight="false" outlineLevel="0" collapsed="false">
      <c r="A626" s="2" t="n">
        <v>625</v>
      </c>
      <c r="B626" s="3" t="s">
        <v>1302</v>
      </c>
      <c r="C626" s="3"/>
      <c r="D626" s="4"/>
      <c r="E626" s="3" t="s">
        <v>15</v>
      </c>
      <c r="F626" s="3" t="s">
        <v>1303</v>
      </c>
      <c r="G626" s="5" t="s">
        <v>16</v>
      </c>
      <c r="H626" s="6"/>
      <c r="I626" s="5"/>
      <c r="J626" s="5"/>
      <c r="K626" s="6"/>
      <c r="L626" s="7"/>
      <c r="M626" s="8" t="s">
        <v>17</v>
      </c>
    </row>
    <row r="627" customFormat="false" ht="15" hidden="false" customHeight="false" outlineLevel="0" collapsed="false">
      <c r="A627" s="2" t="n">
        <v>626</v>
      </c>
      <c r="B627" s="3" t="s">
        <v>1304</v>
      </c>
      <c r="C627" s="3" t="s">
        <v>84</v>
      </c>
      <c r="D627" s="4"/>
      <c r="E627" s="3" t="s">
        <v>15</v>
      </c>
      <c r="F627" s="3" t="s">
        <v>1305</v>
      </c>
      <c r="G627" s="5" t="s">
        <v>16</v>
      </c>
      <c r="H627" s="6"/>
      <c r="I627" s="5"/>
      <c r="J627" s="5"/>
      <c r="K627" s="6"/>
      <c r="L627" s="7"/>
      <c r="M627" s="8" t="s">
        <v>17</v>
      </c>
    </row>
    <row r="628" customFormat="false" ht="15" hidden="false" customHeight="false" outlineLevel="0" collapsed="false">
      <c r="A628" s="2" t="n">
        <v>627</v>
      </c>
      <c r="B628" s="3" t="s">
        <v>1306</v>
      </c>
      <c r="C628" s="3" t="s">
        <v>1307</v>
      </c>
      <c r="D628" s="4" t="s">
        <v>1308</v>
      </c>
      <c r="E628" s="3" t="s">
        <v>15</v>
      </c>
      <c r="F628" s="3" t="s">
        <v>1309</v>
      </c>
      <c r="G628" s="5" t="s">
        <v>16</v>
      </c>
      <c r="H628" s="6"/>
      <c r="I628" s="5"/>
      <c r="J628" s="5"/>
      <c r="K628" s="6"/>
      <c r="L628" s="7"/>
      <c r="M628" s="8" t="s">
        <v>17</v>
      </c>
    </row>
    <row r="629" customFormat="false" ht="15" hidden="false" customHeight="false" outlineLevel="0" collapsed="false">
      <c r="A629" s="2" t="n">
        <v>628</v>
      </c>
      <c r="B629" s="3" t="s">
        <v>1310</v>
      </c>
      <c r="C629" s="3"/>
      <c r="D629" s="4"/>
      <c r="E629" s="3" t="s">
        <v>15</v>
      </c>
      <c r="F629" s="3" t="s">
        <v>1311</v>
      </c>
      <c r="G629" s="5" t="s">
        <v>16</v>
      </c>
      <c r="H629" s="6"/>
      <c r="I629" s="5"/>
      <c r="J629" s="5"/>
      <c r="K629" s="6"/>
      <c r="L629" s="7"/>
      <c r="M629" s="8" t="s">
        <v>17</v>
      </c>
    </row>
    <row r="630" customFormat="false" ht="15" hidden="false" customHeight="false" outlineLevel="0" collapsed="false">
      <c r="A630" s="2" t="n">
        <v>629</v>
      </c>
      <c r="B630" s="3" t="s">
        <v>1312</v>
      </c>
      <c r="C630" s="3"/>
      <c r="D630" s="4"/>
      <c r="E630" s="3" t="s">
        <v>15</v>
      </c>
      <c r="F630" s="3"/>
      <c r="G630" s="5" t="s">
        <v>16</v>
      </c>
      <c r="H630" s="6"/>
      <c r="I630" s="5"/>
      <c r="J630" s="5"/>
      <c r="K630" s="6"/>
      <c r="L630" s="7"/>
      <c r="M630" s="8" t="s">
        <v>17</v>
      </c>
    </row>
    <row r="631" customFormat="false" ht="15" hidden="false" customHeight="false" outlineLevel="0" collapsed="false">
      <c r="A631" s="2" t="n">
        <v>630</v>
      </c>
      <c r="B631" s="3" t="s">
        <v>1313</v>
      </c>
      <c r="C631" s="3"/>
      <c r="D631" s="4" t="s">
        <v>1314</v>
      </c>
      <c r="E631" s="3" t="s">
        <v>15</v>
      </c>
      <c r="F631" s="3"/>
      <c r="G631" s="5" t="s">
        <v>16</v>
      </c>
      <c r="H631" s="6"/>
      <c r="I631" s="5"/>
      <c r="J631" s="5"/>
      <c r="K631" s="6"/>
      <c r="L631" s="7"/>
      <c r="M631" s="8" t="s">
        <v>17</v>
      </c>
    </row>
    <row r="632" customFormat="false" ht="15" hidden="false" customHeight="false" outlineLevel="0" collapsed="false">
      <c r="A632" s="2" t="n">
        <v>631</v>
      </c>
      <c r="B632" s="3" t="s">
        <v>1315</v>
      </c>
      <c r="C632" s="3"/>
      <c r="D632" s="4"/>
      <c r="E632" s="3" t="s">
        <v>15</v>
      </c>
      <c r="F632" s="3" t="s">
        <v>1316</v>
      </c>
      <c r="G632" s="5" t="s">
        <v>16</v>
      </c>
      <c r="H632" s="6"/>
      <c r="I632" s="5"/>
      <c r="J632" s="5"/>
      <c r="K632" s="6"/>
      <c r="L632" s="7"/>
      <c r="M632" s="8" t="s">
        <v>17</v>
      </c>
    </row>
    <row r="633" customFormat="false" ht="15" hidden="false" customHeight="false" outlineLevel="0" collapsed="false">
      <c r="A633" s="2" t="n">
        <v>632</v>
      </c>
      <c r="B633" s="3" t="s">
        <v>1317</v>
      </c>
      <c r="C633" s="3" t="s">
        <v>64</v>
      </c>
      <c r="D633" s="4"/>
      <c r="E633" s="3" t="s">
        <v>15</v>
      </c>
      <c r="F633" s="3" t="s">
        <v>1318</v>
      </c>
      <c r="G633" s="5" t="s">
        <v>16</v>
      </c>
      <c r="H633" s="6"/>
      <c r="I633" s="5"/>
      <c r="J633" s="5"/>
      <c r="K633" s="6"/>
      <c r="L633" s="7"/>
      <c r="M633" s="8" t="s">
        <v>17</v>
      </c>
    </row>
    <row r="634" customFormat="false" ht="15" hidden="false" customHeight="false" outlineLevel="0" collapsed="false">
      <c r="A634" s="2" t="n">
        <v>633</v>
      </c>
      <c r="B634" s="3" t="s">
        <v>1319</v>
      </c>
      <c r="C634" s="3" t="s">
        <v>19</v>
      </c>
      <c r="D634" s="4"/>
      <c r="E634" s="3" t="s">
        <v>15</v>
      </c>
      <c r="F634" s="3" t="s">
        <v>1320</v>
      </c>
      <c r="G634" s="5" t="s">
        <v>16</v>
      </c>
      <c r="H634" s="6"/>
      <c r="I634" s="5"/>
      <c r="J634" s="5"/>
      <c r="K634" s="6"/>
      <c r="L634" s="7"/>
      <c r="M634" s="8" t="s">
        <v>17</v>
      </c>
    </row>
    <row r="635" customFormat="false" ht="15" hidden="false" customHeight="false" outlineLevel="0" collapsed="false">
      <c r="A635" s="2" t="n">
        <v>634</v>
      </c>
      <c r="B635" s="3" t="s">
        <v>1319</v>
      </c>
      <c r="C635" s="3" t="s">
        <v>19</v>
      </c>
      <c r="D635" s="4"/>
      <c r="E635" s="3" t="s">
        <v>15</v>
      </c>
      <c r="F635" s="3" t="s">
        <v>1321</v>
      </c>
      <c r="G635" s="5" t="s">
        <v>16</v>
      </c>
      <c r="H635" s="6"/>
      <c r="I635" s="5"/>
      <c r="J635" s="5"/>
      <c r="K635" s="6"/>
      <c r="L635" s="7"/>
      <c r="M635" s="8" t="s">
        <v>17</v>
      </c>
    </row>
    <row r="636" customFormat="false" ht="15" hidden="false" customHeight="false" outlineLevel="0" collapsed="false">
      <c r="A636" s="2" t="n">
        <v>635</v>
      </c>
      <c r="B636" s="3" t="s">
        <v>1322</v>
      </c>
      <c r="C636" s="3" t="s">
        <v>145</v>
      </c>
      <c r="D636" s="4"/>
      <c r="E636" s="3" t="s">
        <v>15</v>
      </c>
      <c r="F636" s="3" t="s">
        <v>1323</v>
      </c>
      <c r="G636" s="5" t="s">
        <v>16</v>
      </c>
      <c r="H636" s="6"/>
      <c r="I636" s="5"/>
      <c r="J636" s="5"/>
      <c r="K636" s="6"/>
      <c r="L636" s="7"/>
      <c r="M636" s="8" t="s">
        <v>17</v>
      </c>
    </row>
    <row r="637" customFormat="false" ht="15" hidden="false" customHeight="false" outlineLevel="0" collapsed="false">
      <c r="A637" s="2" t="n">
        <v>636</v>
      </c>
      <c r="B637" s="3" t="s">
        <v>1324</v>
      </c>
      <c r="C637" s="3"/>
      <c r="D637" s="4"/>
      <c r="E637" s="3" t="s">
        <v>15</v>
      </c>
      <c r="F637" s="3"/>
      <c r="G637" s="5" t="s">
        <v>16</v>
      </c>
      <c r="H637" s="6"/>
      <c r="I637" s="5"/>
      <c r="J637" s="5"/>
      <c r="K637" s="6"/>
      <c r="L637" s="7"/>
      <c r="M637" s="8" t="s">
        <v>17</v>
      </c>
    </row>
    <row r="638" customFormat="false" ht="15" hidden="false" customHeight="false" outlineLevel="0" collapsed="false">
      <c r="A638" s="2" t="n">
        <v>637</v>
      </c>
      <c r="B638" s="3" t="s">
        <v>1325</v>
      </c>
      <c r="C638" s="3"/>
      <c r="D638" s="4"/>
      <c r="E638" s="3" t="s">
        <v>15</v>
      </c>
      <c r="F638" s="3"/>
      <c r="G638" s="5" t="s">
        <v>16</v>
      </c>
      <c r="H638" s="6"/>
      <c r="I638" s="5"/>
      <c r="J638" s="5"/>
      <c r="K638" s="6"/>
      <c r="L638" s="7"/>
      <c r="M638" s="8" t="s">
        <v>17</v>
      </c>
    </row>
    <row r="639" customFormat="false" ht="15" hidden="false" customHeight="false" outlineLevel="0" collapsed="false">
      <c r="A639" s="2" t="n">
        <v>638</v>
      </c>
      <c r="B639" s="3" t="s">
        <v>1326</v>
      </c>
      <c r="C639" s="3" t="s">
        <v>141</v>
      </c>
      <c r="D639" s="4"/>
      <c r="E639" s="3" t="s">
        <v>15</v>
      </c>
      <c r="F639" s="3" t="s">
        <v>1327</v>
      </c>
      <c r="G639" s="5" t="s">
        <v>16</v>
      </c>
      <c r="H639" s="6"/>
      <c r="I639" s="5"/>
      <c r="J639" s="5"/>
      <c r="K639" s="6"/>
      <c r="L639" s="7"/>
      <c r="M639" s="8" t="s">
        <v>17</v>
      </c>
    </row>
    <row r="640" customFormat="false" ht="15" hidden="false" customHeight="false" outlineLevel="0" collapsed="false">
      <c r="A640" s="2" t="n">
        <v>639</v>
      </c>
      <c r="B640" s="3" t="s">
        <v>1328</v>
      </c>
      <c r="C640" s="3" t="s">
        <v>51</v>
      </c>
      <c r="D640" s="4"/>
      <c r="E640" s="3" t="s">
        <v>15</v>
      </c>
      <c r="F640" s="3" t="s">
        <v>1329</v>
      </c>
      <c r="G640" s="5" t="s">
        <v>16</v>
      </c>
      <c r="H640" s="6"/>
      <c r="I640" s="5"/>
      <c r="J640" s="5"/>
      <c r="K640" s="6"/>
      <c r="L640" s="7"/>
      <c r="M640" s="8" t="s">
        <v>17</v>
      </c>
    </row>
    <row r="641" customFormat="false" ht="15" hidden="false" customHeight="false" outlineLevel="0" collapsed="false">
      <c r="A641" s="2" t="n">
        <v>640</v>
      </c>
      <c r="B641" s="3" t="s">
        <v>1330</v>
      </c>
      <c r="C641" s="3" t="s">
        <v>1331</v>
      </c>
      <c r="D641" s="4"/>
      <c r="E641" s="3" t="s">
        <v>15</v>
      </c>
      <c r="F641" s="3" t="s">
        <v>1332</v>
      </c>
      <c r="G641" s="5" t="s">
        <v>16</v>
      </c>
      <c r="H641" s="6"/>
      <c r="I641" s="5"/>
      <c r="J641" s="5"/>
      <c r="K641" s="6"/>
      <c r="L641" s="7"/>
      <c r="M641" s="8" t="s">
        <v>17</v>
      </c>
    </row>
    <row r="642" customFormat="false" ht="15" hidden="false" customHeight="false" outlineLevel="0" collapsed="false">
      <c r="A642" s="2" t="n">
        <v>641</v>
      </c>
      <c r="B642" s="3" t="s">
        <v>1333</v>
      </c>
      <c r="C642" s="3" t="s">
        <v>81</v>
      </c>
      <c r="D642" s="4" t="s">
        <v>481</v>
      </c>
      <c r="E642" s="3" t="s">
        <v>15</v>
      </c>
      <c r="F642" s="3" t="s">
        <v>1334</v>
      </c>
      <c r="G642" s="5" t="s">
        <v>16</v>
      </c>
      <c r="H642" s="6"/>
      <c r="I642" s="5"/>
      <c r="J642" s="5"/>
      <c r="K642" s="6"/>
      <c r="L642" s="7"/>
      <c r="M642" s="8" t="s">
        <v>17</v>
      </c>
    </row>
    <row r="643" customFormat="false" ht="15" hidden="false" customHeight="false" outlineLevel="0" collapsed="false">
      <c r="A643" s="2" t="n">
        <v>642</v>
      </c>
      <c r="B643" s="3" t="s">
        <v>1335</v>
      </c>
      <c r="C643" s="3" t="s">
        <v>1336</v>
      </c>
      <c r="D643" s="4"/>
      <c r="E643" s="3" t="s">
        <v>15</v>
      </c>
      <c r="F643" s="3" t="s">
        <v>1337</v>
      </c>
      <c r="G643" s="5" t="s">
        <v>16</v>
      </c>
      <c r="H643" s="6"/>
      <c r="I643" s="5"/>
      <c r="J643" s="5"/>
      <c r="K643" s="6"/>
      <c r="L643" s="7"/>
      <c r="M643" s="8" t="s">
        <v>17</v>
      </c>
    </row>
    <row r="644" customFormat="false" ht="15" hidden="false" customHeight="false" outlineLevel="0" collapsed="false">
      <c r="A644" s="2" t="n">
        <v>643</v>
      </c>
      <c r="B644" s="3" t="s">
        <v>1338</v>
      </c>
      <c r="C644" s="3" t="s">
        <v>1339</v>
      </c>
      <c r="D644" s="4"/>
      <c r="E644" s="3" t="s">
        <v>15</v>
      </c>
      <c r="F644" s="3" t="s">
        <v>1340</v>
      </c>
      <c r="G644" s="5" t="s">
        <v>16</v>
      </c>
      <c r="H644" s="6"/>
      <c r="I644" s="5"/>
      <c r="J644" s="5"/>
      <c r="K644" s="6"/>
      <c r="L644" s="7"/>
      <c r="M644" s="8" t="s">
        <v>17</v>
      </c>
    </row>
    <row r="645" customFormat="false" ht="15" hidden="false" customHeight="false" outlineLevel="0" collapsed="false">
      <c r="A645" s="2" t="n">
        <v>644</v>
      </c>
      <c r="B645" s="3" t="s">
        <v>1341</v>
      </c>
      <c r="C645" s="3" t="s">
        <v>1342</v>
      </c>
      <c r="D645" s="4"/>
      <c r="E645" s="3" t="s">
        <v>15</v>
      </c>
      <c r="F645" s="3"/>
      <c r="G645" s="5" t="s">
        <v>16</v>
      </c>
      <c r="H645" s="6"/>
      <c r="I645" s="5"/>
      <c r="J645" s="5"/>
      <c r="K645" s="6"/>
      <c r="L645" s="7"/>
      <c r="M645" s="8" t="s">
        <v>17</v>
      </c>
    </row>
    <row r="646" customFormat="false" ht="15" hidden="false" customHeight="false" outlineLevel="0" collapsed="false">
      <c r="A646" s="2" t="n">
        <v>645</v>
      </c>
      <c r="B646" s="3" t="s">
        <v>1343</v>
      </c>
      <c r="C646" s="3" t="s">
        <v>84</v>
      </c>
      <c r="D646" s="4"/>
      <c r="E646" s="3" t="s">
        <v>15</v>
      </c>
      <c r="F646" s="3" t="s">
        <v>1344</v>
      </c>
      <c r="G646" s="5" t="s">
        <v>16</v>
      </c>
      <c r="H646" s="6"/>
      <c r="I646" s="5"/>
      <c r="J646" s="5"/>
      <c r="K646" s="6"/>
      <c r="L646" s="7"/>
      <c r="M646" s="8" t="s">
        <v>17</v>
      </c>
    </row>
    <row r="647" customFormat="false" ht="15" hidden="false" customHeight="false" outlineLevel="0" collapsed="false">
      <c r="A647" s="2" t="n">
        <v>646</v>
      </c>
      <c r="B647" s="3" t="s">
        <v>1345</v>
      </c>
      <c r="C647" s="3" t="s">
        <v>1346</v>
      </c>
      <c r="D647" s="4"/>
      <c r="E647" s="3" t="s">
        <v>15</v>
      </c>
      <c r="F647" s="3"/>
      <c r="G647" s="5" t="s">
        <v>16</v>
      </c>
      <c r="H647" s="6"/>
      <c r="I647" s="5"/>
      <c r="J647" s="5"/>
      <c r="K647" s="6"/>
      <c r="L647" s="7"/>
      <c r="M647" s="8" t="s">
        <v>17</v>
      </c>
    </row>
    <row r="648" customFormat="false" ht="15" hidden="false" customHeight="false" outlineLevel="0" collapsed="false">
      <c r="A648" s="2" t="n">
        <v>647</v>
      </c>
      <c r="B648" s="3" t="s">
        <v>1347</v>
      </c>
      <c r="C648" s="3"/>
      <c r="D648" s="4"/>
      <c r="E648" s="3" t="s">
        <v>15</v>
      </c>
      <c r="F648" s="3"/>
      <c r="G648" s="5" t="s">
        <v>16</v>
      </c>
      <c r="H648" s="6"/>
      <c r="I648" s="5"/>
      <c r="J648" s="5"/>
      <c r="K648" s="6"/>
      <c r="L648" s="7"/>
      <c r="M648" s="8" t="s">
        <v>17</v>
      </c>
    </row>
    <row r="649" customFormat="false" ht="15" hidden="false" customHeight="false" outlineLevel="0" collapsed="false">
      <c r="A649" s="2" t="n">
        <v>648</v>
      </c>
      <c r="B649" s="3" t="s">
        <v>1348</v>
      </c>
      <c r="C649" s="3" t="s">
        <v>1349</v>
      </c>
      <c r="D649" s="4" t="s">
        <v>1350</v>
      </c>
      <c r="E649" s="3" t="s">
        <v>15</v>
      </c>
      <c r="F649" s="3" t="s">
        <v>1351</v>
      </c>
      <c r="G649" s="5" t="s">
        <v>16</v>
      </c>
      <c r="H649" s="6"/>
      <c r="I649" s="5"/>
      <c r="J649" s="5"/>
      <c r="K649" s="6"/>
      <c r="L649" s="7"/>
      <c r="M649" s="8" t="s">
        <v>17</v>
      </c>
    </row>
    <row r="650" customFormat="false" ht="15" hidden="false" customHeight="false" outlineLevel="0" collapsed="false">
      <c r="A650" s="2" t="n">
        <v>649</v>
      </c>
      <c r="B650" s="3" t="s">
        <v>1352</v>
      </c>
      <c r="C650" s="3" t="s">
        <v>1353</v>
      </c>
      <c r="D650" s="4"/>
      <c r="E650" s="3" t="s">
        <v>15</v>
      </c>
      <c r="F650" s="3"/>
      <c r="G650" s="5" t="s">
        <v>16</v>
      </c>
      <c r="H650" s="6"/>
      <c r="I650" s="5"/>
      <c r="J650" s="5"/>
      <c r="K650" s="6"/>
      <c r="L650" s="7"/>
      <c r="M650" s="8" t="s">
        <v>17</v>
      </c>
    </row>
    <row r="651" customFormat="false" ht="15" hidden="false" customHeight="false" outlineLevel="0" collapsed="false">
      <c r="A651" s="2" t="n">
        <v>650</v>
      </c>
      <c r="B651" s="3" t="s">
        <v>1354</v>
      </c>
      <c r="C651" s="3" t="s">
        <v>38</v>
      </c>
      <c r="D651" s="4"/>
      <c r="E651" s="3" t="s">
        <v>15</v>
      </c>
      <c r="F651" s="3" t="s">
        <v>1355</v>
      </c>
      <c r="G651" s="5" t="s">
        <v>16</v>
      </c>
      <c r="H651" s="6"/>
      <c r="I651" s="5"/>
      <c r="J651" s="5"/>
      <c r="K651" s="6"/>
      <c r="L651" s="7"/>
      <c r="M651" s="8" t="s">
        <v>17</v>
      </c>
    </row>
    <row r="652" customFormat="false" ht="15" hidden="false" customHeight="false" outlineLevel="0" collapsed="false">
      <c r="A652" s="2" t="n">
        <v>651</v>
      </c>
      <c r="B652" s="3" t="s">
        <v>1356</v>
      </c>
      <c r="C652" s="3"/>
      <c r="D652" s="4"/>
      <c r="E652" s="3" t="s">
        <v>15</v>
      </c>
      <c r="F652" s="3" t="s">
        <v>1357</v>
      </c>
      <c r="G652" s="5" t="s">
        <v>16</v>
      </c>
      <c r="H652" s="6"/>
      <c r="I652" s="5"/>
      <c r="J652" s="5"/>
      <c r="K652" s="6"/>
      <c r="L652" s="7"/>
      <c r="M652" s="8" t="s">
        <v>17</v>
      </c>
    </row>
    <row r="653" customFormat="false" ht="15" hidden="false" customHeight="false" outlineLevel="0" collapsed="false">
      <c r="A653" s="2" t="n">
        <v>652</v>
      </c>
      <c r="B653" s="3" t="s">
        <v>1358</v>
      </c>
      <c r="C653" s="3" t="s">
        <v>551</v>
      </c>
      <c r="D653" s="4"/>
      <c r="E653" s="3" t="s">
        <v>15</v>
      </c>
      <c r="F653" s="3" t="s">
        <v>1359</v>
      </c>
      <c r="G653" s="5" t="s">
        <v>16</v>
      </c>
      <c r="H653" s="6"/>
      <c r="I653" s="5"/>
      <c r="J653" s="5"/>
      <c r="K653" s="6"/>
      <c r="L653" s="7"/>
      <c r="M653" s="8" t="s">
        <v>17</v>
      </c>
    </row>
    <row r="654" customFormat="false" ht="15" hidden="false" customHeight="false" outlineLevel="0" collapsed="false">
      <c r="A654" s="2" t="n">
        <v>653</v>
      </c>
      <c r="B654" s="3" t="s">
        <v>1360</v>
      </c>
      <c r="C654" s="3" t="s">
        <v>104</v>
      </c>
      <c r="D654" s="4" t="s">
        <v>1361</v>
      </c>
      <c r="E654" s="3" t="s">
        <v>15</v>
      </c>
      <c r="F654" s="3"/>
      <c r="G654" s="5" t="s">
        <v>16</v>
      </c>
      <c r="H654" s="6"/>
      <c r="I654" s="5"/>
      <c r="J654" s="5"/>
      <c r="K654" s="6"/>
      <c r="L654" s="7"/>
      <c r="M654" s="8" t="s">
        <v>17</v>
      </c>
    </row>
    <row r="655" customFormat="false" ht="15" hidden="false" customHeight="false" outlineLevel="0" collapsed="false">
      <c r="A655" s="2" t="n">
        <v>654</v>
      </c>
      <c r="B655" s="3" t="s">
        <v>1362</v>
      </c>
      <c r="C655" s="3"/>
      <c r="D655" s="4"/>
      <c r="E655" s="3" t="s">
        <v>15</v>
      </c>
      <c r="F655" s="3" t="s">
        <v>1363</v>
      </c>
      <c r="G655" s="5" t="s">
        <v>16</v>
      </c>
      <c r="H655" s="6"/>
      <c r="I655" s="5"/>
      <c r="J655" s="5"/>
      <c r="K655" s="6"/>
      <c r="L655" s="7"/>
      <c r="M655" s="8" t="s">
        <v>17</v>
      </c>
    </row>
    <row r="656" customFormat="false" ht="15" hidden="false" customHeight="false" outlineLevel="0" collapsed="false">
      <c r="A656" s="2" t="n">
        <v>655</v>
      </c>
      <c r="B656" s="3" t="s">
        <v>1364</v>
      </c>
      <c r="C656" s="3" t="s">
        <v>30</v>
      </c>
      <c r="D656" s="4"/>
      <c r="E656" s="3" t="s">
        <v>15</v>
      </c>
      <c r="F656" s="3"/>
      <c r="G656" s="5" t="s">
        <v>16</v>
      </c>
      <c r="H656" s="6"/>
      <c r="I656" s="5"/>
      <c r="J656" s="5"/>
      <c r="K656" s="6"/>
      <c r="L656" s="7"/>
      <c r="M656" s="8" t="s">
        <v>17</v>
      </c>
    </row>
    <row r="657" customFormat="false" ht="15" hidden="false" customHeight="false" outlineLevel="0" collapsed="false">
      <c r="A657" s="2" t="n">
        <v>656</v>
      </c>
      <c r="B657" s="3" t="s">
        <v>1365</v>
      </c>
      <c r="C657" s="3" t="s">
        <v>1366</v>
      </c>
      <c r="D657" s="4"/>
      <c r="E657" s="3" t="s">
        <v>15</v>
      </c>
      <c r="F657" s="3" t="s">
        <v>1367</v>
      </c>
      <c r="G657" s="5" t="s">
        <v>16</v>
      </c>
      <c r="H657" s="6"/>
      <c r="I657" s="5"/>
      <c r="J657" s="5"/>
      <c r="K657" s="6"/>
      <c r="L657" s="7"/>
      <c r="M657" s="8" t="s">
        <v>17</v>
      </c>
    </row>
    <row r="658" customFormat="false" ht="15" hidden="false" customHeight="false" outlineLevel="0" collapsed="false">
      <c r="A658" s="2" t="n">
        <v>657</v>
      </c>
      <c r="B658" s="3" t="s">
        <v>1368</v>
      </c>
      <c r="C658" s="3"/>
      <c r="D658" s="4"/>
      <c r="E658" s="3" t="s">
        <v>15</v>
      </c>
      <c r="F658" s="3" t="s">
        <v>1369</v>
      </c>
      <c r="G658" s="5" t="s">
        <v>16</v>
      </c>
      <c r="H658" s="6"/>
      <c r="I658" s="5"/>
      <c r="J658" s="5"/>
      <c r="K658" s="6"/>
      <c r="L658" s="7"/>
      <c r="M658" s="8" t="s">
        <v>17</v>
      </c>
    </row>
    <row r="659" customFormat="false" ht="15" hidden="false" customHeight="false" outlineLevel="0" collapsed="false">
      <c r="A659" s="2" t="n">
        <v>658</v>
      </c>
      <c r="B659" s="3" t="s">
        <v>1370</v>
      </c>
      <c r="C659" s="3" t="s">
        <v>104</v>
      </c>
      <c r="D659" s="4"/>
      <c r="E659" s="3" t="s">
        <v>15</v>
      </c>
      <c r="F659" s="3"/>
      <c r="G659" s="5" t="s">
        <v>16</v>
      </c>
      <c r="H659" s="6"/>
      <c r="I659" s="5"/>
      <c r="J659" s="5"/>
      <c r="K659" s="6"/>
      <c r="L659" s="7"/>
      <c r="M659" s="8" t="s">
        <v>17</v>
      </c>
    </row>
    <row r="660" customFormat="false" ht="15" hidden="false" customHeight="false" outlineLevel="0" collapsed="false">
      <c r="A660" s="2" t="n">
        <v>659</v>
      </c>
      <c r="B660" s="3" t="s">
        <v>1371</v>
      </c>
      <c r="C660" s="3" t="s">
        <v>1372</v>
      </c>
      <c r="D660" s="4"/>
      <c r="E660" s="3" t="s">
        <v>15</v>
      </c>
      <c r="F660" s="3"/>
      <c r="G660" s="5" t="s">
        <v>16</v>
      </c>
      <c r="H660" s="6"/>
      <c r="I660" s="5"/>
      <c r="J660" s="5"/>
      <c r="K660" s="6"/>
      <c r="L660" s="7"/>
      <c r="M660" s="8" t="s">
        <v>17</v>
      </c>
    </row>
    <row r="661" customFormat="false" ht="15" hidden="false" customHeight="false" outlineLevel="0" collapsed="false">
      <c r="A661" s="2" t="n">
        <v>660</v>
      </c>
      <c r="B661" s="3" t="s">
        <v>1373</v>
      </c>
      <c r="C661" s="3" t="s">
        <v>54</v>
      </c>
      <c r="D661" s="4"/>
      <c r="E661" s="3" t="s">
        <v>15</v>
      </c>
      <c r="F661" s="3" t="s">
        <v>1374</v>
      </c>
      <c r="G661" s="5" t="s">
        <v>16</v>
      </c>
      <c r="H661" s="6"/>
      <c r="I661" s="5"/>
      <c r="J661" s="5"/>
      <c r="K661" s="6"/>
      <c r="L661" s="7"/>
      <c r="M661" s="8" t="s">
        <v>17</v>
      </c>
    </row>
    <row r="662" customFormat="false" ht="15" hidden="false" customHeight="false" outlineLevel="0" collapsed="false">
      <c r="A662" s="2" t="n">
        <v>661</v>
      </c>
      <c r="B662" s="3" t="s">
        <v>1375</v>
      </c>
      <c r="C662" s="3"/>
      <c r="D662" s="4" t="s">
        <v>1376</v>
      </c>
      <c r="E662" s="3" t="s">
        <v>15</v>
      </c>
      <c r="F662" s="3" t="s">
        <v>1377</v>
      </c>
      <c r="G662" s="5" t="s">
        <v>16</v>
      </c>
      <c r="H662" s="6"/>
      <c r="I662" s="5"/>
      <c r="J662" s="5"/>
      <c r="K662" s="6"/>
      <c r="L662" s="7"/>
      <c r="M662" s="8" t="s">
        <v>17</v>
      </c>
    </row>
    <row r="663" customFormat="false" ht="15" hidden="false" customHeight="false" outlineLevel="0" collapsed="false">
      <c r="A663" s="2" t="n">
        <v>662</v>
      </c>
      <c r="B663" s="3" t="s">
        <v>1378</v>
      </c>
      <c r="C663" s="3" t="s">
        <v>81</v>
      </c>
      <c r="D663" s="4" t="s">
        <v>481</v>
      </c>
      <c r="E663" s="3" t="s">
        <v>15</v>
      </c>
      <c r="F663" s="3" t="s">
        <v>1379</v>
      </c>
      <c r="G663" s="5" t="s">
        <v>16</v>
      </c>
      <c r="H663" s="6"/>
      <c r="I663" s="5"/>
      <c r="J663" s="5"/>
      <c r="K663" s="6"/>
      <c r="L663" s="7"/>
      <c r="M663" s="8" t="s">
        <v>17</v>
      </c>
    </row>
    <row r="664" customFormat="false" ht="15" hidden="false" customHeight="false" outlineLevel="0" collapsed="false">
      <c r="A664" s="2" t="n">
        <v>663</v>
      </c>
      <c r="B664" s="3" t="s">
        <v>1380</v>
      </c>
      <c r="C664" s="3"/>
      <c r="D664" s="4"/>
      <c r="E664" s="3" t="s">
        <v>15</v>
      </c>
      <c r="F664" s="3" t="s">
        <v>1381</v>
      </c>
      <c r="G664" s="5" t="s">
        <v>16</v>
      </c>
      <c r="H664" s="6"/>
      <c r="I664" s="5"/>
      <c r="J664" s="5"/>
      <c r="K664" s="6"/>
      <c r="L664" s="7"/>
      <c r="M664" s="8" t="s">
        <v>17</v>
      </c>
    </row>
    <row r="665" customFormat="false" ht="15" hidden="false" customHeight="false" outlineLevel="0" collapsed="false">
      <c r="A665" s="2" t="n">
        <v>664</v>
      </c>
      <c r="B665" s="3" t="s">
        <v>1382</v>
      </c>
      <c r="C665" s="3"/>
      <c r="D665" s="4" t="s">
        <v>1383</v>
      </c>
      <c r="E665" s="3" t="s">
        <v>15</v>
      </c>
      <c r="F665" s="3" t="s">
        <v>1384</v>
      </c>
      <c r="G665" s="5" t="s">
        <v>16</v>
      </c>
      <c r="H665" s="6"/>
      <c r="I665" s="5"/>
      <c r="J665" s="5"/>
      <c r="K665" s="6"/>
      <c r="L665" s="7"/>
      <c r="M665" s="8" t="s">
        <v>17</v>
      </c>
    </row>
    <row r="666" customFormat="false" ht="15" hidden="false" customHeight="false" outlineLevel="0" collapsed="false">
      <c r="A666" s="2" t="n">
        <v>665</v>
      </c>
      <c r="B666" s="3" t="s">
        <v>1385</v>
      </c>
      <c r="C666" s="3"/>
      <c r="D666" s="4"/>
      <c r="E666" s="3" t="s">
        <v>15</v>
      </c>
      <c r="F666" s="3"/>
      <c r="G666" s="5" t="s">
        <v>16</v>
      </c>
      <c r="H666" s="6"/>
      <c r="I666" s="5"/>
      <c r="J666" s="5"/>
      <c r="K666" s="6"/>
      <c r="L666" s="7"/>
      <c r="M666" s="8" t="s">
        <v>17</v>
      </c>
    </row>
    <row r="667" customFormat="false" ht="15" hidden="false" customHeight="false" outlineLevel="0" collapsed="false">
      <c r="A667" s="2" t="n">
        <v>666</v>
      </c>
      <c r="B667" s="3" t="s">
        <v>1386</v>
      </c>
      <c r="C667" s="3" t="s">
        <v>19</v>
      </c>
      <c r="D667" s="4" t="s">
        <v>1387</v>
      </c>
      <c r="E667" s="3" t="s">
        <v>15</v>
      </c>
      <c r="F667" s="3" t="s">
        <v>1388</v>
      </c>
      <c r="G667" s="5" t="s">
        <v>16</v>
      </c>
      <c r="H667" s="6"/>
      <c r="I667" s="5"/>
      <c r="J667" s="5"/>
      <c r="K667" s="6"/>
      <c r="L667" s="7"/>
      <c r="M667" s="8" t="s">
        <v>17</v>
      </c>
    </row>
    <row r="668" customFormat="false" ht="15" hidden="false" customHeight="false" outlineLevel="0" collapsed="false">
      <c r="A668" s="2" t="n">
        <v>667</v>
      </c>
      <c r="B668" s="3" t="s">
        <v>1389</v>
      </c>
      <c r="C668" s="3" t="s">
        <v>75</v>
      </c>
      <c r="D668" s="4"/>
      <c r="E668" s="3" t="s">
        <v>15</v>
      </c>
      <c r="F668" s="3"/>
      <c r="G668" s="5" t="s">
        <v>16</v>
      </c>
      <c r="H668" s="6"/>
      <c r="I668" s="5"/>
      <c r="J668" s="5"/>
      <c r="K668" s="6"/>
      <c r="L668" s="7"/>
      <c r="M668" s="8" t="s">
        <v>17</v>
      </c>
    </row>
    <row r="669" customFormat="false" ht="15" hidden="false" customHeight="false" outlineLevel="0" collapsed="false">
      <c r="A669" s="2" t="n">
        <v>668</v>
      </c>
      <c r="B669" s="3" t="s">
        <v>1390</v>
      </c>
      <c r="C669" s="3"/>
      <c r="D669" s="4" t="s">
        <v>1391</v>
      </c>
      <c r="E669" s="3" t="s">
        <v>15</v>
      </c>
      <c r="F669" s="3" t="s">
        <v>1392</v>
      </c>
      <c r="G669" s="5" t="s">
        <v>16</v>
      </c>
      <c r="H669" s="6"/>
      <c r="I669" s="5"/>
      <c r="J669" s="5"/>
      <c r="K669" s="6"/>
      <c r="L669" s="7"/>
      <c r="M669" s="8" t="s">
        <v>17</v>
      </c>
    </row>
    <row r="670" customFormat="false" ht="15" hidden="false" customHeight="false" outlineLevel="0" collapsed="false">
      <c r="A670" s="2" t="n">
        <v>669</v>
      </c>
      <c r="B670" s="3" t="s">
        <v>1393</v>
      </c>
      <c r="C670" s="3"/>
      <c r="D670" s="4" t="s">
        <v>1394</v>
      </c>
      <c r="E670" s="3" t="s">
        <v>15</v>
      </c>
      <c r="F670" s="3"/>
      <c r="G670" s="5" t="s">
        <v>16</v>
      </c>
      <c r="H670" s="6"/>
      <c r="I670" s="5"/>
      <c r="J670" s="5"/>
      <c r="K670" s="6"/>
      <c r="L670" s="7"/>
      <c r="M670" s="8" t="s">
        <v>17</v>
      </c>
    </row>
    <row r="671" customFormat="false" ht="15" hidden="false" customHeight="false" outlineLevel="0" collapsed="false">
      <c r="A671" s="2" t="n">
        <v>670</v>
      </c>
      <c r="B671" s="3" t="s">
        <v>1395</v>
      </c>
      <c r="C671" s="3"/>
      <c r="D671" s="4"/>
      <c r="E671" s="3" t="s">
        <v>15</v>
      </c>
      <c r="F671" s="3" t="s">
        <v>1396</v>
      </c>
      <c r="G671" s="5" t="s">
        <v>16</v>
      </c>
      <c r="H671" s="6"/>
      <c r="I671" s="5"/>
      <c r="J671" s="5"/>
      <c r="K671" s="6"/>
      <c r="L671" s="7"/>
      <c r="M671" s="8" t="s">
        <v>17</v>
      </c>
    </row>
    <row r="672" customFormat="false" ht="15" hidden="false" customHeight="false" outlineLevel="0" collapsed="false">
      <c r="A672" s="2" t="n">
        <v>671</v>
      </c>
      <c r="B672" s="3" t="s">
        <v>1397</v>
      </c>
      <c r="C672" s="3" t="s">
        <v>62</v>
      </c>
      <c r="D672" s="4" t="s">
        <v>1398</v>
      </c>
      <c r="E672" s="3" t="s">
        <v>15</v>
      </c>
      <c r="F672" s="3" t="s">
        <v>1399</v>
      </c>
      <c r="G672" s="5" t="s">
        <v>16</v>
      </c>
      <c r="H672" s="6"/>
      <c r="I672" s="5"/>
      <c r="J672" s="5"/>
      <c r="K672" s="6"/>
      <c r="L672" s="7"/>
      <c r="M672" s="8" t="s">
        <v>17</v>
      </c>
    </row>
    <row r="673" customFormat="false" ht="15" hidden="false" customHeight="false" outlineLevel="0" collapsed="false">
      <c r="A673" s="2" t="n">
        <v>672</v>
      </c>
      <c r="B673" s="3" t="s">
        <v>1400</v>
      </c>
      <c r="C673" s="3" t="s">
        <v>1401</v>
      </c>
      <c r="D673" s="4" t="s">
        <v>1402</v>
      </c>
      <c r="E673" s="3" t="s">
        <v>15</v>
      </c>
      <c r="F673" s="3" t="s">
        <v>1403</v>
      </c>
      <c r="G673" s="5" t="s">
        <v>16</v>
      </c>
      <c r="H673" s="6"/>
      <c r="I673" s="5"/>
      <c r="J673" s="5"/>
      <c r="K673" s="6"/>
      <c r="L673" s="7"/>
      <c r="M673" s="8" t="s">
        <v>17</v>
      </c>
    </row>
    <row r="674" customFormat="false" ht="15" hidden="false" customHeight="false" outlineLevel="0" collapsed="false">
      <c r="A674" s="2" t="n">
        <v>673</v>
      </c>
      <c r="B674" s="3" t="s">
        <v>1404</v>
      </c>
      <c r="C674" s="3" t="s">
        <v>1401</v>
      </c>
      <c r="D674" s="4" t="s">
        <v>1405</v>
      </c>
      <c r="E674" s="3" t="s">
        <v>15</v>
      </c>
      <c r="F674" s="3"/>
      <c r="G674" s="5" t="s">
        <v>16</v>
      </c>
      <c r="H674" s="6"/>
      <c r="I674" s="5"/>
      <c r="J674" s="5"/>
      <c r="K674" s="6"/>
      <c r="L674" s="7"/>
      <c r="M674" s="8" t="s">
        <v>17</v>
      </c>
    </row>
    <row r="675" customFormat="false" ht="15" hidden="false" customHeight="false" outlineLevel="0" collapsed="false">
      <c r="A675" s="2" t="n">
        <v>674</v>
      </c>
      <c r="B675" s="3" t="s">
        <v>1406</v>
      </c>
      <c r="C675" s="3" t="s">
        <v>51</v>
      </c>
      <c r="D675" s="4"/>
      <c r="E675" s="3" t="s">
        <v>15</v>
      </c>
      <c r="F675" s="3" t="s">
        <v>1407</v>
      </c>
      <c r="G675" s="5" t="s">
        <v>16</v>
      </c>
      <c r="H675" s="6"/>
      <c r="I675" s="5"/>
      <c r="J675" s="5"/>
      <c r="K675" s="6"/>
      <c r="L675" s="7"/>
      <c r="M675" s="8" t="s">
        <v>17</v>
      </c>
    </row>
    <row r="676" customFormat="false" ht="15" hidden="false" customHeight="false" outlineLevel="0" collapsed="false">
      <c r="A676" s="2" t="n">
        <v>675</v>
      </c>
      <c r="B676" s="3" t="s">
        <v>1408</v>
      </c>
      <c r="C676" s="3" t="s">
        <v>387</v>
      </c>
      <c r="D676" s="4"/>
      <c r="E676" s="3" t="s">
        <v>15</v>
      </c>
      <c r="F676" s="3" t="s">
        <v>1409</v>
      </c>
      <c r="G676" s="5" t="s">
        <v>16</v>
      </c>
      <c r="H676" s="6"/>
      <c r="I676" s="5"/>
      <c r="J676" s="5"/>
      <c r="K676" s="6"/>
      <c r="L676" s="7"/>
      <c r="M676" s="8" t="s">
        <v>17</v>
      </c>
    </row>
    <row r="677" customFormat="false" ht="15" hidden="false" customHeight="false" outlineLevel="0" collapsed="false">
      <c r="A677" s="2" t="n">
        <v>676</v>
      </c>
      <c r="B677" s="3" t="s">
        <v>1410</v>
      </c>
      <c r="C677" s="3" t="s">
        <v>75</v>
      </c>
      <c r="D677" s="4"/>
      <c r="E677" s="3" t="s">
        <v>15</v>
      </c>
      <c r="F677" s="3" t="s">
        <v>1411</v>
      </c>
      <c r="G677" s="5" t="s">
        <v>16</v>
      </c>
      <c r="H677" s="6"/>
      <c r="I677" s="5"/>
      <c r="J677" s="5"/>
      <c r="K677" s="6"/>
      <c r="L677" s="7"/>
      <c r="M677" s="8" t="s">
        <v>17</v>
      </c>
    </row>
    <row r="678" customFormat="false" ht="15" hidden="false" customHeight="false" outlineLevel="0" collapsed="false">
      <c r="A678" s="2" t="n">
        <v>677</v>
      </c>
      <c r="B678" s="3" t="s">
        <v>1412</v>
      </c>
      <c r="C678" s="3"/>
      <c r="D678" s="4"/>
      <c r="E678" s="3" t="s">
        <v>15</v>
      </c>
      <c r="F678" s="3"/>
      <c r="G678" s="5" t="s">
        <v>16</v>
      </c>
      <c r="H678" s="6"/>
      <c r="I678" s="5"/>
      <c r="J678" s="5"/>
      <c r="K678" s="6"/>
      <c r="L678" s="7"/>
      <c r="M678" s="8" t="s">
        <v>17</v>
      </c>
    </row>
    <row r="679" customFormat="false" ht="15" hidden="false" customHeight="false" outlineLevel="0" collapsed="false">
      <c r="A679" s="2" t="n">
        <v>678</v>
      </c>
      <c r="B679" s="3" t="s">
        <v>1413</v>
      </c>
      <c r="C679" s="3" t="s">
        <v>51</v>
      </c>
      <c r="D679" s="4" t="s">
        <v>1414</v>
      </c>
      <c r="E679" s="3" t="s">
        <v>15</v>
      </c>
      <c r="F679" s="3" t="s">
        <v>1415</v>
      </c>
      <c r="G679" s="5" t="s">
        <v>16</v>
      </c>
      <c r="H679" s="6"/>
      <c r="I679" s="5"/>
      <c r="J679" s="5"/>
      <c r="K679" s="6"/>
      <c r="L679" s="7"/>
      <c r="M679" s="8" t="s">
        <v>17</v>
      </c>
    </row>
    <row r="680" customFormat="false" ht="15" hidden="false" customHeight="false" outlineLevel="0" collapsed="false">
      <c r="A680" s="2" t="n">
        <v>679</v>
      </c>
      <c r="B680" s="3" t="s">
        <v>1416</v>
      </c>
      <c r="C680" s="3" t="s">
        <v>387</v>
      </c>
      <c r="D680" s="4"/>
      <c r="E680" s="3" t="s">
        <v>15</v>
      </c>
      <c r="F680" s="3"/>
      <c r="G680" s="5" t="s">
        <v>16</v>
      </c>
      <c r="H680" s="6"/>
      <c r="I680" s="5"/>
      <c r="J680" s="5"/>
      <c r="K680" s="6"/>
      <c r="L680" s="7"/>
      <c r="M680" s="8" t="s">
        <v>17</v>
      </c>
    </row>
    <row r="681" customFormat="false" ht="15" hidden="false" customHeight="false" outlineLevel="0" collapsed="false">
      <c r="A681" s="2" t="n">
        <v>680</v>
      </c>
      <c r="B681" s="3" t="s">
        <v>1417</v>
      </c>
      <c r="C681" s="3" t="s">
        <v>387</v>
      </c>
      <c r="D681" s="4"/>
      <c r="E681" s="3" t="s">
        <v>15</v>
      </c>
      <c r="F681" s="3" t="s">
        <v>1418</v>
      </c>
      <c r="G681" s="5" t="s">
        <v>16</v>
      </c>
      <c r="H681" s="6"/>
      <c r="I681" s="5"/>
      <c r="J681" s="5"/>
      <c r="K681" s="6"/>
      <c r="L681" s="7"/>
      <c r="M681" s="8" t="s">
        <v>17</v>
      </c>
    </row>
    <row r="682" customFormat="false" ht="15" hidden="false" customHeight="false" outlineLevel="0" collapsed="false">
      <c r="A682" s="2" t="n">
        <v>681</v>
      </c>
      <c r="B682" s="3" t="s">
        <v>1419</v>
      </c>
      <c r="C682" s="3"/>
      <c r="D682" s="4"/>
      <c r="E682" s="3" t="s">
        <v>15</v>
      </c>
      <c r="F682" s="3"/>
      <c r="G682" s="5" t="s">
        <v>16</v>
      </c>
      <c r="H682" s="6"/>
      <c r="I682" s="5"/>
      <c r="J682" s="5"/>
      <c r="K682" s="6"/>
      <c r="L682" s="7"/>
      <c r="M682" s="8" t="s">
        <v>17</v>
      </c>
    </row>
    <row r="683" customFormat="false" ht="15" hidden="false" customHeight="false" outlineLevel="0" collapsed="false">
      <c r="A683" s="2" t="n">
        <v>682</v>
      </c>
      <c r="B683" s="3" t="s">
        <v>1420</v>
      </c>
      <c r="C683" s="3" t="s">
        <v>1421</v>
      </c>
      <c r="D683" s="4"/>
      <c r="E683" s="3" t="s">
        <v>15</v>
      </c>
      <c r="F683" s="3" t="s">
        <v>1422</v>
      </c>
      <c r="G683" s="5" t="s">
        <v>16</v>
      </c>
      <c r="H683" s="6"/>
      <c r="I683" s="5"/>
      <c r="J683" s="5"/>
      <c r="K683" s="6"/>
      <c r="L683" s="7"/>
      <c r="M683" s="8" t="s">
        <v>17</v>
      </c>
    </row>
    <row r="684" customFormat="false" ht="15" hidden="false" customHeight="false" outlineLevel="0" collapsed="false">
      <c r="A684" s="2" t="n">
        <v>683</v>
      </c>
      <c r="B684" s="3" t="s">
        <v>1423</v>
      </c>
      <c r="C684" s="3" t="s">
        <v>81</v>
      </c>
      <c r="D684" s="4"/>
      <c r="E684" s="3" t="s">
        <v>15</v>
      </c>
      <c r="F684" s="3"/>
      <c r="G684" s="5" t="s">
        <v>16</v>
      </c>
      <c r="H684" s="6"/>
      <c r="I684" s="5"/>
      <c r="J684" s="5"/>
      <c r="K684" s="6"/>
      <c r="L684" s="7"/>
      <c r="M684" s="8" t="s">
        <v>17</v>
      </c>
    </row>
    <row r="685" customFormat="false" ht="15" hidden="false" customHeight="false" outlineLevel="0" collapsed="false">
      <c r="A685" s="2" t="n">
        <v>684</v>
      </c>
      <c r="B685" s="3" t="s">
        <v>1424</v>
      </c>
      <c r="C685" s="3" t="s">
        <v>1425</v>
      </c>
      <c r="D685" s="4"/>
      <c r="E685" s="3" t="s">
        <v>15</v>
      </c>
      <c r="F685" s="3"/>
      <c r="G685" s="5" t="s">
        <v>16</v>
      </c>
      <c r="H685" s="6"/>
      <c r="I685" s="5"/>
      <c r="J685" s="5"/>
      <c r="K685" s="6"/>
      <c r="L685" s="7"/>
      <c r="M685" s="8" t="s">
        <v>17</v>
      </c>
    </row>
    <row r="686" customFormat="false" ht="15" hidden="false" customHeight="false" outlineLevel="0" collapsed="false">
      <c r="A686" s="2" t="n">
        <v>685</v>
      </c>
      <c r="B686" s="3" t="s">
        <v>1426</v>
      </c>
      <c r="C686" s="3"/>
      <c r="D686" s="4"/>
      <c r="E686" s="3" t="s">
        <v>15</v>
      </c>
      <c r="F686" s="3"/>
      <c r="G686" s="5" t="s">
        <v>16</v>
      </c>
      <c r="H686" s="6"/>
      <c r="I686" s="5"/>
      <c r="J686" s="5"/>
      <c r="K686" s="6"/>
      <c r="L686" s="7"/>
      <c r="M686" s="8" t="s">
        <v>17</v>
      </c>
    </row>
    <row r="687" customFormat="false" ht="15" hidden="false" customHeight="false" outlineLevel="0" collapsed="false">
      <c r="A687" s="2" t="n">
        <v>686</v>
      </c>
      <c r="B687" s="3" t="s">
        <v>1427</v>
      </c>
      <c r="C687" s="3" t="s">
        <v>84</v>
      </c>
      <c r="D687" s="4"/>
      <c r="E687" s="3" t="s">
        <v>15</v>
      </c>
      <c r="F687" s="3" t="s">
        <v>1428</v>
      </c>
      <c r="G687" s="5" t="s">
        <v>16</v>
      </c>
      <c r="H687" s="6"/>
      <c r="I687" s="5"/>
      <c r="J687" s="5"/>
      <c r="K687" s="6"/>
      <c r="L687" s="7"/>
      <c r="M687" s="8" t="s">
        <v>17</v>
      </c>
    </row>
    <row r="688" customFormat="false" ht="15" hidden="false" customHeight="false" outlineLevel="0" collapsed="false">
      <c r="A688" s="2" t="n">
        <v>687</v>
      </c>
      <c r="B688" s="3" t="s">
        <v>1429</v>
      </c>
      <c r="C688" s="3"/>
      <c r="D688" s="4"/>
      <c r="E688" s="3" t="s">
        <v>15</v>
      </c>
      <c r="F688" s="3" t="s">
        <v>1430</v>
      </c>
      <c r="G688" s="5" t="s">
        <v>16</v>
      </c>
      <c r="H688" s="6"/>
      <c r="I688" s="5"/>
      <c r="J688" s="5"/>
      <c r="K688" s="6"/>
      <c r="L688" s="7"/>
      <c r="M688" s="8" t="s">
        <v>17</v>
      </c>
    </row>
    <row r="689" customFormat="false" ht="15" hidden="false" customHeight="false" outlineLevel="0" collapsed="false">
      <c r="A689" s="2" t="n">
        <v>688</v>
      </c>
      <c r="B689" s="3" t="s">
        <v>1431</v>
      </c>
      <c r="C689" s="3" t="s">
        <v>19</v>
      </c>
      <c r="D689" s="4"/>
      <c r="E689" s="3" t="s">
        <v>15</v>
      </c>
      <c r="F689" s="3"/>
      <c r="G689" s="5" t="s">
        <v>16</v>
      </c>
      <c r="H689" s="6"/>
      <c r="I689" s="5"/>
      <c r="J689" s="5"/>
      <c r="K689" s="6"/>
      <c r="L689" s="7"/>
      <c r="M689" s="8" t="s">
        <v>17</v>
      </c>
    </row>
    <row r="690" customFormat="false" ht="15" hidden="false" customHeight="false" outlineLevel="0" collapsed="false">
      <c r="A690" s="2" t="n">
        <v>689</v>
      </c>
      <c r="B690" s="3" t="s">
        <v>1432</v>
      </c>
      <c r="C690" s="3" t="s">
        <v>84</v>
      </c>
      <c r="D690" s="4"/>
      <c r="E690" s="3" t="s">
        <v>15</v>
      </c>
      <c r="F690" s="3" t="s">
        <v>1433</v>
      </c>
      <c r="G690" s="5" t="s">
        <v>16</v>
      </c>
      <c r="H690" s="6"/>
      <c r="I690" s="5"/>
      <c r="J690" s="5"/>
      <c r="K690" s="6"/>
      <c r="L690" s="7"/>
      <c r="M690" s="8" t="s">
        <v>17</v>
      </c>
    </row>
    <row r="691" customFormat="false" ht="15" hidden="false" customHeight="false" outlineLevel="0" collapsed="false">
      <c r="A691" s="2" t="n">
        <v>690</v>
      </c>
      <c r="B691" s="3" t="s">
        <v>1434</v>
      </c>
      <c r="C691" s="3" t="s">
        <v>1435</v>
      </c>
      <c r="D691" s="4"/>
      <c r="E691" s="3" t="s">
        <v>15</v>
      </c>
      <c r="F691" s="3"/>
      <c r="G691" s="5" t="s">
        <v>16</v>
      </c>
      <c r="H691" s="6"/>
      <c r="I691" s="5"/>
      <c r="J691" s="5"/>
      <c r="K691" s="6"/>
      <c r="L691" s="7"/>
      <c r="M691" s="8" t="s">
        <v>17</v>
      </c>
    </row>
    <row r="692" customFormat="false" ht="15" hidden="false" customHeight="false" outlineLevel="0" collapsed="false">
      <c r="A692" s="2" t="n">
        <v>691</v>
      </c>
      <c r="B692" s="3" t="s">
        <v>1436</v>
      </c>
      <c r="C692" s="3" t="s">
        <v>51</v>
      </c>
      <c r="D692" s="4"/>
      <c r="E692" s="3" t="s">
        <v>15</v>
      </c>
      <c r="F692" s="3"/>
      <c r="G692" s="5" t="s">
        <v>16</v>
      </c>
      <c r="H692" s="6"/>
      <c r="I692" s="5"/>
      <c r="J692" s="5"/>
      <c r="K692" s="6"/>
      <c r="L692" s="7"/>
      <c r="M692" s="8" t="s">
        <v>17</v>
      </c>
    </row>
    <row r="693" customFormat="false" ht="15" hidden="false" customHeight="false" outlineLevel="0" collapsed="false">
      <c r="A693" s="2" t="n">
        <v>692</v>
      </c>
      <c r="B693" s="3" t="s">
        <v>1437</v>
      </c>
      <c r="C693" s="3" t="s">
        <v>278</v>
      </c>
      <c r="D693" s="4"/>
      <c r="E693" s="3" t="s">
        <v>15</v>
      </c>
      <c r="F693" s="3"/>
      <c r="G693" s="5" t="s">
        <v>16</v>
      </c>
      <c r="H693" s="6"/>
      <c r="I693" s="5"/>
      <c r="J693" s="5"/>
      <c r="K693" s="6"/>
      <c r="L693" s="7"/>
      <c r="M693" s="8" t="s">
        <v>17</v>
      </c>
    </row>
    <row r="694" customFormat="false" ht="15" hidden="false" customHeight="false" outlineLevel="0" collapsed="false">
      <c r="A694" s="2" t="n">
        <v>693</v>
      </c>
      <c r="B694" s="3" t="s">
        <v>1438</v>
      </c>
      <c r="C694" s="3" t="s">
        <v>180</v>
      </c>
      <c r="D694" s="4"/>
      <c r="E694" s="3" t="s">
        <v>15</v>
      </c>
      <c r="F694" s="3"/>
      <c r="G694" s="5" t="s">
        <v>16</v>
      </c>
      <c r="H694" s="6"/>
      <c r="I694" s="5"/>
      <c r="J694" s="5"/>
      <c r="K694" s="6"/>
      <c r="L694" s="7"/>
      <c r="M694" s="8" t="s">
        <v>17</v>
      </c>
    </row>
    <row r="695" customFormat="false" ht="15" hidden="false" customHeight="false" outlineLevel="0" collapsed="false">
      <c r="A695" s="2" t="n">
        <v>694</v>
      </c>
      <c r="B695" s="3" t="s">
        <v>1439</v>
      </c>
      <c r="C695" s="3" t="s">
        <v>81</v>
      </c>
      <c r="D695" s="4"/>
      <c r="E695" s="3" t="s">
        <v>15</v>
      </c>
      <c r="F695" s="3"/>
      <c r="G695" s="5" t="s">
        <v>16</v>
      </c>
      <c r="H695" s="6"/>
      <c r="I695" s="5"/>
      <c r="J695" s="5"/>
      <c r="K695" s="6"/>
      <c r="L695" s="7"/>
      <c r="M695" s="8" t="s">
        <v>17</v>
      </c>
    </row>
    <row r="696" customFormat="false" ht="15" hidden="false" customHeight="false" outlineLevel="0" collapsed="false">
      <c r="A696" s="2" t="n">
        <v>695</v>
      </c>
      <c r="B696" s="3" t="s">
        <v>1440</v>
      </c>
      <c r="C696" s="3"/>
      <c r="D696" s="4"/>
      <c r="E696" s="3" t="s">
        <v>15</v>
      </c>
      <c r="F696" s="3"/>
      <c r="G696" s="5" t="s">
        <v>16</v>
      </c>
      <c r="H696" s="6"/>
      <c r="I696" s="5"/>
      <c r="J696" s="5"/>
      <c r="K696" s="6"/>
      <c r="L696" s="7"/>
      <c r="M696" s="8" t="s">
        <v>17</v>
      </c>
    </row>
    <row r="697" customFormat="false" ht="15" hidden="false" customHeight="false" outlineLevel="0" collapsed="false">
      <c r="A697" s="2" t="n">
        <v>696</v>
      </c>
      <c r="B697" s="3" t="s">
        <v>1441</v>
      </c>
      <c r="C697" s="3" t="s">
        <v>51</v>
      </c>
      <c r="D697" s="4"/>
      <c r="E697" s="3" t="s">
        <v>15</v>
      </c>
      <c r="F697" s="3" t="s">
        <v>1442</v>
      </c>
      <c r="G697" s="5" t="s">
        <v>16</v>
      </c>
      <c r="H697" s="6"/>
      <c r="I697" s="5"/>
      <c r="J697" s="5"/>
      <c r="K697" s="6"/>
      <c r="L697" s="7"/>
      <c r="M697" s="8" t="s">
        <v>17</v>
      </c>
    </row>
    <row r="698" customFormat="false" ht="15" hidden="false" customHeight="false" outlineLevel="0" collapsed="false">
      <c r="A698" s="2" t="n">
        <v>697</v>
      </c>
      <c r="B698" s="3" t="s">
        <v>1443</v>
      </c>
      <c r="C698" s="3" t="s">
        <v>81</v>
      </c>
      <c r="D698" s="4"/>
      <c r="E698" s="3" t="s">
        <v>15</v>
      </c>
      <c r="F698" s="3" t="s">
        <v>1444</v>
      </c>
      <c r="G698" s="5" t="s">
        <v>16</v>
      </c>
      <c r="H698" s="6"/>
      <c r="I698" s="5"/>
      <c r="J698" s="5"/>
      <c r="K698" s="6"/>
      <c r="L698" s="7"/>
      <c r="M698" s="8" t="s">
        <v>17</v>
      </c>
    </row>
    <row r="699" customFormat="false" ht="15" hidden="false" customHeight="false" outlineLevel="0" collapsed="false">
      <c r="A699" s="2" t="n">
        <v>698</v>
      </c>
      <c r="B699" s="3" t="s">
        <v>1445</v>
      </c>
      <c r="C699" s="3"/>
      <c r="D699" s="4" t="s">
        <v>1446</v>
      </c>
      <c r="E699" s="3" t="s">
        <v>15</v>
      </c>
      <c r="F699" s="3"/>
      <c r="G699" s="5" t="s">
        <v>16</v>
      </c>
      <c r="H699" s="6"/>
      <c r="I699" s="5"/>
      <c r="J699" s="5"/>
      <c r="K699" s="6"/>
      <c r="L699" s="7"/>
      <c r="M699" s="8" t="s">
        <v>17</v>
      </c>
    </row>
    <row r="700" customFormat="false" ht="15" hidden="false" customHeight="false" outlineLevel="0" collapsed="false">
      <c r="A700" s="2" t="n">
        <v>699</v>
      </c>
      <c r="B700" s="3" t="s">
        <v>1447</v>
      </c>
      <c r="C700" s="3"/>
      <c r="D700" s="4"/>
      <c r="E700" s="3" t="s">
        <v>15</v>
      </c>
      <c r="F700" s="3"/>
      <c r="G700" s="5" t="s">
        <v>16</v>
      </c>
      <c r="H700" s="6"/>
      <c r="I700" s="5"/>
      <c r="J700" s="5"/>
      <c r="K700" s="6"/>
      <c r="L700" s="7"/>
      <c r="M700" s="8" t="s">
        <v>17</v>
      </c>
    </row>
    <row r="701" customFormat="false" ht="15" hidden="false" customHeight="false" outlineLevel="0" collapsed="false">
      <c r="A701" s="2" t="n">
        <v>700</v>
      </c>
      <c r="B701" s="3" t="s">
        <v>1448</v>
      </c>
      <c r="C701" s="3" t="s">
        <v>383</v>
      </c>
      <c r="D701" s="4"/>
      <c r="E701" s="3" t="s">
        <v>15</v>
      </c>
      <c r="F701" s="3" t="s">
        <v>1449</v>
      </c>
      <c r="G701" s="5" t="s">
        <v>16</v>
      </c>
      <c r="H701" s="6"/>
      <c r="I701" s="5"/>
      <c r="J701" s="5"/>
      <c r="K701" s="6"/>
      <c r="L701" s="7"/>
      <c r="M701" s="8" t="s">
        <v>17</v>
      </c>
    </row>
    <row r="702" customFormat="false" ht="15" hidden="false" customHeight="false" outlineLevel="0" collapsed="false">
      <c r="A702" s="2" t="n">
        <v>701</v>
      </c>
      <c r="B702" s="3" t="s">
        <v>1450</v>
      </c>
      <c r="C702" s="3" t="s">
        <v>19</v>
      </c>
      <c r="D702" s="4"/>
      <c r="E702" s="3" t="s">
        <v>15</v>
      </c>
      <c r="F702" s="3" t="s">
        <v>1451</v>
      </c>
      <c r="G702" s="5" t="s">
        <v>16</v>
      </c>
      <c r="H702" s="6"/>
      <c r="I702" s="5"/>
      <c r="J702" s="5"/>
      <c r="K702" s="6"/>
      <c r="L702" s="7"/>
      <c r="M702" s="8" t="s">
        <v>17</v>
      </c>
    </row>
    <row r="703" customFormat="false" ht="15" hidden="false" customHeight="false" outlineLevel="0" collapsed="false">
      <c r="A703" s="2" t="n">
        <v>702</v>
      </c>
      <c r="B703" s="3" t="s">
        <v>1452</v>
      </c>
      <c r="C703" s="3" t="s">
        <v>64</v>
      </c>
      <c r="D703" s="4" t="s">
        <v>1453</v>
      </c>
      <c r="E703" s="3" t="s">
        <v>15</v>
      </c>
      <c r="F703" s="3" t="s">
        <v>1454</v>
      </c>
      <c r="G703" s="5" t="s">
        <v>16</v>
      </c>
      <c r="H703" s="6"/>
      <c r="I703" s="5"/>
      <c r="J703" s="5"/>
      <c r="K703" s="6"/>
      <c r="L703" s="7"/>
      <c r="M703" s="8" t="s">
        <v>17</v>
      </c>
    </row>
    <row r="704" customFormat="false" ht="15" hidden="false" customHeight="false" outlineLevel="0" collapsed="false">
      <c r="A704" s="2" t="n">
        <v>703</v>
      </c>
      <c r="B704" s="3" t="s">
        <v>1455</v>
      </c>
      <c r="C704" s="3" t="s">
        <v>64</v>
      </c>
      <c r="D704" s="4" t="s">
        <v>1456</v>
      </c>
      <c r="E704" s="3" t="s">
        <v>15</v>
      </c>
      <c r="F704" s="3" t="s">
        <v>1457</v>
      </c>
      <c r="G704" s="5" t="s">
        <v>16</v>
      </c>
      <c r="H704" s="6"/>
      <c r="I704" s="5"/>
      <c r="J704" s="5"/>
      <c r="K704" s="6"/>
      <c r="L704" s="7"/>
      <c r="M704" s="8" t="s">
        <v>17</v>
      </c>
    </row>
    <row r="705" customFormat="false" ht="15" hidden="false" customHeight="false" outlineLevel="0" collapsed="false">
      <c r="A705" s="2" t="n">
        <v>704</v>
      </c>
      <c r="B705" s="3" t="s">
        <v>1458</v>
      </c>
      <c r="C705" s="3" t="s">
        <v>62</v>
      </c>
      <c r="D705" s="4"/>
      <c r="E705" s="3" t="s">
        <v>15</v>
      </c>
      <c r="F705" s="3" t="s">
        <v>1459</v>
      </c>
      <c r="G705" s="5" t="s">
        <v>16</v>
      </c>
      <c r="H705" s="6"/>
      <c r="I705" s="5"/>
      <c r="J705" s="5"/>
      <c r="K705" s="6"/>
      <c r="L705" s="7"/>
      <c r="M705" s="8" t="s">
        <v>17</v>
      </c>
    </row>
    <row r="706" customFormat="false" ht="15" hidden="false" customHeight="false" outlineLevel="0" collapsed="false">
      <c r="A706" s="2" t="n">
        <v>705</v>
      </c>
      <c r="B706" s="3" t="s">
        <v>1460</v>
      </c>
      <c r="C706" s="3" t="s">
        <v>62</v>
      </c>
      <c r="D706" s="4"/>
      <c r="E706" s="3" t="s">
        <v>15</v>
      </c>
      <c r="F706" s="3" t="s">
        <v>1461</v>
      </c>
      <c r="G706" s="5" t="s">
        <v>16</v>
      </c>
      <c r="H706" s="6"/>
      <c r="I706" s="5"/>
      <c r="J706" s="5"/>
      <c r="K706" s="6"/>
      <c r="L706" s="7"/>
      <c r="M706" s="8" t="s">
        <v>17</v>
      </c>
    </row>
    <row r="707" customFormat="false" ht="15" hidden="false" customHeight="false" outlineLevel="0" collapsed="false">
      <c r="A707" s="2" t="n">
        <v>706</v>
      </c>
      <c r="B707" s="3" t="s">
        <v>1462</v>
      </c>
      <c r="C707" s="3" t="s">
        <v>75</v>
      </c>
      <c r="D707" s="4" t="s">
        <v>1463</v>
      </c>
      <c r="E707" s="3" t="s">
        <v>15</v>
      </c>
      <c r="F707" s="3" t="s">
        <v>1464</v>
      </c>
      <c r="G707" s="5" t="s">
        <v>16</v>
      </c>
      <c r="H707" s="6"/>
      <c r="I707" s="5"/>
      <c r="J707" s="5"/>
      <c r="K707" s="6"/>
      <c r="L707" s="7"/>
      <c r="M707" s="8" t="s">
        <v>17</v>
      </c>
    </row>
    <row r="708" customFormat="false" ht="15" hidden="false" customHeight="false" outlineLevel="0" collapsed="false">
      <c r="A708" s="2" t="n">
        <v>707</v>
      </c>
      <c r="B708" s="3" t="s">
        <v>1465</v>
      </c>
      <c r="C708" s="3" t="s">
        <v>64</v>
      </c>
      <c r="D708" s="4"/>
      <c r="E708" s="3" t="s">
        <v>15</v>
      </c>
      <c r="F708" s="3"/>
      <c r="G708" s="5" t="s">
        <v>16</v>
      </c>
      <c r="H708" s="6"/>
      <c r="I708" s="5"/>
      <c r="J708" s="5"/>
      <c r="K708" s="6"/>
      <c r="L708" s="7"/>
      <c r="M708" s="8" t="s">
        <v>17</v>
      </c>
    </row>
    <row r="709" customFormat="false" ht="15" hidden="false" customHeight="false" outlineLevel="0" collapsed="false">
      <c r="A709" s="2" t="n">
        <v>708</v>
      </c>
      <c r="B709" s="3" t="s">
        <v>1466</v>
      </c>
      <c r="C709" s="3" t="s">
        <v>19</v>
      </c>
      <c r="D709" s="4"/>
      <c r="E709" s="3" t="s">
        <v>15</v>
      </c>
      <c r="F709" s="3" t="s">
        <v>1467</v>
      </c>
      <c r="G709" s="5" t="s">
        <v>16</v>
      </c>
      <c r="H709" s="6"/>
      <c r="I709" s="5"/>
      <c r="J709" s="5"/>
      <c r="K709" s="6"/>
      <c r="L709" s="7"/>
      <c r="M709" s="8" t="s">
        <v>17</v>
      </c>
    </row>
    <row r="710" customFormat="false" ht="15" hidden="false" customHeight="false" outlineLevel="0" collapsed="false">
      <c r="A710" s="2" t="n">
        <v>709</v>
      </c>
      <c r="B710" s="3" t="s">
        <v>1468</v>
      </c>
      <c r="C710" s="3" t="s">
        <v>19</v>
      </c>
      <c r="D710" s="4" t="s">
        <v>1469</v>
      </c>
      <c r="E710" s="3" t="s">
        <v>15</v>
      </c>
      <c r="F710" s="3"/>
      <c r="G710" s="5" t="s">
        <v>16</v>
      </c>
      <c r="H710" s="6"/>
      <c r="I710" s="5"/>
      <c r="J710" s="5"/>
      <c r="K710" s="6"/>
      <c r="L710" s="7"/>
      <c r="M710" s="8" t="s">
        <v>17</v>
      </c>
    </row>
    <row r="711" customFormat="false" ht="15" hidden="false" customHeight="false" outlineLevel="0" collapsed="false">
      <c r="A711" s="2" t="n">
        <v>710</v>
      </c>
      <c r="B711" s="3" t="s">
        <v>1470</v>
      </c>
      <c r="C711" s="3" t="s">
        <v>19</v>
      </c>
      <c r="D711" s="4"/>
      <c r="E711" s="3" t="s">
        <v>15</v>
      </c>
      <c r="F711" s="3" t="s">
        <v>1471</v>
      </c>
      <c r="G711" s="5" t="s">
        <v>16</v>
      </c>
      <c r="H711" s="6"/>
      <c r="I711" s="5"/>
      <c r="J711" s="5"/>
      <c r="K711" s="6"/>
      <c r="L711" s="7"/>
      <c r="M711" s="8" t="s">
        <v>17</v>
      </c>
    </row>
    <row r="712" customFormat="false" ht="15" hidden="false" customHeight="false" outlineLevel="0" collapsed="false">
      <c r="A712" s="2" t="n">
        <v>711</v>
      </c>
      <c r="B712" s="3" t="s">
        <v>1472</v>
      </c>
      <c r="C712" s="3" t="s">
        <v>19</v>
      </c>
      <c r="D712" s="4" t="s">
        <v>1473</v>
      </c>
      <c r="E712" s="3" t="s">
        <v>15</v>
      </c>
      <c r="F712" s="3" t="s">
        <v>1474</v>
      </c>
      <c r="G712" s="5" t="s">
        <v>16</v>
      </c>
      <c r="H712" s="6"/>
      <c r="I712" s="5"/>
      <c r="J712" s="5"/>
      <c r="K712" s="6"/>
      <c r="L712" s="7"/>
      <c r="M712" s="8" t="s">
        <v>17</v>
      </c>
    </row>
    <row r="713" customFormat="false" ht="15" hidden="false" customHeight="false" outlineLevel="0" collapsed="false">
      <c r="A713" s="2" t="n">
        <v>712</v>
      </c>
      <c r="B713" s="3" t="s">
        <v>1475</v>
      </c>
      <c r="C713" s="3" t="s">
        <v>19</v>
      </c>
      <c r="D713" s="4" t="s">
        <v>1476</v>
      </c>
      <c r="E713" s="3" t="s">
        <v>15</v>
      </c>
      <c r="F713" s="3" t="s">
        <v>1477</v>
      </c>
      <c r="G713" s="5" t="s">
        <v>16</v>
      </c>
      <c r="H713" s="6"/>
      <c r="I713" s="5"/>
      <c r="J713" s="5"/>
      <c r="K713" s="6"/>
      <c r="L713" s="7"/>
      <c r="M713" s="8" t="s">
        <v>17</v>
      </c>
    </row>
    <row r="714" customFormat="false" ht="15" hidden="false" customHeight="false" outlineLevel="0" collapsed="false">
      <c r="A714" s="2" t="n">
        <v>713</v>
      </c>
      <c r="B714" s="3" t="s">
        <v>1478</v>
      </c>
      <c r="C714" s="3" t="s">
        <v>19</v>
      </c>
      <c r="D714" s="4"/>
      <c r="E714" s="3" t="s">
        <v>15</v>
      </c>
      <c r="F714" s="3"/>
      <c r="G714" s="5" t="s">
        <v>16</v>
      </c>
      <c r="H714" s="6"/>
      <c r="I714" s="5"/>
      <c r="J714" s="5"/>
      <c r="K714" s="6"/>
      <c r="L714" s="7"/>
      <c r="M714" s="8" t="s">
        <v>17</v>
      </c>
    </row>
    <row r="715" customFormat="false" ht="15" hidden="false" customHeight="false" outlineLevel="0" collapsed="false">
      <c r="A715" s="2" t="n">
        <v>714</v>
      </c>
      <c r="B715" s="3" t="s">
        <v>1478</v>
      </c>
      <c r="C715" s="3" t="s">
        <v>19</v>
      </c>
      <c r="D715" s="4" t="s">
        <v>1479</v>
      </c>
      <c r="E715" s="3" t="s">
        <v>15</v>
      </c>
      <c r="F715" s="3" t="s">
        <v>1480</v>
      </c>
      <c r="G715" s="5" t="s">
        <v>16</v>
      </c>
      <c r="H715" s="6"/>
      <c r="I715" s="5"/>
      <c r="J715" s="5"/>
      <c r="K715" s="6"/>
      <c r="L715" s="7"/>
      <c r="M715" s="8" t="s">
        <v>17</v>
      </c>
    </row>
    <row r="716" customFormat="false" ht="15" hidden="false" customHeight="false" outlineLevel="0" collapsed="false">
      <c r="A716" s="2" t="n">
        <v>715</v>
      </c>
      <c r="B716" s="3" t="s">
        <v>1478</v>
      </c>
      <c r="C716" s="3" t="s">
        <v>19</v>
      </c>
      <c r="D716" s="4"/>
      <c r="E716" s="3" t="s">
        <v>15</v>
      </c>
      <c r="F716" s="3" t="s">
        <v>1481</v>
      </c>
      <c r="G716" s="5" t="s">
        <v>16</v>
      </c>
      <c r="H716" s="6"/>
      <c r="I716" s="5"/>
      <c r="J716" s="5"/>
      <c r="K716" s="6"/>
      <c r="L716" s="7"/>
      <c r="M716" s="8" t="s">
        <v>17</v>
      </c>
    </row>
    <row r="717" customFormat="false" ht="15" hidden="false" customHeight="false" outlineLevel="0" collapsed="false">
      <c r="A717" s="2" t="n">
        <v>716</v>
      </c>
      <c r="B717" s="3" t="s">
        <v>1482</v>
      </c>
      <c r="C717" s="3" t="s">
        <v>19</v>
      </c>
      <c r="D717" s="4"/>
      <c r="E717" s="3" t="s">
        <v>15</v>
      </c>
      <c r="F717" s="3" t="s">
        <v>1483</v>
      </c>
      <c r="G717" s="5" t="s">
        <v>16</v>
      </c>
      <c r="H717" s="6"/>
      <c r="I717" s="5"/>
      <c r="J717" s="5"/>
      <c r="K717" s="6"/>
      <c r="L717" s="7"/>
      <c r="M717" s="8" t="s">
        <v>17</v>
      </c>
    </row>
    <row r="718" customFormat="false" ht="15" hidden="false" customHeight="false" outlineLevel="0" collapsed="false">
      <c r="A718" s="2" t="n">
        <v>717</v>
      </c>
      <c r="B718" s="3" t="s">
        <v>1484</v>
      </c>
      <c r="C718" s="3" t="s">
        <v>19</v>
      </c>
      <c r="D718" s="4" t="s">
        <v>1485</v>
      </c>
      <c r="E718" s="3" t="s">
        <v>15</v>
      </c>
      <c r="F718" s="3" t="s">
        <v>1486</v>
      </c>
      <c r="G718" s="5" t="s">
        <v>16</v>
      </c>
      <c r="H718" s="6"/>
      <c r="I718" s="5"/>
      <c r="J718" s="5"/>
      <c r="K718" s="6"/>
      <c r="L718" s="7"/>
      <c r="M718" s="8" t="s">
        <v>17</v>
      </c>
    </row>
    <row r="719" customFormat="false" ht="15" hidden="false" customHeight="false" outlineLevel="0" collapsed="false">
      <c r="A719" s="2" t="n">
        <v>718</v>
      </c>
      <c r="B719" s="3" t="s">
        <v>1487</v>
      </c>
      <c r="C719" s="3" t="s">
        <v>19</v>
      </c>
      <c r="D719" s="4"/>
      <c r="E719" s="3" t="s">
        <v>15</v>
      </c>
      <c r="F719" s="3"/>
      <c r="G719" s="5" t="s">
        <v>16</v>
      </c>
      <c r="H719" s="6"/>
      <c r="I719" s="5"/>
      <c r="J719" s="5"/>
      <c r="K719" s="6"/>
      <c r="L719" s="7"/>
      <c r="M719" s="8" t="s">
        <v>17</v>
      </c>
    </row>
    <row r="720" customFormat="false" ht="15" hidden="false" customHeight="false" outlineLevel="0" collapsed="false">
      <c r="A720" s="2" t="n">
        <v>719</v>
      </c>
      <c r="B720" s="3" t="s">
        <v>1488</v>
      </c>
      <c r="C720" s="3" t="s">
        <v>145</v>
      </c>
      <c r="D720" s="4"/>
      <c r="E720" s="3" t="s">
        <v>15</v>
      </c>
      <c r="F720" s="3" t="s">
        <v>1489</v>
      </c>
      <c r="G720" s="5" t="s">
        <v>16</v>
      </c>
      <c r="H720" s="6"/>
      <c r="I720" s="5"/>
      <c r="J720" s="5"/>
      <c r="K720" s="6"/>
      <c r="L720" s="7"/>
      <c r="M720" s="8" t="s">
        <v>17</v>
      </c>
    </row>
    <row r="721" customFormat="false" ht="15" hidden="false" customHeight="false" outlineLevel="0" collapsed="false">
      <c r="A721" s="2" t="n">
        <v>720</v>
      </c>
      <c r="B721" s="3" t="s">
        <v>1490</v>
      </c>
      <c r="C721" s="3" t="s">
        <v>19</v>
      </c>
      <c r="D721" s="4"/>
      <c r="E721" s="3" t="s">
        <v>15</v>
      </c>
      <c r="F721" s="3" t="s">
        <v>1491</v>
      </c>
      <c r="G721" s="5" t="s">
        <v>16</v>
      </c>
      <c r="H721" s="6"/>
      <c r="I721" s="5"/>
      <c r="J721" s="5"/>
      <c r="K721" s="6"/>
      <c r="L721" s="7"/>
      <c r="M721" s="8" t="s">
        <v>17</v>
      </c>
    </row>
    <row r="722" customFormat="false" ht="15" hidden="false" customHeight="false" outlineLevel="0" collapsed="false">
      <c r="A722" s="2" t="n">
        <v>721</v>
      </c>
      <c r="B722" s="3" t="s">
        <v>1492</v>
      </c>
      <c r="C722" s="3" t="s">
        <v>19</v>
      </c>
      <c r="D722" s="4"/>
      <c r="E722" s="3" t="s">
        <v>15</v>
      </c>
      <c r="F722" s="3" t="s">
        <v>1493</v>
      </c>
      <c r="G722" s="5" t="s">
        <v>16</v>
      </c>
      <c r="H722" s="6"/>
      <c r="I722" s="5"/>
      <c r="J722" s="5"/>
      <c r="K722" s="6"/>
      <c r="L722" s="7"/>
      <c r="M722" s="8" t="s">
        <v>17</v>
      </c>
    </row>
    <row r="723" customFormat="false" ht="15" hidden="false" customHeight="false" outlineLevel="0" collapsed="false">
      <c r="A723" s="2" t="n">
        <v>722</v>
      </c>
      <c r="B723" s="3" t="s">
        <v>1494</v>
      </c>
      <c r="C723" s="3" t="s">
        <v>19</v>
      </c>
      <c r="D723" s="4" t="s">
        <v>1495</v>
      </c>
      <c r="E723" s="3" t="s">
        <v>15</v>
      </c>
      <c r="F723" s="3" t="s">
        <v>1496</v>
      </c>
      <c r="G723" s="5" t="s">
        <v>16</v>
      </c>
      <c r="H723" s="6"/>
      <c r="I723" s="5"/>
      <c r="J723" s="5"/>
      <c r="K723" s="6"/>
      <c r="L723" s="7"/>
      <c r="M723" s="8" t="s">
        <v>17</v>
      </c>
    </row>
    <row r="724" customFormat="false" ht="15" hidden="false" customHeight="false" outlineLevel="0" collapsed="false">
      <c r="A724" s="2" t="n">
        <v>723</v>
      </c>
      <c r="B724" s="3" t="s">
        <v>1497</v>
      </c>
      <c r="C724" s="3" t="s">
        <v>19</v>
      </c>
      <c r="D724" s="4"/>
      <c r="E724" s="3" t="s">
        <v>15</v>
      </c>
      <c r="F724" s="3" t="s">
        <v>1498</v>
      </c>
      <c r="G724" s="5" t="s">
        <v>16</v>
      </c>
      <c r="H724" s="6"/>
      <c r="I724" s="5"/>
      <c r="J724" s="5"/>
      <c r="K724" s="6"/>
      <c r="L724" s="7"/>
      <c r="M724" s="8" t="s">
        <v>17</v>
      </c>
    </row>
    <row r="725" customFormat="false" ht="15" hidden="false" customHeight="false" outlineLevel="0" collapsed="false">
      <c r="A725" s="2" t="n">
        <v>724</v>
      </c>
      <c r="B725" s="3" t="s">
        <v>1499</v>
      </c>
      <c r="C725" s="3" t="s">
        <v>19</v>
      </c>
      <c r="D725" s="4"/>
      <c r="E725" s="3" t="s">
        <v>15</v>
      </c>
      <c r="F725" s="3" t="s">
        <v>1500</v>
      </c>
      <c r="G725" s="5" t="s">
        <v>16</v>
      </c>
      <c r="H725" s="6"/>
      <c r="I725" s="5"/>
      <c r="J725" s="5"/>
      <c r="K725" s="6"/>
      <c r="L725" s="7"/>
      <c r="M725" s="8" t="s">
        <v>17</v>
      </c>
    </row>
    <row r="726" customFormat="false" ht="15" hidden="false" customHeight="false" outlineLevel="0" collapsed="false">
      <c r="A726" s="2" t="n">
        <v>725</v>
      </c>
      <c r="B726" s="3" t="s">
        <v>1501</v>
      </c>
      <c r="C726" s="3" t="s">
        <v>19</v>
      </c>
      <c r="D726" s="4"/>
      <c r="E726" s="3" t="s">
        <v>15</v>
      </c>
      <c r="F726" s="3" t="s">
        <v>1502</v>
      </c>
      <c r="G726" s="5" t="s">
        <v>16</v>
      </c>
      <c r="H726" s="6"/>
      <c r="I726" s="5"/>
      <c r="J726" s="5"/>
      <c r="K726" s="6"/>
      <c r="L726" s="7"/>
      <c r="M726" s="8" t="s">
        <v>17</v>
      </c>
    </row>
    <row r="727" customFormat="false" ht="15" hidden="false" customHeight="false" outlineLevel="0" collapsed="false">
      <c r="A727" s="2" t="n">
        <v>726</v>
      </c>
      <c r="B727" s="3" t="s">
        <v>1503</v>
      </c>
      <c r="C727" s="3" t="s">
        <v>19</v>
      </c>
      <c r="D727" s="4"/>
      <c r="E727" s="3" t="s">
        <v>15</v>
      </c>
      <c r="F727" s="3"/>
      <c r="G727" s="5" t="s">
        <v>16</v>
      </c>
      <c r="H727" s="6"/>
      <c r="I727" s="5"/>
      <c r="J727" s="5"/>
      <c r="K727" s="6"/>
      <c r="L727" s="7"/>
      <c r="M727" s="8" t="s">
        <v>17</v>
      </c>
    </row>
    <row r="728" customFormat="false" ht="15" hidden="false" customHeight="false" outlineLevel="0" collapsed="false">
      <c r="A728" s="2" t="n">
        <v>727</v>
      </c>
      <c r="B728" s="3" t="s">
        <v>1504</v>
      </c>
      <c r="C728" s="3" t="s">
        <v>19</v>
      </c>
      <c r="D728" s="4"/>
      <c r="E728" s="3" t="s">
        <v>15</v>
      </c>
      <c r="F728" s="3"/>
      <c r="G728" s="5" t="s">
        <v>16</v>
      </c>
      <c r="H728" s="6"/>
      <c r="I728" s="5"/>
      <c r="J728" s="5"/>
      <c r="K728" s="6"/>
      <c r="L728" s="7"/>
      <c r="M728" s="8" t="s">
        <v>17</v>
      </c>
    </row>
    <row r="729" customFormat="false" ht="15" hidden="false" customHeight="false" outlineLevel="0" collapsed="false">
      <c r="A729" s="2" t="n">
        <v>728</v>
      </c>
      <c r="B729" s="3" t="s">
        <v>1505</v>
      </c>
      <c r="C729" s="3" t="s">
        <v>1506</v>
      </c>
      <c r="D729" s="4" t="s">
        <v>1507</v>
      </c>
      <c r="E729" s="3" t="s">
        <v>15</v>
      </c>
      <c r="F729" s="3" t="s">
        <v>1508</v>
      </c>
      <c r="G729" s="5" t="s">
        <v>16</v>
      </c>
      <c r="H729" s="6"/>
      <c r="I729" s="5"/>
      <c r="J729" s="5"/>
      <c r="K729" s="6"/>
      <c r="L729" s="7"/>
      <c r="M729" s="8" t="s">
        <v>17</v>
      </c>
    </row>
    <row r="730" customFormat="false" ht="15" hidden="false" customHeight="false" outlineLevel="0" collapsed="false">
      <c r="A730" s="2" t="n">
        <v>729</v>
      </c>
      <c r="B730" s="3" t="s">
        <v>1509</v>
      </c>
      <c r="C730" s="3" t="s">
        <v>1510</v>
      </c>
      <c r="D730" s="4"/>
      <c r="E730" s="3" t="s">
        <v>15</v>
      </c>
      <c r="F730" s="3" t="s">
        <v>1511</v>
      </c>
      <c r="G730" s="5" t="s">
        <v>16</v>
      </c>
      <c r="H730" s="6"/>
      <c r="I730" s="5"/>
      <c r="J730" s="5"/>
      <c r="K730" s="6"/>
      <c r="L730" s="7"/>
      <c r="M730" s="8" t="s">
        <v>17</v>
      </c>
    </row>
    <row r="731" customFormat="false" ht="15" hidden="false" customHeight="false" outlineLevel="0" collapsed="false">
      <c r="A731" s="2" t="n">
        <v>730</v>
      </c>
      <c r="B731" s="3" t="s">
        <v>1512</v>
      </c>
      <c r="C731" s="3" t="s">
        <v>1513</v>
      </c>
      <c r="D731" s="4"/>
      <c r="E731" s="3" t="s">
        <v>15</v>
      </c>
      <c r="F731" s="3" t="s">
        <v>1514</v>
      </c>
      <c r="G731" s="5" t="s">
        <v>16</v>
      </c>
      <c r="H731" s="6"/>
      <c r="I731" s="5"/>
      <c r="J731" s="5"/>
      <c r="K731" s="6"/>
      <c r="L731" s="7"/>
      <c r="M731" s="8" t="s">
        <v>17</v>
      </c>
    </row>
    <row r="732" customFormat="false" ht="15" hidden="false" customHeight="false" outlineLevel="0" collapsed="false">
      <c r="A732" s="2" t="n">
        <v>731</v>
      </c>
      <c r="B732" s="3" t="s">
        <v>1515</v>
      </c>
      <c r="C732" s="3" t="s">
        <v>1516</v>
      </c>
      <c r="D732" s="4" t="s">
        <v>1517</v>
      </c>
      <c r="E732" s="3" t="s">
        <v>15</v>
      </c>
      <c r="F732" s="3" t="s">
        <v>1518</v>
      </c>
      <c r="G732" s="5" t="s">
        <v>16</v>
      </c>
      <c r="H732" s="6"/>
      <c r="I732" s="5"/>
      <c r="J732" s="5"/>
      <c r="K732" s="6"/>
      <c r="L732" s="7"/>
      <c r="M732" s="8" t="s">
        <v>17</v>
      </c>
    </row>
    <row r="733" customFormat="false" ht="15" hidden="false" customHeight="false" outlineLevel="0" collapsed="false">
      <c r="A733" s="2" t="n">
        <v>732</v>
      </c>
      <c r="B733" s="3" t="s">
        <v>1519</v>
      </c>
      <c r="C733" s="3" t="s">
        <v>64</v>
      </c>
      <c r="D733" s="4"/>
      <c r="E733" s="3" t="s">
        <v>15</v>
      </c>
      <c r="F733" s="3"/>
      <c r="G733" s="5" t="s">
        <v>16</v>
      </c>
      <c r="H733" s="6"/>
      <c r="I733" s="5"/>
      <c r="J733" s="5"/>
      <c r="K733" s="6"/>
      <c r="L733" s="7"/>
      <c r="M733" s="8" t="s">
        <v>17</v>
      </c>
    </row>
    <row r="734" customFormat="false" ht="15" hidden="false" customHeight="false" outlineLevel="0" collapsed="false">
      <c r="A734" s="2" t="n">
        <v>733</v>
      </c>
      <c r="B734" s="3" t="s">
        <v>1520</v>
      </c>
      <c r="C734" s="3" t="s">
        <v>145</v>
      </c>
      <c r="D734" s="4"/>
      <c r="E734" s="3" t="s">
        <v>15</v>
      </c>
      <c r="F734" s="3" t="s">
        <v>1521</v>
      </c>
      <c r="G734" s="5" t="s">
        <v>16</v>
      </c>
      <c r="H734" s="6"/>
      <c r="I734" s="5"/>
      <c r="J734" s="5"/>
      <c r="K734" s="6"/>
      <c r="L734" s="7"/>
      <c r="M734" s="8" t="s">
        <v>17</v>
      </c>
    </row>
    <row r="735" customFormat="false" ht="15" hidden="false" customHeight="false" outlineLevel="0" collapsed="false">
      <c r="A735" s="2" t="n">
        <v>734</v>
      </c>
      <c r="B735" s="3" t="s">
        <v>1522</v>
      </c>
      <c r="C735" s="3" t="s">
        <v>14</v>
      </c>
      <c r="D735" s="4"/>
      <c r="E735" s="3" t="s">
        <v>15</v>
      </c>
      <c r="F735" s="3" t="s">
        <v>1523</v>
      </c>
      <c r="G735" s="5" t="s">
        <v>16</v>
      </c>
      <c r="H735" s="6"/>
      <c r="I735" s="5"/>
      <c r="J735" s="5"/>
      <c r="K735" s="6"/>
      <c r="L735" s="7"/>
      <c r="M735" s="8" t="s">
        <v>17</v>
      </c>
    </row>
    <row r="736" customFormat="false" ht="15" hidden="false" customHeight="false" outlineLevel="0" collapsed="false">
      <c r="A736" s="2" t="n">
        <v>735</v>
      </c>
      <c r="B736" s="3" t="s">
        <v>1524</v>
      </c>
      <c r="C736" s="3" t="s">
        <v>145</v>
      </c>
      <c r="D736" s="4"/>
      <c r="E736" s="3" t="s">
        <v>15</v>
      </c>
      <c r="F736" s="3" t="s">
        <v>1525</v>
      </c>
      <c r="G736" s="5" t="s">
        <v>16</v>
      </c>
      <c r="H736" s="6"/>
      <c r="I736" s="5"/>
      <c r="J736" s="5"/>
      <c r="K736" s="6"/>
      <c r="L736" s="7"/>
      <c r="M736" s="8" t="s">
        <v>17</v>
      </c>
    </row>
    <row r="737" customFormat="false" ht="15" hidden="false" customHeight="false" outlineLevel="0" collapsed="false">
      <c r="A737" s="2" t="n">
        <v>736</v>
      </c>
      <c r="B737" s="3" t="s">
        <v>1526</v>
      </c>
      <c r="C737" s="3"/>
      <c r="D737" s="4" t="s">
        <v>1527</v>
      </c>
      <c r="E737" s="3" t="s">
        <v>15</v>
      </c>
      <c r="F737" s="3" t="s">
        <v>1528</v>
      </c>
      <c r="G737" s="5" t="s">
        <v>16</v>
      </c>
      <c r="H737" s="6"/>
      <c r="I737" s="5"/>
      <c r="J737" s="5"/>
      <c r="K737" s="6"/>
      <c r="L737" s="7"/>
      <c r="M737" s="8" t="s">
        <v>17</v>
      </c>
    </row>
    <row r="738" customFormat="false" ht="15" hidden="false" customHeight="false" outlineLevel="0" collapsed="false">
      <c r="A738" s="2" t="n">
        <v>737</v>
      </c>
      <c r="B738" s="3" t="s">
        <v>1529</v>
      </c>
      <c r="C738" s="3" t="s">
        <v>1530</v>
      </c>
      <c r="D738" s="4"/>
      <c r="E738" s="3" t="s">
        <v>15</v>
      </c>
      <c r="F738" s="3"/>
      <c r="G738" s="5" t="s">
        <v>16</v>
      </c>
      <c r="H738" s="6"/>
      <c r="I738" s="5"/>
      <c r="J738" s="5"/>
      <c r="K738" s="6"/>
      <c r="L738" s="7"/>
      <c r="M738" s="8" t="s">
        <v>17</v>
      </c>
    </row>
    <row r="739" customFormat="false" ht="15" hidden="false" customHeight="false" outlineLevel="0" collapsed="false">
      <c r="A739" s="2" t="n">
        <v>738</v>
      </c>
      <c r="B739" s="3" t="s">
        <v>1531</v>
      </c>
      <c r="C739" s="3" t="s">
        <v>46</v>
      </c>
      <c r="D739" s="4"/>
      <c r="E739" s="3" t="s">
        <v>15</v>
      </c>
      <c r="F739" s="3" t="s">
        <v>1532</v>
      </c>
      <c r="G739" s="5" t="s">
        <v>16</v>
      </c>
      <c r="H739" s="6"/>
      <c r="I739" s="5"/>
      <c r="J739" s="5"/>
      <c r="K739" s="6"/>
      <c r="L739" s="7"/>
      <c r="M739" s="8" t="s">
        <v>17</v>
      </c>
    </row>
    <row r="740" customFormat="false" ht="15" hidden="false" customHeight="false" outlineLevel="0" collapsed="false">
      <c r="A740" s="2" t="n">
        <v>739</v>
      </c>
      <c r="B740" s="3" t="s">
        <v>1533</v>
      </c>
      <c r="C740" s="3" t="s">
        <v>84</v>
      </c>
      <c r="D740" s="4"/>
      <c r="E740" s="3" t="s">
        <v>15</v>
      </c>
      <c r="F740" s="3" t="s">
        <v>1534</v>
      </c>
      <c r="G740" s="5" t="s">
        <v>16</v>
      </c>
      <c r="H740" s="6"/>
      <c r="I740" s="5"/>
      <c r="J740" s="5"/>
      <c r="K740" s="6"/>
      <c r="L740" s="7"/>
      <c r="M740" s="8" t="s">
        <v>17</v>
      </c>
    </row>
    <row r="741" customFormat="false" ht="15" hidden="false" customHeight="false" outlineLevel="0" collapsed="false">
      <c r="A741" s="2" t="n">
        <v>740</v>
      </c>
      <c r="B741" s="3" t="s">
        <v>1535</v>
      </c>
      <c r="C741" s="3" t="s">
        <v>97</v>
      </c>
      <c r="D741" s="4"/>
      <c r="E741" s="3" t="s">
        <v>15</v>
      </c>
      <c r="F741" s="3" t="s">
        <v>1536</v>
      </c>
      <c r="G741" s="5" t="s">
        <v>16</v>
      </c>
      <c r="H741" s="6"/>
      <c r="I741" s="5"/>
      <c r="J741" s="5"/>
      <c r="K741" s="6"/>
      <c r="L741" s="7"/>
      <c r="M741" s="8" t="s">
        <v>17</v>
      </c>
    </row>
    <row r="742" customFormat="false" ht="15" hidden="false" customHeight="false" outlineLevel="0" collapsed="false">
      <c r="A742" s="2" t="n">
        <v>741</v>
      </c>
      <c r="B742" s="3" t="s">
        <v>1537</v>
      </c>
      <c r="C742" s="3" t="s">
        <v>387</v>
      </c>
      <c r="D742" s="4" t="s">
        <v>1538</v>
      </c>
      <c r="E742" s="3" t="s">
        <v>15</v>
      </c>
      <c r="F742" s="3" t="s">
        <v>1539</v>
      </c>
      <c r="G742" s="5" t="s">
        <v>16</v>
      </c>
      <c r="H742" s="6"/>
      <c r="I742" s="5"/>
      <c r="J742" s="5"/>
      <c r="K742" s="6"/>
      <c r="L742" s="7"/>
      <c r="M742" s="8" t="s">
        <v>17</v>
      </c>
    </row>
    <row r="743" customFormat="false" ht="15" hidden="false" customHeight="false" outlineLevel="0" collapsed="false">
      <c r="A743" s="2" t="n">
        <v>742</v>
      </c>
      <c r="B743" s="3" t="s">
        <v>1540</v>
      </c>
      <c r="C743" s="3" t="s">
        <v>1541</v>
      </c>
      <c r="D743" s="4"/>
      <c r="E743" s="3" t="s">
        <v>15</v>
      </c>
      <c r="F743" s="3"/>
      <c r="G743" s="5" t="s">
        <v>16</v>
      </c>
      <c r="H743" s="6"/>
      <c r="I743" s="5"/>
      <c r="J743" s="5"/>
      <c r="K743" s="6"/>
      <c r="L743" s="7"/>
      <c r="M743" s="8" t="s">
        <v>17</v>
      </c>
    </row>
    <row r="744" customFormat="false" ht="15" hidden="false" customHeight="false" outlineLevel="0" collapsed="false">
      <c r="A744" s="2" t="n">
        <v>743</v>
      </c>
      <c r="B744" s="3" t="s">
        <v>1542</v>
      </c>
      <c r="C744" s="3" t="s">
        <v>94</v>
      </c>
      <c r="D744" s="4"/>
      <c r="E744" s="3" t="s">
        <v>15</v>
      </c>
      <c r="F744" s="3" t="s">
        <v>1543</v>
      </c>
      <c r="G744" s="5" t="s">
        <v>16</v>
      </c>
      <c r="H744" s="6"/>
      <c r="I744" s="5"/>
      <c r="J744" s="5"/>
      <c r="K744" s="6"/>
      <c r="L744" s="7"/>
      <c r="M744" s="8" t="s">
        <v>17</v>
      </c>
    </row>
    <row r="745" customFormat="false" ht="15" hidden="false" customHeight="false" outlineLevel="0" collapsed="false">
      <c r="A745" s="2" t="n">
        <v>744</v>
      </c>
      <c r="B745" s="3" t="s">
        <v>1544</v>
      </c>
      <c r="C745" s="3" t="s">
        <v>14</v>
      </c>
      <c r="D745" s="4"/>
      <c r="E745" s="3" t="s">
        <v>15</v>
      </c>
      <c r="F745" s="3"/>
      <c r="G745" s="5" t="s">
        <v>16</v>
      </c>
      <c r="H745" s="6"/>
      <c r="I745" s="5"/>
      <c r="J745" s="5"/>
      <c r="K745" s="6"/>
      <c r="L745" s="7"/>
      <c r="M745" s="8" t="s">
        <v>17</v>
      </c>
    </row>
    <row r="746" customFormat="false" ht="15" hidden="false" customHeight="false" outlineLevel="0" collapsed="false">
      <c r="A746" s="2" t="n">
        <v>745</v>
      </c>
      <c r="B746" s="3" t="s">
        <v>1545</v>
      </c>
      <c r="C746" s="3"/>
      <c r="D746" s="4"/>
      <c r="E746" s="3" t="s">
        <v>15</v>
      </c>
      <c r="F746" s="3" t="s">
        <v>1546</v>
      </c>
      <c r="G746" s="5" t="s">
        <v>16</v>
      </c>
      <c r="H746" s="6"/>
      <c r="I746" s="5"/>
      <c r="J746" s="5"/>
      <c r="K746" s="6"/>
      <c r="L746" s="7"/>
      <c r="M746" s="8" t="s">
        <v>17</v>
      </c>
    </row>
    <row r="747" customFormat="false" ht="15" hidden="false" customHeight="false" outlineLevel="0" collapsed="false">
      <c r="A747" s="2" t="n">
        <v>746</v>
      </c>
      <c r="B747" s="3" t="s">
        <v>1547</v>
      </c>
      <c r="C747" s="3" t="s">
        <v>1548</v>
      </c>
      <c r="D747" s="4"/>
      <c r="E747" s="3" t="s">
        <v>15</v>
      </c>
      <c r="F747" s="3" t="s">
        <v>1549</v>
      </c>
      <c r="G747" s="5" t="s">
        <v>16</v>
      </c>
      <c r="H747" s="6"/>
      <c r="I747" s="5"/>
      <c r="J747" s="5"/>
      <c r="K747" s="6"/>
      <c r="L747" s="7"/>
      <c r="M747" s="8" t="s">
        <v>17</v>
      </c>
    </row>
    <row r="748" customFormat="false" ht="15" hidden="false" customHeight="false" outlineLevel="0" collapsed="false">
      <c r="A748" s="2" t="n">
        <v>747</v>
      </c>
      <c r="B748" s="3" t="s">
        <v>1550</v>
      </c>
      <c r="C748" s="3"/>
      <c r="D748" s="4"/>
      <c r="E748" s="3" t="s">
        <v>15</v>
      </c>
      <c r="F748" s="3"/>
      <c r="G748" s="5" t="s">
        <v>16</v>
      </c>
      <c r="H748" s="6"/>
      <c r="I748" s="5"/>
      <c r="J748" s="5"/>
      <c r="K748" s="6"/>
      <c r="L748" s="7"/>
      <c r="M748" s="8" t="s">
        <v>17</v>
      </c>
    </row>
    <row r="749" customFormat="false" ht="15" hidden="false" customHeight="false" outlineLevel="0" collapsed="false">
      <c r="A749" s="2" t="n">
        <v>748</v>
      </c>
      <c r="B749" s="3" t="s">
        <v>1551</v>
      </c>
      <c r="C749" s="3"/>
      <c r="D749" s="4" t="s">
        <v>1552</v>
      </c>
      <c r="E749" s="3" t="s">
        <v>15</v>
      </c>
      <c r="F749" s="3"/>
      <c r="G749" s="5" t="s">
        <v>16</v>
      </c>
      <c r="H749" s="6"/>
      <c r="I749" s="5"/>
      <c r="J749" s="5"/>
      <c r="K749" s="6"/>
      <c r="L749" s="7"/>
      <c r="M749" s="8" t="s">
        <v>17</v>
      </c>
    </row>
    <row r="750" customFormat="false" ht="15" hidden="false" customHeight="false" outlineLevel="0" collapsed="false">
      <c r="A750" s="2" t="n">
        <v>749</v>
      </c>
      <c r="B750" s="3" t="s">
        <v>1553</v>
      </c>
      <c r="C750" s="3"/>
      <c r="D750" s="4"/>
      <c r="E750" s="3" t="s">
        <v>15</v>
      </c>
      <c r="F750" s="3"/>
      <c r="G750" s="5" t="s">
        <v>16</v>
      </c>
      <c r="H750" s="6"/>
      <c r="I750" s="5"/>
      <c r="J750" s="5"/>
      <c r="K750" s="6"/>
      <c r="L750" s="7"/>
      <c r="M750" s="8" t="s">
        <v>17</v>
      </c>
    </row>
    <row r="751" customFormat="false" ht="15" hidden="false" customHeight="false" outlineLevel="0" collapsed="false">
      <c r="A751" s="2" t="n">
        <v>750</v>
      </c>
      <c r="B751" s="3" t="s">
        <v>1554</v>
      </c>
      <c r="C751" s="3" t="s">
        <v>124</v>
      </c>
      <c r="D751" s="4"/>
      <c r="E751" s="3" t="s">
        <v>15</v>
      </c>
      <c r="F751" s="3"/>
      <c r="G751" s="5" t="s">
        <v>16</v>
      </c>
      <c r="H751" s="6"/>
      <c r="I751" s="5"/>
      <c r="J751" s="5"/>
      <c r="K751" s="6"/>
      <c r="L751" s="7"/>
      <c r="M751" s="8" t="s">
        <v>17</v>
      </c>
    </row>
    <row r="752" customFormat="false" ht="15" hidden="false" customHeight="false" outlineLevel="0" collapsed="false">
      <c r="A752" s="2" t="n">
        <v>751</v>
      </c>
      <c r="B752" s="3" t="s">
        <v>1555</v>
      </c>
      <c r="C752" s="3" t="s">
        <v>84</v>
      </c>
      <c r="D752" s="4" t="s">
        <v>1556</v>
      </c>
      <c r="E752" s="3" t="s">
        <v>15</v>
      </c>
      <c r="F752" s="3" t="s">
        <v>1557</v>
      </c>
      <c r="G752" s="5" t="s">
        <v>16</v>
      </c>
      <c r="H752" s="6"/>
      <c r="I752" s="5"/>
      <c r="J752" s="5"/>
      <c r="K752" s="6"/>
      <c r="L752" s="7"/>
      <c r="M752" s="8" t="s">
        <v>17</v>
      </c>
    </row>
    <row r="753" customFormat="false" ht="15" hidden="false" customHeight="false" outlineLevel="0" collapsed="false">
      <c r="A753" s="2" t="n">
        <v>752</v>
      </c>
      <c r="B753" s="3" t="s">
        <v>1558</v>
      </c>
      <c r="C753" s="3" t="s">
        <v>1559</v>
      </c>
      <c r="D753" s="4" t="s">
        <v>1560</v>
      </c>
      <c r="E753" s="3" t="s">
        <v>15</v>
      </c>
      <c r="F753" s="3" t="s">
        <v>1561</v>
      </c>
      <c r="G753" s="5" t="s">
        <v>16</v>
      </c>
      <c r="H753" s="6"/>
      <c r="I753" s="5"/>
      <c r="J753" s="5"/>
      <c r="K753" s="6"/>
      <c r="L753" s="7"/>
      <c r="M753" s="8" t="s">
        <v>17</v>
      </c>
    </row>
    <row r="754" customFormat="false" ht="15" hidden="false" customHeight="false" outlineLevel="0" collapsed="false">
      <c r="A754" s="2" t="n">
        <v>753</v>
      </c>
      <c r="B754" s="3" t="s">
        <v>1562</v>
      </c>
      <c r="C754" s="3"/>
      <c r="D754" s="4"/>
      <c r="E754" s="3" t="s">
        <v>15</v>
      </c>
      <c r="F754" s="3"/>
      <c r="G754" s="5" t="s">
        <v>16</v>
      </c>
      <c r="H754" s="6"/>
      <c r="I754" s="5"/>
      <c r="J754" s="5"/>
      <c r="K754" s="6"/>
      <c r="L754" s="7"/>
      <c r="M754" s="8" t="s">
        <v>17</v>
      </c>
    </row>
    <row r="755" customFormat="false" ht="15" hidden="false" customHeight="false" outlineLevel="0" collapsed="false">
      <c r="A755" s="2" t="n">
        <v>754</v>
      </c>
      <c r="B755" s="3" t="s">
        <v>1563</v>
      </c>
      <c r="C755" s="3"/>
      <c r="D755" s="4"/>
      <c r="E755" s="3" t="s">
        <v>15</v>
      </c>
      <c r="F755" s="3"/>
      <c r="G755" s="5" t="s">
        <v>16</v>
      </c>
      <c r="H755" s="6"/>
      <c r="I755" s="5"/>
      <c r="J755" s="5"/>
      <c r="K755" s="6"/>
      <c r="L755" s="7"/>
      <c r="M755" s="8" t="s">
        <v>17</v>
      </c>
    </row>
    <row r="756" customFormat="false" ht="15" hidden="false" customHeight="false" outlineLevel="0" collapsed="false">
      <c r="A756" s="2" t="n">
        <v>755</v>
      </c>
      <c r="B756" s="3" t="s">
        <v>1564</v>
      </c>
      <c r="C756" s="3" t="s">
        <v>1565</v>
      </c>
      <c r="D756" s="4" t="s">
        <v>1566</v>
      </c>
      <c r="E756" s="3" t="s">
        <v>15</v>
      </c>
      <c r="F756" s="3" t="s">
        <v>1567</v>
      </c>
      <c r="G756" s="5" t="s">
        <v>16</v>
      </c>
      <c r="H756" s="6"/>
      <c r="I756" s="5"/>
      <c r="J756" s="5"/>
      <c r="K756" s="6"/>
      <c r="L756" s="7"/>
      <c r="M756" s="8" t="s">
        <v>17</v>
      </c>
    </row>
    <row r="757" customFormat="false" ht="15" hidden="false" customHeight="false" outlineLevel="0" collapsed="false">
      <c r="A757" s="2" t="n">
        <v>756</v>
      </c>
      <c r="B757" s="3" t="s">
        <v>1568</v>
      </c>
      <c r="C757" s="3"/>
      <c r="D757" s="4" t="s">
        <v>1569</v>
      </c>
      <c r="E757" s="3" t="s">
        <v>15</v>
      </c>
      <c r="F757" s="3" t="s">
        <v>1570</v>
      </c>
      <c r="G757" s="5" t="s">
        <v>16</v>
      </c>
      <c r="H757" s="6"/>
      <c r="I757" s="5"/>
      <c r="J757" s="5"/>
      <c r="K757" s="6"/>
      <c r="L757" s="7"/>
      <c r="M757" s="8" t="s">
        <v>17</v>
      </c>
    </row>
    <row r="758" customFormat="false" ht="15" hidden="false" customHeight="false" outlineLevel="0" collapsed="false">
      <c r="A758" s="2" t="n">
        <v>757</v>
      </c>
      <c r="B758" s="3" t="s">
        <v>1571</v>
      </c>
      <c r="C758" s="3"/>
      <c r="D758" s="4"/>
      <c r="E758" s="3" t="s">
        <v>15</v>
      </c>
      <c r="F758" s="3"/>
      <c r="G758" s="5" t="s">
        <v>16</v>
      </c>
      <c r="H758" s="6"/>
      <c r="I758" s="5"/>
      <c r="J758" s="5"/>
      <c r="K758" s="6"/>
      <c r="L758" s="7"/>
      <c r="M758" s="8" t="s">
        <v>17</v>
      </c>
    </row>
    <row r="759" customFormat="false" ht="15" hidden="false" customHeight="false" outlineLevel="0" collapsed="false">
      <c r="A759" s="2" t="n">
        <v>758</v>
      </c>
      <c r="B759" s="3" t="s">
        <v>1572</v>
      </c>
      <c r="C759" s="3"/>
      <c r="D759" s="4" t="s">
        <v>1573</v>
      </c>
      <c r="E759" s="3" t="s">
        <v>15</v>
      </c>
      <c r="F759" s="3" t="s">
        <v>1574</v>
      </c>
      <c r="G759" s="5" t="s">
        <v>16</v>
      </c>
      <c r="H759" s="6"/>
      <c r="I759" s="5"/>
      <c r="J759" s="5"/>
      <c r="K759" s="6"/>
      <c r="L759" s="7"/>
      <c r="M759" s="8" t="s">
        <v>17</v>
      </c>
    </row>
    <row r="760" customFormat="false" ht="15" hidden="false" customHeight="false" outlineLevel="0" collapsed="false">
      <c r="A760" s="2" t="n">
        <v>759</v>
      </c>
      <c r="B760" s="3" t="s">
        <v>1575</v>
      </c>
      <c r="C760" s="3"/>
      <c r="D760" s="4"/>
      <c r="E760" s="3" t="s">
        <v>15</v>
      </c>
      <c r="F760" s="3" t="s">
        <v>1576</v>
      </c>
      <c r="G760" s="5" t="s">
        <v>16</v>
      </c>
      <c r="H760" s="6"/>
      <c r="I760" s="5"/>
      <c r="J760" s="5"/>
      <c r="K760" s="6"/>
      <c r="L760" s="7"/>
      <c r="M760" s="8" t="s">
        <v>17</v>
      </c>
    </row>
    <row r="761" customFormat="false" ht="15" hidden="false" customHeight="false" outlineLevel="0" collapsed="false">
      <c r="A761" s="2" t="n">
        <v>760</v>
      </c>
      <c r="B761" s="3" t="s">
        <v>1577</v>
      </c>
      <c r="C761" s="3"/>
      <c r="D761" s="4"/>
      <c r="E761" s="3" t="s">
        <v>15</v>
      </c>
      <c r="F761" s="3"/>
      <c r="G761" s="5" t="s">
        <v>16</v>
      </c>
      <c r="H761" s="6"/>
      <c r="I761" s="5"/>
      <c r="J761" s="5"/>
      <c r="K761" s="6"/>
      <c r="L761" s="7"/>
      <c r="M761" s="8" t="s">
        <v>17</v>
      </c>
    </row>
    <row r="762" customFormat="false" ht="15" hidden="false" customHeight="false" outlineLevel="0" collapsed="false">
      <c r="A762" s="2" t="n">
        <v>761</v>
      </c>
      <c r="B762" s="3" t="s">
        <v>1578</v>
      </c>
      <c r="C762" s="3" t="s">
        <v>145</v>
      </c>
      <c r="D762" s="4" t="s">
        <v>1579</v>
      </c>
      <c r="E762" s="3" t="s">
        <v>15</v>
      </c>
      <c r="F762" s="3"/>
      <c r="G762" s="5" t="s">
        <v>16</v>
      </c>
      <c r="H762" s="6"/>
      <c r="I762" s="5"/>
      <c r="J762" s="5"/>
      <c r="K762" s="6"/>
      <c r="L762" s="7"/>
      <c r="M762" s="8" t="s">
        <v>17</v>
      </c>
    </row>
    <row r="763" customFormat="false" ht="15" hidden="false" customHeight="false" outlineLevel="0" collapsed="false">
      <c r="A763" s="2" t="n">
        <v>762</v>
      </c>
      <c r="B763" s="3" t="s">
        <v>1580</v>
      </c>
      <c r="C763" s="3"/>
      <c r="D763" s="4"/>
      <c r="E763" s="3" t="s">
        <v>15</v>
      </c>
      <c r="F763" s="3"/>
      <c r="G763" s="5" t="s">
        <v>16</v>
      </c>
      <c r="H763" s="6"/>
      <c r="I763" s="5"/>
      <c r="J763" s="5"/>
      <c r="K763" s="6"/>
      <c r="L763" s="7"/>
      <c r="M763" s="8" t="s">
        <v>17</v>
      </c>
    </row>
    <row r="764" customFormat="false" ht="15" hidden="false" customHeight="false" outlineLevel="0" collapsed="false">
      <c r="A764" s="2" t="n">
        <v>763</v>
      </c>
      <c r="B764" s="3" t="s">
        <v>1581</v>
      </c>
      <c r="C764" s="3" t="s">
        <v>1582</v>
      </c>
      <c r="D764" s="4" t="s">
        <v>1583</v>
      </c>
      <c r="E764" s="3" t="s">
        <v>15</v>
      </c>
      <c r="F764" s="3"/>
      <c r="G764" s="5" t="s">
        <v>16</v>
      </c>
      <c r="H764" s="6"/>
      <c r="I764" s="5"/>
      <c r="J764" s="5"/>
      <c r="K764" s="6"/>
      <c r="L764" s="7"/>
      <c r="M764" s="8" t="s">
        <v>17</v>
      </c>
    </row>
    <row r="765" customFormat="false" ht="15" hidden="false" customHeight="false" outlineLevel="0" collapsed="false">
      <c r="A765" s="2" t="n">
        <v>764</v>
      </c>
      <c r="B765" s="3" t="s">
        <v>1581</v>
      </c>
      <c r="C765" s="3" t="s">
        <v>81</v>
      </c>
      <c r="D765" s="4" t="s">
        <v>1584</v>
      </c>
      <c r="E765" s="3" t="s">
        <v>15</v>
      </c>
      <c r="F765" s="3" t="s">
        <v>1585</v>
      </c>
      <c r="G765" s="5" t="s">
        <v>16</v>
      </c>
      <c r="H765" s="6"/>
      <c r="I765" s="5"/>
      <c r="J765" s="5"/>
      <c r="K765" s="6"/>
      <c r="L765" s="7"/>
      <c r="M765" s="8" t="s">
        <v>17</v>
      </c>
    </row>
    <row r="766" customFormat="false" ht="15" hidden="false" customHeight="false" outlineLevel="0" collapsed="false">
      <c r="A766" s="2" t="n">
        <v>765</v>
      </c>
      <c r="B766" s="3" t="s">
        <v>1581</v>
      </c>
      <c r="C766" s="3" t="s">
        <v>1586</v>
      </c>
      <c r="D766" s="4" t="s">
        <v>1587</v>
      </c>
      <c r="E766" s="3" t="s">
        <v>15</v>
      </c>
      <c r="F766" s="3" t="s">
        <v>1588</v>
      </c>
      <c r="G766" s="5" t="s">
        <v>16</v>
      </c>
      <c r="H766" s="6"/>
      <c r="I766" s="5"/>
      <c r="J766" s="5"/>
      <c r="K766" s="6"/>
      <c r="L766" s="7"/>
      <c r="M766" s="8" t="s">
        <v>17</v>
      </c>
    </row>
    <row r="767" customFormat="false" ht="15" hidden="false" customHeight="false" outlineLevel="0" collapsed="false">
      <c r="A767" s="2" t="n">
        <v>766</v>
      </c>
      <c r="B767" s="3" t="s">
        <v>1589</v>
      </c>
      <c r="C767" s="3" t="s">
        <v>62</v>
      </c>
      <c r="D767" s="4" t="s">
        <v>1590</v>
      </c>
      <c r="E767" s="3" t="s">
        <v>15</v>
      </c>
      <c r="F767" s="3"/>
      <c r="G767" s="5" t="s">
        <v>16</v>
      </c>
      <c r="H767" s="6"/>
      <c r="I767" s="5"/>
      <c r="J767" s="5"/>
      <c r="K767" s="6"/>
      <c r="L767" s="7"/>
      <c r="M767" s="8" t="s">
        <v>17</v>
      </c>
    </row>
    <row r="768" customFormat="false" ht="15" hidden="false" customHeight="false" outlineLevel="0" collapsed="false">
      <c r="A768" s="2" t="n">
        <v>767</v>
      </c>
      <c r="B768" s="3" t="s">
        <v>1591</v>
      </c>
      <c r="C768" s="3" t="s">
        <v>180</v>
      </c>
      <c r="D768" s="4"/>
      <c r="E768" s="3" t="s">
        <v>15</v>
      </c>
      <c r="F768" s="3"/>
      <c r="G768" s="5" t="s">
        <v>16</v>
      </c>
      <c r="H768" s="6"/>
      <c r="I768" s="5"/>
      <c r="J768" s="5"/>
      <c r="K768" s="6"/>
      <c r="L768" s="7"/>
      <c r="M768" s="8" t="s">
        <v>17</v>
      </c>
    </row>
    <row r="769" customFormat="false" ht="15" hidden="false" customHeight="false" outlineLevel="0" collapsed="false">
      <c r="A769" s="2" t="n">
        <v>768</v>
      </c>
      <c r="B769" s="3" t="s">
        <v>1592</v>
      </c>
      <c r="C769" s="3"/>
      <c r="D769" s="4"/>
      <c r="E769" s="3" t="s">
        <v>15</v>
      </c>
      <c r="F769" s="3" t="s">
        <v>1593</v>
      </c>
      <c r="G769" s="5" t="s">
        <v>16</v>
      </c>
      <c r="H769" s="6"/>
      <c r="I769" s="5"/>
      <c r="J769" s="5"/>
      <c r="K769" s="6"/>
      <c r="L769" s="7"/>
      <c r="M769" s="8" t="s">
        <v>17</v>
      </c>
    </row>
    <row r="770" customFormat="false" ht="15" hidden="false" customHeight="false" outlineLevel="0" collapsed="false">
      <c r="A770" s="2" t="n">
        <v>769</v>
      </c>
      <c r="B770" s="3" t="s">
        <v>1594</v>
      </c>
      <c r="C770" s="3"/>
      <c r="D770" s="4"/>
      <c r="E770" s="3" t="s">
        <v>15</v>
      </c>
      <c r="F770" s="3"/>
      <c r="G770" s="5" t="s">
        <v>16</v>
      </c>
      <c r="H770" s="6"/>
      <c r="I770" s="5"/>
      <c r="J770" s="5"/>
      <c r="K770" s="6"/>
      <c r="L770" s="7"/>
      <c r="M770" s="8" t="s">
        <v>17</v>
      </c>
    </row>
    <row r="771" customFormat="false" ht="15" hidden="false" customHeight="false" outlineLevel="0" collapsed="false">
      <c r="A771" s="2" t="n">
        <v>770</v>
      </c>
      <c r="B771" s="3" t="s">
        <v>1595</v>
      </c>
      <c r="C771" s="3" t="s">
        <v>51</v>
      </c>
      <c r="D771" s="4"/>
      <c r="E771" s="3" t="s">
        <v>15</v>
      </c>
      <c r="F771" s="3" t="s">
        <v>1596</v>
      </c>
      <c r="G771" s="5" t="s">
        <v>16</v>
      </c>
      <c r="H771" s="6"/>
      <c r="I771" s="5"/>
      <c r="J771" s="5"/>
      <c r="K771" s="6"/>
      <c r="L771" s="7"/>
      <c r="M771" s="8" t="s">
        <v>17</v>
      </c>
    </row>
    <row r="772" customFormat="false" ht="15" hidden="false" customHeight="false" outlineLevel="0" collapsed="false">
      <c r="A772" s="2" t="n">
        <v>771</v>
      </c>
      <c r="B772" s="3" t="s">
        <v>1597</v>
      </c>
      <c r="C772" s="3" t="s">
        <v>81</v>
      </c>
      <c r="D772" s="4"/>
      <c r="E772" s="3" t="s">
        <v>15</v>
      </c>
      <c r="F772" s="3" t="s">
        <v>1598</v>
      </c>
      <c r="G772" s="5" t="s">
        <v>16</v>
      </c>
      <c r="H772" s="6"/>
      <c r="I772" s="5"/>
      <c r="J772" s="5"/>
      <c r="K772" s="6"/>
      <c r="L772" s="7"/>
      <c r="M772" s="8" t="s">
        <v>17</v>
      </c>
    </row>
    <row r="773" customFormat="false" ht="15" hidden="false" customHeight="false" outlineLevel="0" collapsed="false">
      <c r="A773" s="2" t="n">
        <v>772</v>
      </c>
      <c r="B773" s="3" t="s">
        <v>1599</v>
      </c>
      <c r="C773" s="3"/>
      <c r="D773" s="4" t="s">
        <v>427</v>
      </c>
      <c r="E773" s="3" t="s">
        <v>15</v>
      </c>
      <c r="F773" s="3" t="s">
        <v>1600</v>
      </c>
      <c r="G773" s="5" t="s">
        <v>16</v>
      </c>
      <c r="H773" s="6"/>
      <c r="I773" s="5"/>
      <c r="J773" s="5"/>
      <c r="K773" s="6"/>
      <c r="L773" s="7"/>
      <c r="M773" s="8" t="s">
        <v>17</v>
      </c>
    </row>
    <row r="774" customFormat="false" ht="15" hidden="false" customHeight="false" outlineLevel="0" collapsed="false">
      <c r="A774" s="2" t="n">
        <v>773</v>
      </c>
      <c r="B774" s="3" t="s">
        <v>1601</v>
      </c>
      <c r="C774" s="3" t="s">
        <v>19</v>
      </c>
      <c r="D774" s="4"/>
      <c r="E774" s="3" t="s">
        <v>15</v>
      </c>
      <c r="F774" s="3"/>
      <c r="G774" s="5" t="s">
        <v>16</v>
      </c>
      <c r="H774" s="6"/>
      <c r="I774" s="5"/>
      <c r="J774" s="5"/>
      <c r="K774" s="6"/>
      <c r="L774" s="7"/>
      <c r="M774" s="8" t="s">
        <v>17</v>
      </c>
    </row>
    <row r="775" customFormat="false" ht="15" hidden="false" customHeight="false" outlineLevel="0" collapsed="false">
      <c r="A775" s="2" t="n">
        <v>774</v>
      </c>
      <c r="B775" s="3" t="s">
        <v>1602</v>
      </c>
      <c r="C775" s="3"/>
      <c r="D775" s="4"/>
      <c r="E775" s="3" t="s">
        <v>15</v>
      </c>
      <c r="F775" s="3" t="s">
        <v>1603</v>
      </c>
      <c r="G775" s="5" t="s">
        <v>16</v>
      </c>
      <c r="H775" s="6"/>
      <c r="I775" s="5"/>
      <c r="J775" s="5"/>
      <c r="K775" s="6"/>
      <c r="L775" s="7"/>
      <c r="M775" s="8" t="s">
        <v>17</v>
      </c>
    </row>
    <row r="776" customFormat="false" ht="15" hidden="false" customHeight="false" outlineLevel="0" collapsed="false">
      <c r="A776" s="2" t="n">
        <v>775</v>
      </c>
      <c r="B776" s="3" t="s">
        <v>1604</v>
      </c>
      <c r="C776" s="3" t="s">
        <v>1605</v>
      </c>
      <c r="D776" s="4"/>
      <c r="E776" s="3" t="s">
        <v>15</v>
      </c>
      <c r="F776" s="3" t="s">
        <v>1606</v>
      </c>
      <c r="G776" s="5" t="s">
        <v>16</v>
      </c>
      <c r="H776" s="6"/>
      <c r="I776" s="5"/>
      <c r="J776" s="5"/>
      <c r="K776" s="6"/>
      <c r="L776" s="7"/>
      <c r="M776" s="8" t="s">
        <v>17</v>
      </c>
    </row>
    <row r="777" customFormat="false" ht="15" hidden="false" customHeight="false" outlineLevel="0" collapsed="false">
      <c r="A777" s="2" t="n">
        <v>776</v>
      </c>
      <c r="B777" s="3" t="s">
        <v>1607</v>
      </c>
      <c r="C777" s="3" t="s">
        <v>81</v>
      </c>
      <c r="D777" s="4" t="s">
        <v>1608</v>
      </c>
      <c r="E777" s="3" t="s">
        <v>15</v>
      </c>
      <c r="F777" s="3" t="s">
        <v>1609</v>
      </c>
      <c r="G777" s="5" t="s">
        <v>16</v>
      </c>
      <c r="H777" s="6"/>
      <c r="I777" s="5"/>
      <c r="J777" s="5"/>
      <c r="K777" s="6"/>
      <c r="L777" s="7"/>
      <c r="M777" s="8" t="s">
        <v>17</v>
      </c>
    </row>
    <row r="778" customFormat="false" ht="15" hidden="false" customHeight="false" outlineLevel="0" collapsed="false">
      <c r="A778" s="2" t="n">
        <v>777</v>
      </c>
      <c r="B778" s="3" t="s">
        <v>1610</v>
      </c>
      <c r="C778" s="3" t="s">
        <v>81</v>
      </c>
      <c r="D778" s="4"/>
      <c r="E778" s="3" t="s">
        <v>15</v>
      </c>
      <c r="F778" s="3"/>
      <c r="G778" s="5" t="s">
        <v>16</v>
      </c>
      <c r="H778" s="6"/>
      <c r="I778" s="5"/>
      <c r="J778" s="5"/>
      <c r="K778" s="6"/>
      <c r="L778" s="7"/>
      <c r="M778" s="8" t="s">
        <v>17</v>
      </c>
    </row>
    <row r="779" customFormat="false" ht="15" hidden="false" customHeight="false" outlineLevel="0" collapsed="false">
      <c r="A779" s="2" t="n">
        <v>778</v>
      </c>
      <c r="B779" s="3" t="s">
        <v>1611</v>
      </c>
      <c r="C779" s="3" t="s">
        <v>387</v>
      </c>
      <c r="D779" s="4"/>
      <c r="E779" s="3" t="s">
        <v>15</v>
      </c>
      <c r="F779" s="3"/>
      <c r="G779" s="5" t="s">
        <v>16</v>
      </c>
      <c r="H779" s="6"/>
      <c r="I779" s="5"/>
      <c r="J779" s="5"/>
      <c r="K779" s="6"/>
      <c r="L779" s="7"/>
      <c r="M779" s="8" t="s">
        <v>17</v>
      </c>
    </row>
    <row r="780" customFormat="false" ht="15" hidden="false" customHeight="false" outlineLevel="0" collapsed="false">
      <c r="A780" s="2" t="n">
        <v>779</v>
      </c>
      <c r="B780" s="3" t="s">
        <v>1612</v>
      </c>
      <c r="C780" s="3" t="s">
        <v>81</v>
      </c>
      <c r="D780" s="4"/>
      <c r="E780" s="3" t="s">
        <v>15</v>
      </c>
      <c r="F780" s="3"/>
      <c r="G780" s="5" t="s">
        <v>16</v>
      </c>
      <c r="H780" s="6"/>
      <c r="I780" s="5"/>
      <c r="J780" s="5"/>
      <c r="K780" s="6"/>
      <c r="L780" s="7"/>
      <c r="M780" s="8" t="s">
        <v>17</v>
      </c>
    </row>
    <row r="781" customFormat="false" ht="15" hidden="false" customHeight="false" outlineLevel="0" collapsed="false">
      <c r="A781" s="2" t="n">
        <v>780</v>
      </c>
      <c r="B781" s="3" t="s">
        <v>1613</v>
      </c>
      <c r="C781" s="3" t="s">
        <v>46</v>
      </c>
      <c r="D781" s="4"/>
      <c r="E781" s="3" t="s">
        <v>15</v>
      </c>
      <c r="F781" s="3"/>
      <c r="G781" s="5" t="s">
        <v>16</v>
      </c>
      <c r="H781" s="6"/>
      <c r="I781" s="5"/>
      <c r="J781" s="5"/>
      <c r="K781" s="6"/>
      <c r="L781" s="7"/>
      <c r="M781" s="8" t="s">
        <v>17</v>
      </c>
    </row>
    <row r="782" customFormat="false" ht="15" hidden="false" customHeight="false" outlineLevel="0" collapsed="false">
      <c r="A782" s="2" t="n">
        <v>781</v>
      </c>
      <c r="B782" s="3" t="s">
        <v>1614</v>
      </c>
      <c r="C782" s="3"/>
      <c r="D782" s="4" t="s">
        <v>1615</v>
      </c>
      <c r="E782" s="3" t="s">
        <v>15</v>
      </c>
      <c r="F782" s="3" t="s">
        <v>1616</v>
      </c>
      <c r="G782" s="5" t="s">
        <v>16</v>
      </c>
      <c r="H782" s="6"/>
      <c r="I782" s="5"/>
      <c r="J782" s="5"/>
      <c r="K782" s="6"/>
      <c r="L782" s="7"/>
      <c r="M782" s="8" t="s">
        <v>17</v>
      </c>
    </row>
    <row r="783" customFormat="false" ht="15" hidden="false" customHeight="false" outlineLevel="0" collapsed="false">
      <c r="A783" s="2" t="n">
        <v>782</v>
      </c>
      <c r="B783" s="3" t="s">
        <v>1617</v>
      </c>
      <c r="C783" s="3"/>
      <c r="D783" s="4" t="s">
        <v>1618</v>
      </c>
      <c r="E783" s="3" t="s">
        <v>15</v>
      </c>
      <c r="F783" s="3" t="s">
        <v>1619</v>
      </c>
      <c r="G783" s="5" t="s">
        <v>16</v>
      </c>
      <c r="H783" s="6"/>
      <c r="I783" s="5"/>
      <c r="J783" s="5"/>
      <c r="K783" s="6"/>
      <c r="L783" s="7"/>
      <c r="M783" s="8" t="s">
        <v>17</v>
      </c>
    </row>
    <row r="784" customFormat="false" ht="15" hidden="false" customHeight="false" outlineLevel="0" collapsed="false">
      <c r="A784" s="2" t="n">
        <v>783</v>
      </c>
      <c r="B784" s="3" t="s">
        <v>1620</v>
      </c>
      <c r="C784" s="3" t="s">
        <v>1621</v>
      </c>
      <c r="D784" s="4"/>
      <c r="E784" s="3" t="s">
        <v>15</v>
      </c>
      <c r="F784" s="3"/>
      <c r="G784" s="5" t="s">
        <v>16</v>
      </c>
      <c r="H784" s="6"/>
      <c r="I784" s="5"/>
      <c r="J784" s="5"/>
      <c r="K784" s="6"/>
      <c r="L784" s="7"/>
      <c r="M784" s="8" t="s">
        <v>17</v>
      </c>
    </row>
    <row r="785" customFormat="false" ht="15" hidden="false" customHeight="false" outlineLevel="0" collapsed="false">
      <c r="A785" s="2" t="n">
        <v>784</v>
      </c>
      <c r="B785" s="3" t="s">
        <v>1622</v>
      </c>
      <c r="C785" s="3" t="s">
        <v>1623</v>
      </c>
      <c r="D785" s="4"/>
      <c r="E785" s="3" t="s">
        <v>15</v>
      </c>
      <c r="F785" s="3"/>
      <c r="G785" s="5" t="s">
        <v>16</v>
      </c>
      <c r="H785" s="6"/>
      <c r="I785" s="5"/>
      <c r="J785" s="5"/>
      <c r="K785" s="6"/>
      <c r="L785" s="7"/>
      <c r="M785" s="8" t="s">
        <v>17</v>
      </c>
    </row>
    <row r="786" customFormat="false" ht="15" hidden="false" customHeight="false" outlineLevel="0" collapsed="false">
      <c r="A786" s="2" t="n">
        <v>785</v>
      </c>
      <c r="B786" s="3" t="s">
        <v>1624</v>
      </c>
      <c r="C786" s="3" t="s">
        <v>51</v>
      </c>
      <c r="D786" s="4" t="s">
        <v>1625</v>
      </c>
      <c r="E786" s="3" t="s">
        <v>15</v>
      </c>
      <c r="F786" s="3"/>
      <c r="G786" s="5" t="s">
        <v>16</v>
      </c>
      <c r="H786" s="6"/>
      <c r="I786" s="5"/>
      <c r="J786" s="5"/>
      <c r="K786" s="6"/>
      <c r="L786" s="7"/>
      <c r="M786" s="8" t="s">
        <v>17</v>
      </c>
    </row>
    <row r="787" customFormat="false" ht="15" hidden="false" customHeight="false" outlineLevel="0" collapsed="false">
      <c r="A787" s="2" t="n">
        <v>786</v>
      </c>
      <c r="B787" s="3" t="s">
        <v>1626</v>
      </c>
      <c r="C787" s="3"/>
      <c r="D787" s="4" t="s">
        <v>1627</v>
      </c>
      <c r="E787" s="3" t="s">
        <v>15</v>
      </c>
      <c r="F787" s="3"/>
      <c r="G787" s="5" t="s">
        <v>16</v>
      </c>
      <c r="H787" s="6"/>
      <c r="I787" s="5"/>
      <c r="J787" s="5"/>
      <c r="K787" s="6"/>
      <c r="L787" s="7"/>
      <c r="M787" s="8" t="s">
        <v>17</v>
      </c>
    </row>
    <row r="788" customFormat="false" ht="15" hidden="false" customHeight="false" outlineLevel="0" collapsed="false">
      <c r="A788" s="2" t="n">
        <v>787</v>
      </c>
      <c r="B788" s="3" t="s">
        <v>1628</v>
      </c>
      <c r="C788" s="3" t="s">
        <v>19</v>
      </c>
      <c r="D788" s="4" t="s">
        <v>1629</v>
      </c>
      <c r="E788" s="3" t="s">
        <v>15</v>
      </c>
      <c r="F788" s="3" t="s">
        <v>1630</v>
      </c>
      <c r="G788" s="5" t="s">
        <v>16</v>
      </c>
      <c r="H788" s="6"/>
      <c r="I788" s="5"/>
      <c r="J788" s="5"/>
      <c r="K788" s="6"/>
      <c r="L788" s="7"/>
      <c r="M788" s="8" t="s">
        <v>17</v>
      </c>
    </row>
    <row r="789" customFormat="false" ht="15" hidden="false" customHeight="false" outlineLevel="0" collapsed="false">
      <c r="A789" s="2" t="n">
        <v>788</v>
      </c>
      <c r="B789" s="3" t="s">
        <v>1631</v>
      </c>
      <c r="C789" s="3" t="s">
        <v>1632</v>
      </c>
      <c r="D789" s="4"/>
      <c r="E789" s="3" t="s">
        <v>15</v>
      </c>
      <c r="F789" s="3" t="s">
        <v>1633</v>
      </c>
      <c r="G789" s="5" t="s">
        <v>16</v>
      </c>
      <c r="H789" s="6"/>
      <c r="I789" s="5"/>
      <c r="J789" s="5"/>
      <c r="K789" s="6"/>
      <c r="L789" s="7"/>
      <c r="M789" s="8" t="s">
        <v>17</v>
      </c>
    </row>
    <row r="790" customFormat="false" ht="15" hidden="false" customHeight="false" outlineLevel="0" collapsed="false">
      <c r="A790" s="2" t="n">
        <v>789</v>
      </c>
      <c r="B790" s="3" t="s">
        <v>1634</v>
      </c>
      <c r="C790" s="3"/>
      <c r="D790" s="4"/>
      <c r="E790" s="3" t="s">
        <v>15</v>
      </c>
      <c r="F790" s="3" t="s">
        <v>1635</v>
      </c>
      <c r="G790" s="5" t="s">
        <v>16</v>
      </c>
      <c r="H790" s="6"/>
      <c r="I790" s="5"/>
      <c r="J790" s="5"/>
      <c r="K790" s="6"/>
      <c r="L790" s="7"/>
      <c r="M790" s="8" t="s">
        <v>17</v>
      </c>
    </row>
    <row r="791" customFormat="false" ht="15" hidden="false" customHeight="false" outlineLevel="0" collapsed="false">
      <c r="A791" s="2" t="n">
        <v>790</v>
      </c>
      <c r="B791" s="3" t="s">
        <v>1636</v>
      </c>
      <c r="C791" s="3" t="s">
        <v>84</v>
      </c>
      <c r="D791" s="4"/>
      <c r="E791" s="3" t="s">
        <v>15</v>
      </c>
      <c r="F791" s="3" t="s">
        <v>1637</v>
      </c>
      <c r="G791" s="5" t="s">
        <v>16</v>
      </c>
      <c r="H791" s="6"/>
      <c r="I791" s="5"/>
      <c r="J791" s="5"/>
      <c r="K791" s="6"/>
      <c r="L791" s="7"/>
      <c r="M791" s="8" t="s">
        <v>17</v>
      </c>
    </row>
    <row r="792" customFormat="false" ht="15" hidden="false" customHeight="false" outlineLevel="0" collapsed="false">
      <c r="A792" s="2" t="n">
        <v>791</v>
      </c>
      <c r="B792" s="3" t="s">
        <v>1638</v>
      </c>
      <c r="C792" s="3"/>
      <c r="D792" s="4"/>
      <c r="E792" s="3" t="s">
        <v>15</v>
      </c>
      <c r="F792" s="3"/>
      <c r="G792" s="5" t="s">
        <v>16</v>
      </c>
      <c r="H792" s="6"/>
      <c r="I792" s="5"/>
      <c r="J792" s="5"/>
      <c r="K792" s="6"/>
      <c r="L792" s="7"/>
      <c r="M792" s="8" t="s">
        <v>17</v>
      </c>
    </row>
    <row r="793" customFormat="false" ht="15" hidden="false" customHeight="false" outlineLevel="0" collapsed="false">
      <c r="A793" s="2" t="n">
        <v>792</v>
      </c>
      <c r="B793" s="3" t="s">
        <v>1639</v>
      </c>
      <c r="C793" s="3"/>
      <c r="D793" s="4"/>
      <c r="E793" s="3" t="s">
        <v>15</v>
      </c>
      <c r="F793" s="3"/>
      <c r="G793" s="5" t="s">
        <v>16</v>
      </c>
      <c r="H793" s="6"/>
      <c r="I793" s="5"/>
      <c r="J793" s="5"/>
      <c r="K793" s="6"/>
      <c r="L793" s="7"/>
      <c r="M793" s="8" t="s">
        <v>17</v>
      </c>
    </row>
    <row r="794" customFormat="false" ht="15" hidden="false" customHeight="false" outlineLevel="0" collapsed="false">
      <c r="A794" s="2" t="n">
        <v>793</v>
      </c>
      <c r="B794" s="3" t="s">
        <v>1640</v>
      </c>
      <c r="C794" s="3"/>
      <c r="D794" s="4" t="s">
        <v>1641</v>
      </c>
      <c r="E794" s="3" t="s">
        <v>15</v>
      </c>
      <c r="F794" s="3"/>
      <c r="G794" s="5" t="s">
        <v>16</v>
      </c>
      <c r="H794" s="6"/>
      <c r="I794" s="5"/>
      <c r="J794" s="5"/>
      <c r="K794" s="6"/>
      <c r="L794" s="7"/>
      <c r="M794" s="8" t="s">
        <v>17</v>
      </c>
    </row>
    <row r="795" customFormat="false" ht="15" hidden="false" customHeight="false" outlineLevel="0" collapsed="false">
      <c r="A795" s="2" t="n">
        <v>794</v>
      </c>
      <c r="B795" s="3" t="s">
        <v>1642</v>
      </c>
      <c r="C795" s="3"/>
      <c r="D795" s="4"/>
      <c r="E795" s="3" t="s">
        <v>15</v>
      </c>
      <c r="F795" s="3"/>
      <c r="G795" s="5" t="s">
        <v>16</v>
      </c>
      <c r="H795" s="6"/>
      <c r="I795" s="5"/>
      <c r="J795" s="5"/>
      <c r="K795" s="6"/>
      <c r="L795" s="7"/>
      <c r="M795" s="8" t="s">
        <v>17</v>
      </c>
    </row>
    <row r="796" customFormat="false" ht="15" hidden="false" customHeight="false" outlineLevel="0" collapsed="false">
      <c r="A796" s="2" t="n">
        <v>795</v>
      </c>
      <c r="B796" s="3" t="s">
        <v>1643</v>
      </c>
      <c r="C796" s="3" t="s">
        <v>84</v>
      </c>
      <c r="D796" s="4"/>
      <c r="E796" s="3" t="s">
        <v>15</v>
      </c>
      <c r="F796" s="3" t="s">
        <v>1644</v>
      </c>
      <c r="G796" s="5" t="s">
        <v>16</v>
      </c>
      <c r="H796" s="6"/>
      <c r="I796" s="5"/>
      <c r="J796" s="5"/>
      <c r="K796" s="6"/>
      <c r="L796" s="7"/>
      <c r="M796" s="8" t="s">
        <v>17</v>
      </c>
    </row>
    <row r="797" customFormat="false" ht="15" hidden="false" customHeight="false" outlineLevel="0" collapsed="false">
      <c r="A797" s="2" t="n">
        <v>796</v>
      </c>
      <c r="B797" s="3" t="s">
        <v>1645</v>
      </c>
      <c r="C797" s="3" t="s">
        <v>116</v>
      </c>
      <c r="D797" s="4" t="s">
        <v>1646</v>
      </c>
      <c r="E797" s="3" t="s">
        <v>15</v>
      </c>
      <c r="F797" s="3"/>
      <c r="G797" s="5" t="s">
        <v>16</v>
      </c>
      <c r="H797" s="6"/>
      <c r="I797" s="5"/>
      <c r="J797" s="5"/>
      <c r="K797" s="6"/>
      <c r="L797" s="7"/>
      <c r="M797" s="8" t="s">
        <v>17</v>
      </c>
    </row>
    <row r="798" customFormat="false" ht="15" hidden="false" customHeight="false" outlineLevel="0" collapsed="false">
      <c r="A798" s="2" t="n">
        <v>797</v>
      </c>
      <c r="B798" s="3" t="s">
        <v>1647</v>
      </c>
      <c r="C798" s="3" t="s">
        <v>211</v>
      </c>
      <c r="D798" s="4"/>
      <c r="E798" s="3" t="s">
        <v>15</v>
      </c>
      <c r="F798" s="3" t="s">
        <v>1648</v>
      </c>
      <c r="G798" s="5" t="s">
        <v>16</v>
      </c>
      <c r="H798" s="6"/>
      <c r="I798" s="5"/>
      <c r="J798" s="5"/>
      <c r="K798" s="6"/>
      <c r="L798" s="7"/>
      <c r="M798" s="8" t="s">
        <v>17</v>
      </c>
    </row>
    <row r="799" customFormat="false" ht="15" hidden="false" customHeight="false" outlineLevel="0" collapsed="false">
      <c r="A799" s="2" t="n">
        <v>798</v>
      </c>
      <c r="B799" s="3" t="s">
        <v>1649</v>
      </c>
      <c r="C799" s="3"/>
      <c r="D799" s="4" t="s">
        <v>1650</v>
      </c>
      <c r="E799" s="3" t="s">
        <v>15</v>
      </c>
      <c r="F799" s="3" t="s">
        <v>1651</v>
      </c>
      <c r="G799" s="5" t="s">
        <v>16</v>
      </c>
      <c r="H799" s="6"/>
      <c r="I799" s="5"/>
      <c r="J799" s="5"/>
      <c r="K799" s="6"/>
      <c r="L799" s="7"/>
      <c r="M799" s="8" t="s">
        <v>17</v>
      </c>
    </row>
    <row r="800" customFormat="false" ht="15" hidden="false" customHeight="false" outlineLevel="0" collapsed="false">
      <c r="A800" s="2" t="n">
        <v>799</v>
      </c>
      <c r="B800" s="3" t="s">
        <v>1652</v>
      </c>
      <c r="C800" s="3"/>
      <c r="D800" s="4" t="s">
        <v>1653</v>
      </c>
      <c r="E800" s="3" t="s">
        <v>15</v>
      </c>
      <c r="F800" s="3" t="s">
        <v>1654</v>
      </c>
      <c r="G800" s="5" t="s">
        <v>16</v>
      </c>
      <c r="H800" s="6"/>
      <c r="I800" s="5"/>
      <c r="J800" s="5"/>
      <c r="K800" s="6"/>
      <c r="L800" s="7"/>
      <c r="M800" s="8" t="s">
        <v>17</v>
      </c>
    </row>
    <row r="801" customFormat="false" ht="15" hidden="false" customHeight="false" outlineLevel="0" collapsed="false">
      <c r="A801" s="2" t="n">
        <v>800</v>
      </c>
      <c r="B801" s="3" t="s">
        <v>1655</v>
      </c>
      <c r="C801" s="3" t="s">
        <v>64</v>
      </c>
      <c r="D801" s="4"/>
      <c r="E801" s="3" t="s">
        <v>15</v>
      </c>
      <c r="F801" s="3"/>
      <c r="G801" s="5" t="s">
        <v>16</v>
      </c>
      <c r="H801" s="6"/>
      <c r="I801" s="5"/>
      <c r="J801" s="5"/>
      <c r="K801" s="6"/>
      <c r="L801" s="7"/>
      <c r="M801" s="8" t="s">
        <v>17</v>
      </c>
    </row>
    <row r="802" customFormat="false" ht="15" hidden="false" customHeight="false" outlineLevel="0" collapsed="false">
      <c r="A802" s="2" t="n">
        <v>801</v>
      </c>
      <c r="B802" s="3" t="s">
        <v>1656</v>
      </c>
      <c r="C802" s="3" t="s">
        <v>387</v>
      </c>
      <c r="D802" s="4"/>
      <c r="E802" s="3" t="s">
        <v>15</v>
      </c>
      <c r="F802" s="3"/>
      <c r="G802" s="5" t="s">
        <v>16</v>
      </c>
      <c r="H802" s="6"/>
      <c r="I802" s="5"/>
      <c r="J802" s="5"/>
      <c r="K802" s="6"/>
      <c r="L802" s="7"/>
      <c r="M802" s="8" t="s">
        <v>17</v>
      </c>
    </row>
    <row r="803" customFormat="false" ht="15" hidden="false" customHeight="false" outlineLevel="0" collapsed="false">
      <c r="A803" s="2" t="n">
        <v>802</v>
      </c>
      <c r="B803" s="3" t="s">
        <v>1657</v>
      </c>
      <c r="C803" s="3" t="s">
        <v>19</v>
      </c>
      <c r="D803" s="4"/>
      <c r="E803" s="3" t="s">
        <v>15</v>
      </c>
      <c r="F803" s="3" t="s">
        <v>1658</v>
      </c>
      <c r="G803" s="5" t="s">
        <v>16</v>
      </c>
      <c r="H803" s="6"/>
      <c r="I803" s="5"/>
      <c r="J803" s="5"/>
      <c r="K803" s="6"/>
      <c r="L803" s="7"/>
      <c r="M803" s="8" t="s">
        <v>17</v>
      </c>
    </row>
    <row r="804" customFormat="false" ht="15" hidden="false" customHeight="false" outlineLevel="0" collapsed="false">
      <c r="A804" s="2" t="n">
        <v>803</v>
      </c>
      <c r="B804" s="3" t="s">
        <v>1659</v>
      </c>
      <c r="C804" s="3" t="s">
        <v>84</v>
      </c>
      <c r="D804" s="4"/>
      <c r="E804" s="3" t="s">
        <v>15</v>
      </c>
      <c r="F804" s="3"/>
      <c r="G804" s="5" t="s">
        <v>16</v>
      </c>
      <c r="H804" s="6"/>
      <c r="I804" s="5"/>
      <c r="J804" s="5"/>
      <c r="K804" s="6"/>
      <c r="L804" s="7"/>
      <c r="M804" s="8" t="s">
        <v>17</v>
      </c>
    </row>
    <row r="805" customFormat="false" ht="15" hidden="false" customHeight="false" outlineLevel="0" collapsed="false">
      <c r="A805" s="2" t="n">
        <v>804</v>
      </c>
      <c r="B805" s="3" t="s">
        <v>1660</v>
      </c>
      <c r="C805" s="3"/>
      <c r="D805" s="4" t="s">
        <v>1661</v>
      </c>
      <c r="E805" s="3" t="s">
        <v>15</v>
      </c>
      <c r="F805" s="3"/>
      <c r="G805" s="5" t="s">
        <v>16</v>
      </c>
      <c r="H805" s="6"/>
      <c r="I805" s="5"/>
      <c r="J805" s="5"/>
      <c r="K805" s="6"/>
      <c r="L805" s="7"/>
      <c r="M805" s="8" t="s">
        <v>17</v>
      </c>
    </row>
    <row r="806" customFormat="false" ht="15" hidden="false" customHeight="false" outlineLevel="0" collapsed="false">
      <c r="A806" s="2" t="n">
        <v>805</v>
      </c>
      <c r="B806" s="3" t="s">
        <v>1662</v>
      </c>
      <c r="C806" s="3" t="s">
        <v>51</v>
      </c>
      <c r="D806" s="4" t="s">
        <v>1663</v>
      </c>
      <c r="E806" s="3" t="s">
        <v>15</v>
      </c>
      <c r="F806" s="3" t="s">
        <v>1664</v>
      </c>
      <c r="G806" s="5" t="s">
        <v>16</v>
      </c>
      <c r="H806" s="6"/>
      <c r="I806" s="5"/>
      <c r="J806" s="5"/>
      <c r="K806" s="6"/>
      <c r="L806" s="7"/>
      <c r="M806" s="8" t="s">
        <v>17</v>
      </c>
    </row>
    <row r="807" customFormat="false" ht="15" hidden="false" customHeight="false" outlineLevel="0" collapsed="false">
      <c r="A807" s="2" t="n">
        <v>806</v>
      </c>
      <c r="B807" s="3" t="s">
        <v>1665</v>
      </c>
      <c r="C807" s="3" t="s">
        <v>537</v>
      </c>
      <c r="D807" s="4"/>
      <c r="E807" s="3" t="s">
        <v>15</v>
      </c>
      <c r="F807" s="3"/>
      <c r="G807" s="5" t="s">
        <v>16</v>
      </c>
      <c r="H807" s="6"/>
      <c r="I807" s="5"/>
      <c r="J807" s="5"/>
      <c r="K807" s="6"/>
      <c r="L807" s="7"/>
      <c r="M807" s="8" t="s">
        <v>17</v>
      </c>
    </row>
    <row r="808" customFormat="false" ht="15" hidden="false" customHeight="false" outlineLevel="0" collapsed="false">
      <c r="A808" s="2" t="n">
        <v>807</v>
      </c>
      <c r="B808" s="3" t="s">
        <v>1666</v>
      </c>
      <c r="C808" s="3" t="s">
        <v>154</v>
      </c>
      <c r="D808" s="4" t="s">
        <v>1590</v>
      </c>
      <c r="E808" s="3" t="s">
        <v>15</v>
      </c>
      <c r="F808" s="3" t="s">
        <v>1667</v>
      </c>
      <c r="G808" s="5" t="s">
        <v>16</v>
      </c>
      <c r="H808" s="6"/>
      <c r="I808" s="5"/>
      <c r="J808" s="5"/>
      <c r="K808" s="6"/>
      <c r="L808" s="7"/>
      <c r="M808" s="8" t="s">
        <v>17</v>
      </c>
    </row>
    <row r="809" customFormat="false" ht="15" hidden="false" customHeight="false" outlineLevel="0" collapsed="false">
      <c r="A809" s="2" t="n">
        <v>808</v>
      </c>
      <c r="B809" s="3" t="s">
        <v>1668</v>
      </c>
      <c r="C809" s="3" t="s">
        <v>437</v>
      </c>
      <c r="D809" s="4"/>
      <c r="E809" s="3" t="s">
        <v>15</v>
      </c>
      <c r="F809" s="3"/>
      <c r="G809" s="5" t="s">
        <v>16</v>
      </c>
      <c r="H809" s="6"/>
      <c r="I809" s="5"/>
      <c r="J809" s="5"/>
      <c r="K809" s="6"/>
      <c r="L809" s="7"/>
      <c r="M809" s="8" t="s">
        <v>17</v>
      </c>
    </row>
    <row r="810" customFormat="false" ht="15" hidden="false" customHeight="false" outlineLevel="0" collapsed="false">
      <c r="A810" s="2" t="n">
        <v>809</v>
      </c>
      <c r="B810" s="3" t="s">
        <v>1669</v>
      </c>
      <c r="C810" s="3" t="s">
        <v>1670</v>
      </c>
      <c r="D810" s="4"/>
      <c r="E810" s="3" t="s">
        <v>15</v>
      </c>
      <c r="F810" s="3"/>
      <c r="G810" s="5" t="s">
        <v>16</v>
      </c>
      <c r="H810" s="6"/>
      <c r="I810" s="5"/>
      <c r="J810" s="5"/>
      <c r="K810" s="6"/>
      <c r="L810" s="7"/>
      <c r="M810" s="8" t="s">
        <v>17</v>
      </c>
    </row>
    <row r="811" customFormat="false" ht="15" hidden="false" customHeight="false" outlineLevel="0" collapsed="false">
      <c r="A811" s="2" t="n">
        <v>810</v>
      </c>
      <c r="B811" s="3" t="s">
        <v>1671</v>
      </c>
      <c r="C811" s="3" t="s">
        <v>51</v>
      </c>
      <c r="D811" s="4"/>
      <c r="E811" s="3" t="s">
        <v>15</v>
      </c>
      <c r="F811" s="3" t="s">
        <v>1672</v>
      </c>
      <c r="G811" s="5" t="s">
        <v>16</v>
      </c>
      <c r="H811" s="6"/>
      <c r="I811" s="5"/>
      <c r="J811" s="5"/>
      <c r="K811" s="6"/>
      <c r="L811" s="7"/>
      <c r="M811" s="8" t="s">
        <v>17</v>
      </c>
    </row>
    <row r="812" customFormat="false" ht="15" hidden="false" customHeight="false" outlineLevel="0" collapsed="false">
      <c r="A812" s="2" t="n">
        <v>811</v>
      </c>
      <c r="B812" s="3" t="s">
        <v>1673</v>
      </c>
      <c r="C812" s="3" t="s">
        <v>124</v>
      </c>
      <c r="D812" s="4"/>
      <c r="E812" s="3" t="s">
        <v>15</v>
      </c>
      <c r="F812" s="3"/>
      <c r="G812" s="5" t="s">
        <v>16</v>
      </c>
      <c r="H812" s="6"/>
      <c r="I812" s="5"/>
      <c r="J812" s="5"/>
      <c r="K812" s="6"/>
      <c r="L812" s="7"/>
      <c r="M812" s="8" t="s">
        <v>17</v>
      </c>
    </row>
    <row r="813" customFormat="false" ht="15" hidden="false" customHeight="false" outlineLevel="0" collapsed="false">
      <c r="A813" s="2" t="n">
        <v>812</v>
      </c>
      <c r="B813" s="3" t="s">
        <v>1674</v>
      </c>
      <c r="C813" s="3" t="s">
        <v>180</v>
      </c>
      <c r="D813" s="4"/>
      <c r="E813" s="3" t="s">
        <v>15</v>
      </c>
      <c r="F813" s="3" t="s">
        <v>1675</v>
      </c>
      <c r="G813" s="5" t="s">
        <v>16</v>
      </c>
      <c r="H813" s="6"/>
      <c r="I813" s="5"/>
      <c r="J813" s="5"/>
      <c r="K813" s="6"/>
      <c r="L813" s="7"/>
      <c r="M813" s="8" t="s">
        <v>17</v>
      </c>
    </row>
    <row r="814" customFormat="false" ht="15" hidden="false" customHeight="false" outlineLevel="0" collapsed="false">
      <c r="A814" s="2" t="n">
        <v>813</v>
      </c>
      <c r="B814" s="3" t="s">
        <v>1676</v>
      </c>
      <c r="C814" s="3" t="s">
        <v>1677</v>
      </c>
      <c r="D814" s="4"/>
      <c r="E814" s="3" t="s">
        <v>15</v>
      </c>
      <c r="F814" s="3" t="s">
        <v>1678</v>
      </c>
      <c r="G814" s="5" t="s">
        <v>16</v>
      </c>
      <c r="H814" s="6"/>
      <c r="I814" s="5"/>
      <c r="J814" s="5"/>
      <c r="K814" s="6"/>
      <c r="L814" s="7"/>
      <c r="M814" s="8" t="s">
        <v>17</v>
      </c>
    </row>
    <row r="815" customFormat="false" ht="15" hidden="false" customHeight="false" outlineLevel="0" collapsed="false">
      <c r="A815" s="2" t="n">
        <v>814</v>
      </c>
      <c r="B815" s="3" t="s">
        <v>1679</v>
      </c>
      <c r="C815" s="3"/>
      <c r="D815" s="4"/>
      <c r="E815" s="3" t="s">
        <v>15</v>
      </c>
      <c r="F815" s="3"/>
      <c r="G815" s="5" t="s">
        <v>16</v>
      </c>
      <c r="H815" s="6"/>
      <c r="I815" s="5"/>
      <c r="J815" s="5"/>
      <c r="K815" s="6"/>
      <c r="L815" s="7"/>
      <c r="M815" s="8" t="s">
        <v>17</v>
      </c>
    </row>
    <row r="816" customFormat="false" ht="15" hidden="false" customHeight="false" outlineLevel="0" collapsed="false">
      <c r="A816" s="2" t="n">
        <v>815</v>
      </c>
      <c r="B816" s="3" t="s">
        <v>1680</v>
      </c>
      <c r="C816" s="3" t="s">
        <v>94</v>
      </c>
      <c r="D816" s="4" t="s">
        <v>1681</v>
      </c>
      <c r="E816" s="3" t="s">
        <v>15</v>
      </c>
      <c r="F816" s="3" t="s">
        <v>1682</v>
      </c>
      <c r="G816" s="5" t="s">
        <v>16</v>
      </c>
      <c r="H816" s="6"/>
      <c r="I816" s="5"/>
      <c r="J816" s="5"/>
      <c r="K816" s="6"/>
      <c r="L816" s="7"/>
      <c r="M816" s="8" t="s">
        <v>17</v>
      </c>
    </row>
    <row r="817" customFormat="false" ht="15" hidden="false" customHeight="false" outlineLevel="0" collapsed="false">
      <c r="A817" s="2" t="n">
        <v>816</v>
      </c>
      <c r="B817" s="3" t="s">
        <v>1683</v>
      </c>
      <c r="C817" s="3" t="s">
        <v>1684</v>
      </c>
      <c r="D817" s="4"/>
      <c r="E817" s="3" t="s">
        <v>15</v>
      </c>
      <c r="F817" s="3" t="s">
        <v>1685</v>
      </c>
      <c r="G817" s="5" t="s">
        <v>16</v>
      </c>
      <c r="H817" s="6"/>
      <c r="I817" s="5"/>
      <c r="J817" s="5"/>
      <c r="K817" s="6"/>
      <c r="L817" s="7"/>
      <c r="M817" s="8" t="s">
        <v>17</v>
      </c>
    </row>
    <row r="818" customFormat="false" ht="15" hidden="false" customHeight="false" outlineLevel="0" collapsed="false">
      <c r="A818" s="2" t="n">
        <v>817</v>
      </c>
      <c r="B818" s="3" t="s">
        <v>1686</v>
      </c>
      <c r="C818" s="3"/>
      <c r="D818" s="4"/>
      <c r="E818" s="3" t="s">
        <v>15</v>
      </c>
      <c r="F818" s="3"/>
      <c r="G818" s="5" t="s">
        <v>16</v>
      </c>
      <c r="H818" s="6"/>
      <c r="I818" s="5"/>
      <c r="J818" s="5"/>
      <c r="K818" s="6"/>
      <c r="L818" s="7"/>
      <c r="M818" s="8" t="s">
        <v>17</v>
      </c>
    </row>
    <row r="819" customFormat="false" ht="15" hidden="false" customHeight="false" outlineLevel="0" collapsed="false">
      <c r="A819" s="2" t="n">
        <v>818</v>
      </c>
      <c r="B819" s="3" t="s">
        <v>1687</v>
      </c>
      <c r="C819" s="3" t="s">
        <v>1688</v>
      </c>
      <c r="D819" s="4"/>
      <c r="E819" s="3" t="s">
        <v>15</v>
      </c>
      <c r="F819" s="3" t="s">
        <v>1689</v>
      </c>
      <c r="G819" s="5" t="s">
        <v>16</v>
      </c>
      <c r="H819" s="6"/>
      <c r="I819" s="5"/>
      <c r="J819" s="5"/>
      <c r="K819" s="6"/>
      <c r="L819" s="7"/>
      <c r="M819" s="8" t="s">
        <v>17</v>
      </c>
    </row>
    <row r="820" customFormat="false" ht="15" hidden="false" customHeight="false" outlineLevel="0" collapsed="false">
      <c r="A820" s="2" t="n">
        <v>819</v>
      </c>
      <c r="B820" s="3" t="s">
        <v>1690</v>
      </c>
      <c r="C820" s="3" t="s">
        <v>75</v>
      </c>
      <c r="D820" s="4"/>
      <c r="E820" s="3" t="s">
        <v>15</v>
      </c>
      <c r="F820" s="3" t="s">
        <v>1691</v>
      </c>
      <c r="G820" s="5" t="s">
        <v>16</v>
      </c>
      <c r="H820" s="6"/>
      <c r="I820" s="5"/>
      <c r="J820" s="5"/>
      <c r="K820" s="6"/>
      <c r="L820" s="7"/>
      <c r="M820" s="8" t="s">
        <v>17</v>
      </c>
    </row>
    <row r="821" customFormat="false" ht="15" hidden="false" customHeight="false" outlineLevel="0" collapsed="false">
      <c r="A821" s="2" t="n">
        <v>820</v>
      </c>
      <c r="B821" s="3" t="s">
        <v>1692</v>
      </c>
      <c r="C821" s="3" t="s">
        <v>84</v>
      </c>
      <c r="D821" s="4"/>
      <c r="E821" s="3" t="s">
        <v>15</v>
      </c>
      <c r="F821" s="3" t="s">
        <v>1693</v>
      </c>
      <c r="G821" s="5" t="s">
        <v>16</v>
      </c>
      <c r="H821" s="6"/>
      <c r="I821" s="5"/>
      <c r="J821" s="5"/>
      <c r="K821" s="6"/>
      <c r="L821" s="7"/>
      <c r="M821" s="8" t="s">
        <v>17</v>
      </c>
    </row>
    <row r="822" customFormat="false" ht="15" hidden="false" customHeight="false" outlineLevel="0" collapsed="false">
      <c r="A822" s="2" t="n">
        <v>821</v>
      </c>
      <c r="B822" s="3" t="s">
        <v>1694</v>
      </c>
      <c r="C822" s="3"/>
      <c r="D822" s="4"/>
      <c r="E822" s="3" t="s">
        <v>15</v>
      </c>
      <c r="F822" s="3"/>
      <c r="G822" s="5" t="s">
        <v>16</v>
      </c>
      <c r="H822" s="6"/>
      <c r="I822" s="5"/>
      <c r="J822" s="5"/>
      <c r="K822" s="6"/>
      <c r="L822" s="7"/>
      <c r="M822" s="8" t="s">
        <v>17</v>
      </c>
    </row>
    <row r="823" customFormat="false" ht="15" hidden="false" customHeight="false" outlineLevel="0" collapsed="false">
      <c r="A823" s="2" t="n">
        <v>822</v>
      </c>
      <c r="B823" s="3" t="s">
        <v>1695</v>
      </c>
      <c r="C823" s="3" t="s">
        <v>19</v>
      </c>
      <c r="D823" s="4" t="s">
        <v>1696</v>
      </c>
      <c r="E823" s="3" t="s">
        <v>15</v>
      </c>
      <c r="F823" s="3" t="s">
        <v>1697</v>
      </c>
      <c r="G823" s="5" t="s">
        <v>16</v>
      </c>
      <c r="H823" s="6"/>
      <c r="I823" s="5"/>
      <c r="J823" s="5"/>
      <c r="K823" s="6"/>
      <c r="L823" s="7"/>
      <c r="M823" s="8" t="s">
        <v>17</v>
      </c>
    </row>
    <row r="824" customFormat="false" ht="15" hidden="false" customHeight="false" outlineLevel="0" collapsed="false">
      <c r="A824" s="2" t="n">
        <v>823</v>
      </c>
      <c r="B824" s="3" t="s">
        <v>1698</v>
      </c>
      <c r="C824" s="3" t="s">
        <v>1699</v>
      </c>
      <c r="D824" s="4"/>
      <c r="E824" s="3" t="s">
        <v>15</v>
      </c>
      <c r="F824" s="3" t="s">
        <v>1700</v>
      </c>
      <c r="G824" s="5" t="s">
        <v>16</v>
      </c>
      <c r="H824" s="6"/>
      <c r="I824" s="5"/>
      <c r="J824" s="5"/>
      <c r="K824" s="6"/>
      <c r="L824" s="7"/>
      <c r="M824" s="8" t="s">
        <v>17</v>
      </c>
    </row>
    <row r="825" customFormat="false" ht="15" hidden="false" customHeight="false" outlineLevel="0" collapsed="false">
      <c r="A825" s="2" t="n">
        <v>824</v>
      </c>
      <c r="B825" s="3" t="s">
        <v>1701</v>
      </c>
      <c r="C825" s="3"/>
      <c r="D825" s="4" t="s">
        <v>1702</v>
      </c>
      <c r="E825" s="3" t="s">
        <v>15</v>
      </c>
      <c r="F825" s="3"/>
      <c r="G825" s="5" t="s">
        <v>16</v>
      </c>
      <c r="H825" s="6"/>
      <c r="I825" s="5"/>
      <c r="J825" s="5"/>
      <c r="K825" s="6"/>
      <c r="L825" s="7"/>
      <c r="M825" s="8" t="s">
        <v>17</v>
      </c>
    </row>
    <row r="826" customFormat="false" ht="15" hidden="false" customHeight="false" outlineLevel="0" collapsed="false">
      <c r="A826" s="2" t="n">
        <v>825</v>
      </c>
      <c r="B826" s="3" t="s">
        <v>1703</v>
      </c>
      <c r="C826" s="3" t="s">
        <v>1704</v>
      </c>
      <c r="D826" s="4"/>
      <c r="E826" s="3" t="s">
        <v>15</v>
      </c>
      <c r="F826" s="3"/>
      <c r="G826" s="5" t="s">
        <v>16</v>
      </c>
      <c r="H826" s="6"/>
      <c r="I826" s="5"/>
      <c r="J826" s="5"/>
      <c r="K826" s="6"/>
      <c r="L826" s="7"/>
      <c r="M826" s="8" t="s">
        <v>17</v>
      </c>
    </row>
    <row r="827" customFormat="false" ht="15" hidden="false" customHeight="false" outlineLevel="0" collapsed="false">
      <c r="A827" s="2" t="n">
        <v>826</v>
      </c>
      <c r="B827" s="3" t="s">
        <v>1705</v>
      </c>
      <c r="C827" s="3" t="s">
        <v>51</v>
      </c>
      <c r="D827" s="4"/>
      <c r="E827" s="3" t="s">
        <v>15</v>
      </c>
      <c r="F827" s="3" t="s">
        <v>1706</v>
      </c>
      <c r="G827" s="5" t="s">
        <v>16</v>
      </c>
      <c r="H827" s="6"/>
      <c r="I827" s="5"/>
      <c r="J827" s="5"/>
      <c r="K827" s="6"/>
      <c r="L827" s="7"/>
      <c r="M827" s="8" t="s">
        <v>17</v>
      </c>
    </row>
    <row r="828" customFormat="false" ht="15" hidden="false" customHeight="false" outlineLevel="0" collapsed="false">
      <c r="A828" s="2" t="n">
        <v>827</v>
      </c>
      <c r="B828" s="3" t="s">
        <v>1707</v>
      </c>
      <c r="C828" s="3" t="s">
        <v>1708</v>
      </c>
      <c r="D828" s="4"/>
      <c r="E828" s="3" t="s">
        <v>15</v>
      </c>
      <c r="F828" s="3"/>
      <c r="G828" s="5" t="s">
        <v>16</v>
      </c>
      <c r="H828" s="6"/>
      <c r="I828" s="5"/>
      <c r="J828" s="5"/>
      <c r="K828" s="6"/>
      <c r="L828" s="7"/>
      <c r="M828" s="8" t="s">
        <v>17</v>
      </c>
    </row>
    <row r="829" customFormat="false" ht="15" hidden="false" customHeight="false" outlineLevel="0" collapsed="false">
      <c r="A829" s="2" t="n">
        <v>828</v>
      </c>
      <c r="B829" s="3" t="s">
        <v>1709</v>
      </c>
      <c r="C829" s="3" t="s">
        <v>701</v>
      </c>
      <c r="D829" s="4"/>
      <c r="E829" s="3" t="s">
        <v>15</v>
      </c>
      <c r="F829" s="3" t="s">
        <v>1710</v>
      </c>
      <c r="G829" s="5" t="s">
        <v>16</v>
      </c>
      <c r="H829" s="6"/>
      <c r="I829" s="5"/>
      <c r="J829" s="5"/>
      <c r="K829" s="6"/>
      <c r="L829" s="7"/>
      <c r="M829" s="8" t="s">
        <v>17</v>
      </c>
    </row>
    <row r="830" customFormat="false" ht="15" hidden="false" customHeight="false" outlineLevel="0" collapsed="false">
      <c r="A830" s="2" t="n">
        <v>829</v>
      </c>
      <c r="B830" s="3" t="s">
        <v>1711</v>
      </c>
      <c r="C830" s="3" t="s">
        <v>1712</v>
      </c>
      <c r="D830" s="4"/>
      <c r="E830" s="3" t="s">
        <v>15</v>
      </c>
      <c r="F830" s="3" t="s">
        <v>1713</v>
      </c>
      <c r="G830" s="5" t="s">
        <v>16</v>
      </c>
      <c r="H830" s="6"/>
      <c r="I830" s="5"/>
      <c r="J830" s="5"/>
      <c r="K830" s="6"/>
      <c r="L830" s="7"/>
      <c r="M830" s="8" t="s">
        <v>17</v>
      </c>
    </row>
    <row r="831" customFormat="false" ht="15" hidden="false" customHeight="false" outlineLevel="0" collapsed="false">
      <c r="A831" s="2" t="n">
        <v>830</v>
      </c>
      <c r="B831" s="3" t="s">
        <v>1714</v>
      </c>
      <c r="C831" s="3"/>
      <c r="D831" s="4"/>
      <c r="E831" s="3" t="s">
        <v>15</v>
      </c>
      <c r="F831" s="3"/>
      <c r="G831" s="5" t="s">
        <v>16</v>
      </c>
      <c r="H831" s="6"/>
      <c r="I831" s="5"/>
      <c r="J831" s="5"/>
      <c r="K831" s="6"/>
      <c r="L831" s="7"/>
      <c r="M831" s="8" t="s">
        <v>17</v>
      </c>
    </row>
    <row r="832" customFormat="false" ht="15" hidden="false" customHeight="false" outlineLevel="0" collapsed="false">
      <c r="A832" s="2" t="n">
        <v>831</v>
      </c>
      <c r="B832" s="3" t="s">
        <v>1715</v>
      </c>
      <c r="C832" s="3"/>
      <c r="D832" s="4"/>
      <c r="E832" s="3" t="s">
        <v>15</v>
      </c>
      <c r="F832" s="3"/>
      <c r="G832" s="5" t="s">
        <v>16</v>
      </c>
      <c r="H832" s="6"/>
      <c r="I832" s="5"/>
      <c r="J832" s="5"/>
      <c r="K832" s="6"/>
      <c r="L832" s="7"/>
      <c r="M832" s="8" t="s">
        <v>17</v>
      </c>
    </row>
    <row r="833" customFormat="false" ht="15" hidden="false" customHeight="false" outlineLevel="0" collapsed="false">
      <c r="A833" s="2" t="n">
        <v>832</v>
      </c>
      <c r="B833" s="3" t="s">
        <v>1716</v>
      </c>
      <c r="C833" s="3"/>
      <c r="D833" s="4"/>
      <c r="E833" s="3" t="s">
        <v>15</v>
      </c>
      <c r="F833" s="3" t="s">
        <v>1717</v>
      </c>
      <c r="G833" s="5" t="s">
        <v>16</v>
      </c>
      <c r="H833" s="6"/>
      <c r="I833" s="5"/>
      <c r="J833" s="5"/>
      <c r="K833" s="6"/>
      <c r="L833" s="7"/>
      <c r="M833" s="8" t="s">
        <v>17</v>
      </c>
    </row>
    <row r="834" customFormat="false" ht="15" hidden="false" customHeight="false" outlineLevel="0" collapsed="false">
      <c r="A834" s="2" t="n">
        <v>833</v>
      </c>
      <c r="B834" s="3" t="s">
        <v>1718</v>
      </c>
      <c r="C834" s="3" t="s">
        <v>84</v>
      </c>
      <c r="D834" s="4"/>
      <c r="E834" s="3" t="s">
        <v>15</v>
      </c>
      <c r="F834" s="3" t="s">
        <v>1719</v>
      </c>
      <c r="G834" s="5" t="s">
        <v>16</v>
      </c>
      <c r="H834" s="6"/>
      <c r="I834" s="5"/>
      <c r="J834" s="5"/>
      <c r="K834" s="6"/>
      <c r="L834" s="7"/>
      <c r="M834" s="8" t="s">
        <v>17</v>
      </c>
    </row>
    <row r="835" customFormat="false" ht="15" hidden="false" customHeight="false" outlineLevel="0" collapsed="false">
      <c r="A835" s="2" t="n">
        <v>834</v>
      </c>
      <c r="B835" s="3" t="s">
        <v>1720</v>
      </c>
      <c r="C835" s="3"/>
      <c r="D835" s="4"/>
      <c r="E835" s="3" t="s">
        <v>15</v>
      </c>
      <c r="F835" s="3"/>
      <c r="G835" s="5" t="s">
        <v>16</v>
      </c>
      <c r="H835" s="6"/>
      <c r="I835" s="5"/>
      <c r="J835" s="5"/>
      <c r="K835" s="6"/>
      <c r="L835" s="7"/>
      <c r="M835" s="8" t="s">
        <v>17</v>
      </c>
    </row>
    <row r="836" customFormat="false" ht="15" hidden="false" customHeight="false" outlineLevel="0" collapsed="false">
      <c r="A836" s="2" t="n">
        <v>835</v>
      </c>
      <c r="B836" s="3" t="s">
        <v>1721</v>
      </c>
      <c r="C836" s="3"/>
      <c r="D836" s="4" t="s">
        <v>1722</v>
      </c>
      <c r="E836" s="3" t="s">
        <v>15</v>
      </c>
      <c r="F836" s="3" t="s">
        <v>1723</v>
      </c>
      <c r="G836" s="5" t="s">
        <v>16</v>
      </c>
      <c r="H836" s="6"/>
      <c r="I836" s="5"/>
      <c r="J836" s="5"/>
      <c r="K836" s="6"/>
      <c r="L836" s="7"/>
      <c r="M836" s="8" t="s">
        <v>17</v>
      </c>
    </row>
    <row r="837" customFormat="false" ht="15" hidden="false" customHeight="false" outlineLevel="0" collapsed="false">
      <c r="A837" s="2" t="n">
        <v>836</v>
      </c>
      <c r="B837" s="3" t="s">
        <v>1724</v>
      </c>
      <c r="C837" s="3" t="s">
        <v>145</v>
      </c>
      <c r="D837" s="4"/>
      <c r="E837" s="3" t="s">
        <v>15</v>
      </c>
      <c r="F837" s="3"/>
      <c r="G837" s="5" t="s">
        <v>16</v>
      </c>
      <c r="H837" s="6"/>
      <c r="I837" s="5"/>
      <c r="J837" s="5"/>
      <c r="K837" s="6"/>
      <c r="L837" s="7"/>
      <c r="M837" s="8" t="s">
        <v>17</v>
      </c>
    </row>
    <row r="838" customFormat="false" ht="15" hidden="false" customHeight="false" outlineLevel="0" collapsed="false">
      <c r="A838" s="2" t="n">
        <v>837</v>
      </c>
      <c r="B838" s="3" t="s">
        <v>1725</v>
      </c>
      <c r="C838" s="3"/>
      <c r="D838" s="4" t="s">
        <v>1726</v>
      </c>
      <c r="E838" s="3" t="s">
        <v>15</v>
      </c>
      <c r="F838" s="3"/>
      <c r="G838" s="5" t="s">
        <v>16</v>
      </c>
      <c r="H838" s="6"/>
      <c r="I838" s="5"/>
      <c r="J838" s="5"/>
      <c r="K838" s="6"/>
      <c r="L838" s="7"/>
      <c r="M838" s="8" t="s">
        <v>17</v>
      </c>
    </row>
    <row r="839" customFormat="false" ht="15" hidden="false" customHeight="false" outlineLevel="0" collapsed="false">
      <c r="A839" s="2" t="n">
        <v>838</v>
      </c>
      <c r="B839" s="3" t="s">
        <v>1727</v>
      </c>
      <c r="C839" s="3" t="s">
        <v>64</v>
      </c>
      <c r="D839" s="4" t="s">
        <v>1728</v>
      </c>
      <c r="E839" s="3" t="s">
        <v>15</v>
      </c>
      <c r="F839" s="3" t="s">
        <v>1729</v>
      </c>
      <c r="G839" s="5" t="s">
        <v>16</v>
      </c>
      <c r="H839" s="6"/>
      <c r="I839" s="5"/>
      <c r="J839" s="5"/>
      <c r="K839" s="6"/>
      <c r="L839" s="7"/>
      <c r="M839" s="8" t="s">
        <v>17</v>
      </c>
    </row>
    <row r="840" customFormat="false" ht="15" hidden="false" customHeight="false" outlineLevel="0" collapsed="false">
      <c r="A840" s="2" t="n">
        <v>839</v>
      </c>
      <c r="B840" s="3" t="s">
        <v>1730</v>
      </c>
      <c r="C840" s="3" t="s">
        <v>145</v>
      </c>
      <c r="D840" s="4"/>
      <c r="E840" s="3" t="s">
        <v>15</v>
      </c>
      <c r="F840" s="3" t="s">
        <v>1731</v>
      </c>
      <c r="G840" s="5" t="s">
        <v>16</v>
      </c>
      <c r="H840" s="6"/>
      <c r="I840" s="5"/>
      <c r="J840" s="5"/>
      <c r="K840" s="6"/>
      <c r="L840" s="7"/>
      <c r="M840" s="8" t="s">
        <v>17</v>
      </c>
    </row>
    <row r="841" customFormat="false" ht="15" hidden="false" customHeight="false" outlineLevel="0" collapsed="false">
      <c r="A841" s="2" t="n">
        <v>840</v>
      </c>
      <c r="B841" s="3" t="s">
        <v>1732</v>
      </c>
      <c r="C841" s="3" t="s">
        <v>1733</v>
      </c>
      <c r="D841" s="4"/>
      <c r="E841" s="3" t="s">
        <v>15</v>
      </c>
      <c r="F841" s="3"/>
      <c r="G841" s="5" t="s">
        <v>16</v>
      </c>
      <c r="H841" s="6"/>
      <c r="I841" s="5"/>
      <c r="J841" s="5"/>
      <c r="K841" s="6"/>
      <c r="L841" s="7"/>
      <c r="M841" s="8" t="s">
        <v>17</v>
      </c>
    </row>
    <row r="842" customFormat="false" ht="15" hidden="false" customHeight="false" outlineLevel="0" collapsed="false">
      <c r="A842" s="2" t="n">
        <v>841</v>
      </c>
      <c r="B842" s="3" t="s">
        <v>1734</v>
      </c>
      <c r="C842" s="3" t="s">
        <v>62</v>
      </c>
      <c r="D842" s="4"/>
      <c r="E842" s="3" t="s">
        <v>15</v>
      </c>
      <c r="F842" s="3" t="s">
        <v>1735</v>
      </c>
      <c r="G842" s="5" t="s">
        <v>16</v>
      </c>
      <c r="H842" s="6"/>
      <c r="I842" s="5"/>
      <c r="J842" s="5"/>
      <c r="K842" s="6"/>
      <c r="L842" s="7"/>
      <c r="M842" s="8" t="s">
        <v>17</v>
      </c>
    </row>
    <row r="843" customFormat="false" ht="15" hidden="false" customHeight="false" outlineLevel="0" collapsed="false">
      <c r="A843" s="2" t="n">
        <v>842</v>
      </c>
      <c r="B843" s="3" t="s">
        <v>1736</v>
      </c>
      <c r="C843" s="3" t="s">
        <v>64</v>
      </c>
      <c r="D843" s="4" t="s">
        <v>1737</v>
      </c>
      <c r="E843" s="3" t="s">
        <v>15</v>
      </c>
      <c r="F843" s="3"/>
      <c r="G843" s="5" t="s">
        <v>16</v>
      </c>
      <c r="H843" s="6"/>
      <c r="I843" s="5"/>
      <c r="J843" s="5"/>
      <c r="K843" s="6"/>
      <c r="L843" s="7"/>
      <c r="M843" s="8" t="s">
        <v>17</v>
      </c>
    </row>
    <row r="844" customFormat="false" ht="15" hidden="false" customHeight="false" outlineLevel="0" collapsed="false">
      <c r="A844" s="2" t="n">
        <v>843</v>
      </c>
      <c r="B844" s="3" t="s">
        <v>1738</v>
      </c>
      <c r="C844" s="3" t="s">
        <v>19</v>
      </c>
      <c r="D844" s="4" t="s">
        <v>461</v>
      </c>
      <c r="E844" s="3" t="s">
        <v>15</v>
      </c>
      <c r="F844" s="3"/>
      <c r="G844" s="5" t="s">
        <v>16</v>
      </c>
      <c r="H844" s="6"/>
      <c r="I844" s="5"/>
      <c r="J844" s="5"/>
      <c r="K844" s="6"/>
      <c r="L844" s="7"/>
      <c r="M844" s="8" t="s">
        <v>17</v>
      </c>
    </row>
    <row r="845" customFormat="false" ht="15" hidden="false" customHeight="false" outlineLevel="0" collapsed="false">
      <c r="A845" s="2" t="n">
        <v>844</v>
      </c>
      <c r="B845" s="3" t="s">
        <v>1739</v>
      </c>
      <c r="C845" s="3" t="s">
        <v>1740</v>
      </c>
      <c r="D845" s="4"/>
      <c r="E845" s="3" t="s">
        <v>15</v>
      </c>
      <c r="F845" s="3" t="s">
        <v>1741</v>
      </c>
      <c r="G845" s="5" t="s">
        <v>16</v>
      </c>
      <c r="H845" s="6"/>
      <c r="I845" s="5"/>
      <c r="J845" s="5"/>
      <c r="K845" s="6"/>
      <c r="L845" s="7"/>
      <c r="M845" s="8" t="s">
        <v>17</v>
      </c>
    </row>
    <row r="846" customFormat="false" ht="15" hidden="false" customHeight="false" outlineLevel="0" collapsed="false">
      <c r="A846" s="2" t="n">
        <v>845</v>
      </c>
      <c r="B846" s="3" t="s">
        <v>1742</v>
      </c>
      <c r="C846" s="3" t="s">
        <v>627</v>
      </c>
      <c r="D846" s="4"/>
      <c r="E846" s="3" t="s">
        <v>15</v>
      </c>
      <c r="F846" s="3" t="s">
        <v>1743</v>
      </c>
      <c r="G846" s="5" t="s">
        <v>16</v>
      </c>
      <c r="H846" s="6"/>
      <c r="I846" s="5"/>
      <c r="J846" s="5"/>
      <c r="K846" s="6"/>
      <c r="L846" s="7"/>
      <c r="M846" s="8" t="s">
        <v>17</v>
      </c>
    </row>
    <row r="847" customFormat="false" ht="15" hidden="false" customHeight="false" outlineLevel="0" collapsed="false">
      <c r="A847" s="2" t="n">
        <v>846</v>
      </c>
      <c r="B847" s="3" t="s">
        <v>1744</v>
      </c>
      <c r="C847" s="3" t="s">
        <v>62</v>
      </c>
      <c r="D847" s="4" t="s">
        <v>1745</v>
      </c>
      <c r="E847" s="3" t="s">
        <v>15</v>
      </c>
      <c r="F847" s="3" t="s">
        <v>1746</v>
      </c>
      <c r="G847" s="5" t="s">
        <v>16</v>
      </c>
      <c r="H847" s="6"/>
      <c r="I847" s="5"/>
      <c r="J847" s="5"/>
      <c r="K847" s="6"/>
      <c r="L847" s="7"/>
      <c r="M847" s="8" t="s">
        <v>17</v>
      </c>
    </row>
    <row r="848" customFormat="false" ht="15" hidden="false" customHeight="false" outlineLevel="0" collapsed="false">
      <c r="A848" s="2" t="n">
        <v>847</v>
      </c>
      <c r="B848" s="3" t="s">
        <v>1747</v>
      </c>
      <c r="C848" s="3" t="s">
        <v>104</v>
      </c>
      <c r="D848" s="4" t="s">
        <v>1748</v>
      </c>
      <c r="E848" s="3" t="s">
        <v>15</v>
      </c>
      <c r="F848" s="3"/>
      <c r="G848" s="5" t="s">
        <v>16</v>
      </c>
      <c r="H848" s="6"/>
      <c r="I848" s="5"/>
      <c r="J848" s="5"/>
      <c r="K848" s="6"/>
      <c r="L848" s="7"/>
      <c r="M848" s="8" t="s">
        <v>17</v>
      </c>
    </row>
    <row r="849" customFormat="false" ht="15" hidden="false" customHeight="false" outlineLevel="0" collapsed="false">
      <c r="A849" s="2" t="n">
        <v>848</v>
      </c>
      <c r="B849" s="3" t="s">
        <v>1749</v>
      </c>
      <c r="C849" s="3" t="s">
        <v>81</v>
      </c>
      <c r="D849" s="4" t="s">
        <v>1750</v>
      </c>
      <c r="E849" s="3" t="s">
        <v>15</v>
      </c>
      <c r="F849" s="3" t="s">
        <v>1751</v>
      </c>
      <c r="G849" s="5" t="s">
        <v>16</v>
      </c>
      <c r="H849" s="6"/>
      <c r="I849" s="5"/>
      <c r="J849" s="5"/>
      <c r="K849" s="6"/>
      <c r="L849" s="7"/>
      <c r="M849" s="8" t="s">
        <v>17</v>
      </c>
    </row>
    <row r="850" customFormat="false" ht="15" hidden="false" customHeight="false" outlineLevel="0" collapsed="false">
      <c r="A850" s="2" t="n">
        <v>849</v>
      </c>
      <c r="B850" s="3" t="s">
        <v>1752</v>
      </c>
      <c r="C850" s="3" t="s">
        <v>19</v>
      </c>
      <c r="D850" s="4" t="s">
        <v>1753</v>
      </c>
      <c r="E850" s="3" t="s">
        <v>15</v>
      </c>
      <c r="F850" s="3" t="s">
        <v>1754</v>
      </c>
      <c r="G850" s="5" t="s">
        <v>16</v>
      </c>
      <c r="H850" s="6"/>
      <c r="I850" s="5"/>
      <c r="J850" s="5"/>
      <c r="K850" s="6"/>
      <c r="L850" s="7"/>
      <c r="M850" s="8" t="s">
        <v>17</v>
      </c>
    </row>
    <row r="851" customFormat="false" ht="15" hidden="false" customHeight="false" outlineLevel="0" collapsed="false">
      <c r="A851" s="2" t="n">
        <v>850</v>
      </c>
      <c r="B851" s="3" t="s">
        <v>1755</v>
      </c>
      <c r="C851" s="3" t="s">
        <v>84</v>
      </c>
      <c r="D851" s="4"/>
      <c r="E851" s="3" t="s">
        <v>15</v>
      </c>
      <c r="F851" s="3" t="s">
        <v>1756</v>
      </c>
      <c r="G851" s="5" t="s">
        <v>16</v>
      </c>
      <c r="H851" s="6"/>
      <c r="I851" s="5"/>
      <c r="J851" s="5"/>
      <c r="K851" s="6"/>
      <c r="L851" s="7"/>
      <c r="M851" s="8" t="s">
        <v>17</v>
      </c>
    </row>
    <row r="852" customFormat="false" ht="15" hidden="false" customHeight="false" outlineLevel="0" collapsed="false">
      <c r="A852" s="2" t="n">
        <v>851</v>
      </c>
      <c r="B852" s="3" t="s">
        <v>1757</v>
      </c>
      <c r="C852" s="3"/>
      <c r="D852" s="4" t="s">
        <v>1758</v>
      </c>
      <c r="E852" s="3" t="s">
        <v>15</v>
      </c>
      <c r="F852" s="3" t="s">
        <v>1759</v>
      </c>
      <c r="G852" s="5" t="s">
        <v>16</v>
      </c>
      <c r="H852" s="6"/>
      <c r="I852" s="5"/>
      <c r="J852" s="5"/>
      <c r="K852" s="6"/>
      <c r="L852" s="7"/>
      <c r="M852" s="8" t="s">
        <v>17</v>
      </c>
    </row>
    <row r="853" customFormat="false" ht="15" hidden="false" customHeight="false" outlineLevel="0" collapsed="false">
      <c r="A853" s="2" t="n">
        <v>852</v>
      </c>
      <c r="B853" s="3" t="s">
        <v>1760</v>
      </c>
      <c r="C853" s="3" t="s">
        <v>64</v>
      </c>
      <c r="D853" s="4"/>
      <c r="E853" s="3" t="s">
        <v>15</v>
      </c>
      <c r="F853" s="3" t="s">
        <v>1761</v>
      </c>
      <c r="G853" s="5" t="s">
        <v>16</v>
      </c>
      <c r="H853" s="6"/>
      <c r="I853" s="5"/>
      <c r="J853" s="5"/>
      <c r="K853" s="6"/>
      <c r="L853" s="7"/>
      <c r="M853" s="8" t="s">
        <v>17</v>
      </c>
    </row>
    <row r="854" customFormat="false" ht="15" hidden="false" customHeight="false" outlineLevel="0" collapsed="false">
      <c r="A854" s="2" t="n">
        <v>853</v>
      </c>
      <c r="B854" s="3" t="s">
        <v>1762</v>
      </c>
      <c r="C854" s="3" t="s">
        <v>1763</v>
      </c>
      <c r="D854" s="4"/>
      <c r="E854" s="3" t="s">
        <v>15</v>
      </c>
      <c r="F854" s="3" t="s">
        <v>1764</v>
      </c>
      <c r="G854" s="5" t="s">
        <v>16</v>
      </c>
      <c r="H854" s="6"/>
      <c r="I854" s="5"/>
      <c r="J854" s="5"/>
      <c r="K854" s="6"/>
      <c r="L854" s="7"/>
      <c r="M854" s="8" t="s">
        <v>17</v>
      </c>
    </row>
    <row r="855" customFormat="false" ht="15" hidden="false" customHeight="false" outlineLevel="0" collapsed="false">
      <c r="A855" s="2" t="n">
        <v>854</v>
      </c>
      <c r="B855" s="3" t="s">
        <v>1765</v>
      </c>
      <c r="C855" s="3" t="s">
        <v>81</v>
      </c>
      <c r="D855" s="4"/>
      <c r="E855" s="3" t="s">
        <v>15</v>
      </c>
      <c r="F855" s="3"/>
      <c r="G855" s="5" t="s">
        <v>16</v>
      </c>
      <c r="H855" s="6"/>
      <c r="I855" s="5"/>
      <c r="J855" s="5"/>
      <c r="K855" s="6"/>
      <c r="L855" s="7"/>
      <c r="M855" s="8" t="s">
        <v>17</v>
      </c>
    </row>
    <row r="856" customFormat="false" ht="15" hidden="false" customHeight="false" outlineLevel="0" collapsed="false">
      <c r="A856" s="2" t="n">
        <v>855</v>
      </c>
      <c r="B856" s="3" t="s">
        <v>1766</v>
      </c>
      <c r="C856" s="3" t="s">
        <v>44</v>
      </c>
      <c r="D856" s="4" t="s">
        <v>1767</v>
      </c>
      <c r="E856" s="3" t="s">
        <v>15</v>
      </c>
      <c r="F856" s="3" t="s">
        <v>1768</v>
      </c>
      <c r="G856" s="5" t="s">
        <v>16</v>
      </c>
      <c r="H856" s="6"/>
      <c r="I856" s="5"/>
      <c r="J856" s="5"/>
      <c r="K856" s="6"/>
      <c r="L856" s="7"/>
      <c r="M856" s="8" t="s">
        <v>17</v>
      </c>
    </row>
    <row r="857" customFormat="false" ht="15" hidden="false" customHeight="false" outlineLevel="0" collapsed="false">
      <c r="A857" s="2" t="n">
        <v>856</v>
      </c>
      <c r="B857" s="3" t="s">
        <v>1769</v>
      </c>
      <c r="C857" s="3" t="s">
        <v>44</v>
      </c>
      <c r="D857" s="4" t="s">
        <v>1770</v>
      </c>
      <c r="E857" s="3" t="s">
        <v>15</v>
      </c>
      <c r="F857" s="3" t="s">
        <v>1771</v>
      </c>
      <c r="G857" s="5" t="s">
        <v>16</v>
      </c>
      <c r="H857" s="6"/>
      <c r="I857" s="5"/>
      <c r="J857" s="5"/>
      <c r="K857" s="6"/>
      <c r="L857" s="7"/>
      <c r="M857" s="8" t="s">
        <v>17</v>
      </c>
    </row>
    <row r="858" customFormat="false" ht="15" hidden="false" customHeight="false" outlineLevel="0" collapsed="false">
      <c r="A858" s="2" t="n">
        <v>857</v>
      </c>
      <c r="B858" s="3" t="s">
        <v>1772</v>
      </c>
      <c r="C858" s="3"/>
      <c r="D858" s="4"/>
      <c r="E858" s="3" t="s">
        <v>15</v>
      </c>
      <c r="F858" s="3"/>
      <c r="G858" s="5" t="s">
        <v>16</v>
      </c>
      <c r="H858" s="6"/>
      <c r="I858" s="5"/>
      <c r="J858" s="5"/>
      <c r="K858" s="6"/>
      <c r="L858" s="7"/>
      <c r="M858" s="8" t="s">
        <v>17</v>
      </c>
    </row>
    <row r="859" customFormat="false" ht="15" hidden="false" customHeight="false" outlineLevel="0" collapsed="false">
      <c r="A859" s="2" t="n">
        <v>858</v>
      </c>
      <c r="B859" s="3" t="s">
        <v>1773</v>
      </c>
      <c r="C859" s="3" t="s">
        <v>32</v>
      </c>
      <c r="D859" s="4"/>
      <c r="E859" s="3" t="s">
        <v>15</v>
      </c>
      <c r="F859" s="3" t="s">
        <v>1774</v>
      </c>
      <c r="G859" s="5" t="s">
        <v>16</v>
      </c>
      <c r="H859" s="6"/>
      <c r="I859" s="5"/>
      <c r="J859" s="5"/>
      <c r="K859" s="6"/>
      <c r="L859" s="7"/>
      <c r="M859" s="8" t="s">
        <v>17</v>
      </c>
    </row>
    <row r="860" customFormat="false" ht="15" hidden="false" customHeight="false" outlineLevel="0" collapsed="false">
      <c r="A860" s="2" t="n">
        <v>859</v>
      </c>
      <c r="B860" s="3" t="s">
        <v>1775</v>
      </c>
      <c r="C860" s="3" t="s">
        <v>81</v>
      </c>
      <c r="D860" s="4"/>
      <c r="E860" s="3" t="s">
        <v>15</v>
      </c>
      <c r="F860" s="3" t="s">
        <v>1776</v>
      </c>
      <c r="G860" s="5" t="s">
        <v>16</v>
      </c>
      <c r="H860" s="6"/>
      <c r="I860" s="5"/>
      <c r="J860" s="5"/>
      <c r="K860" s="6"/>
      <c r="L860" s="7"/>
      <c r="M860" s="8" t="s">
        <v>17</v>
      </c>
    </row>
    <row r="861" customFormat="false" ht="15" hidden="false" customHeight="false" outlineLevel="0" collapsed="false">
      <c r="A861" s="2" t="n">
        <v>860</v>
      </c>
      <c r="B861" s="3" t="s">
        <v>1777</v>
      </c>
      <c r="C861" s="3" t="s">
        <v>51</v>
      </c>
      <c r="D861" s="4"/>
      <c r="E861" s="3" t="s">
        <v>15</v>
      </c>
      <c r="F861" s="3" t="s">
        <v>1778</v>
      </c>
      <c r="G861" s="5" t="s">
        <v>16</v>
      </c>
      <c r="H861" s="6"/>
      <c r="I861" s="5"/>
      <c r="J861" s="5"/>
      <c r="K861" s="6"/>
      <c r="L861" s="7"/>
      <c r="M861" s="8" t="s">
        <v>17</v>
      </c>
    </row>
    <row r="862" customFormat="false" ht="15" hidden="false" customHeight="false" outlineLevel="0" collapsed="false">
      <c r="A862" s="2" t="n">
        <v>861</v>
      </c>
      <c r="B862" s="3" t="s">
        <v>1779</v>
      </c>
      <c r="C862" s="3" t="s">
        <v>437</v>
      </c>
      <c r="D862" s="4"/>
      <c r="E862" s="3" t="s">
        <v>15</v>
      </c>
      <c r="F862" s="3"/>
      <c r="G862" s="5" t="s">
        <v>16</v>
      </c>
      <c r="H862" s="6"/>
      <c r="I862" s="5"/>
      <c r="J862" s="5"/>
      <c r="K862" s="6"/>
      <c r="L862" s="7"/>
      <c r="M862" s="8" t="s">
        <v>17</v>
      </c>
    </row>
    <row r="863" customFormat="false" ht="15" hidden="false" customHeight="false" outlineLevel="0" collapsed="false">
      <c r="A863" s="2" t="n">
        <v>862</v>
      </c>
      <c r="B863" s="3" t="s">
        <v>1780</v>
      </c>
      <c r="C863" s="3" t="s">
        <v>1605</v>
      </c>
      <c r="D863" s="4"/>
      <c r="E863" s="3" t="s">
        <v>15</v>
      </c>
      <c r="F863" s="3" t="s">
        <v>1781</v>
      </c>
      <c r="G863" s="5" t="s">
        <v>16</v>
      </c>
      <c r="H863" s="6"/>
      <c r="I863" s="5"/>
      <c r="J863" s="5"/>
      <c r="K863" s="6"/>
      <c r="L863" s="7"/>
      <c r="M863" s="8" t="s">
        <v>17</v>
      </c>
    </row>
    <row r="864" customFormat="false" ht="15" hidden="false" customHeight="false" outlineLevel="0" collapsed="false">
      <c r="A864" s="2" t="n">
        <v>863</v>
      </c>
      <c r="B864" s="3" t="s">
        <v>1782</v>
      </c>
      <c r="C864" s="3" t="s">
        <v>81</v>
      </c>
      <c r="D864" s="4"/>
      <c r="E864" s="3" t="s">
        <v>15</v>
      </c>
      <c r="F864" s="3" t="s">
        <v>1783</v>
      </c>
      <c r="G864" s="5" t="s">
        <v>16</v>
      </c>
      <c r="H864" s="6"/>
      <c r="I864" s="5"/>
      <c r="J864" s="5"/>
      <c r="K864" s="6"/>
      <c r="L864" s="7"/>
      <c r="M864" s="8" t="s">
        <v>17</v>
      </c>
    </row>
    <row r="865" customFormat="false" ht="15" hidden="false" customHeight="false" outlineLevel="0" collapsed="false">
      <c r="A865" s="2" t="n">
        <v>864</v>
      </c>
      <c r="B865" s="3" t="s">
        <v>1784</v>
      </c>
      <c r="C865" s="3" t="s">
        <v>104</v>
      </c>
      <c r="D865" s="4" t="s">
        <v>1785</v>
      </c>
      <c r="E865" s="3" t="s">
        <v>15</v>
      </c>
      <c r="F865" s="3"/>
      <c r="G865" s="5" t="s">
        <v>16</v>
      </c>
      <c r="H865" s="6"/>
      <c r="I865" s="5"/>
      <c r="J865" s="5"/>
      <c r="K865" s="6"/>
      <c r="L865" s="7"/>
      <c r="M865" s="8" t="s">
        <v>17</v>
      </c>
    </row>
    <row r="866" customFormat="false" ht="15" hidden="false" customHeight="false" outlineLevel="0" collapsed="false">
      <c r="A866" s="2" t="n">
        <v>865</v>
      </c>
      <c r="B866" s="3" t="s">
        <v>1786</v>
      </c>
      <c r="C866" s="3" t="s">
        <v>54</v>
      </c>
      <c r="D866" s="4"/>
      <c r="E866" s="3" t="s">
        <v>15</v>
      </c>
      <c r="F866" s="3" t="s">
        <v>1787</v>
      </c>
      <c r="G866" s="5" t="s">
        <v>16</v>
      </c>
      <c r="H866" s="6"/>
      <c r="I866" s="5"/>
      <c r="J866" s="5"/>
      <c r="K866" s="6"/>
      <c r="L866" s="7"/>
      <c r="M866" s="8" t="s">
        <v>17</v>
      </c>
    </row>
    <row r="867" customFormat="false" ht="15" hidden="false" customHeight="false" outlineLevel="0" collapsed="false">
      <c r="A867" s="2" t="n">
        <v>866</v>
      </c>
      <c r="B867" s="3" t="s">
        <v>1788</v>
      </c>
      <c r="C867" s="3" t="s">
        <v>51</v>
      </c>
      <c r="D867" s="4"/>
      <c r="E867" s="3" t="s">
        <v>15</v>
      </c>
      <c r="F867" s="3" t="s">
        <v>1789</v>
      </c>
      <c r="G867" s="5" t="s">
        <v>16</v>
      </c>
      <c r="H867" s="6"/>
      <c r="I867" s="5"/>
      <c r="J867" s="5"/>
      <c r="K867" s="6"/>
      <c r="L867" s="7"/>
      <c r="M867" s="8" t="s">
        <v>17</v>
      </c>
    </row>
    <row r="868" customFormat="false" ht="15" hidden="false" customHeight="false" outlineLevel="0" collapsed="false">
      <c r="A868" s="2" t="n">
        <v>867</v>
      </c>
      <c r="B868" s="3" t="s">
        <v>1790</v>
      </c>
      <c r="C868" s="3" t="s">
        <v>54</v>
      </c>
      <c r="D868" s="4"/>
      <c r="E868" s="3" t="s">
        <v>15</v>
      </c>
      <c r="F868" s="3"/>
      <c r="G868" s="5" t="s">
        <v>16</v>
      </c>
      <c r="H868" s="6"/>
      <c r="I868" s="5"/>
      <c r="J868" s="5"/>
      <c r="K868" s="6"/>
      <c r="L868" s="7"/>
      <c r="M868" s="8" t="s">
        <v>17</v>
      </c>
    </row>
    <row r="869" customFormat="false" ht="15" hidden="false" customHeight="false" outlineLevel="0" collapsed="false">
      <c r="A869" s="2" t="n">
        <v>868</v>
      </c>
      <c r="B869" s="3" t="s">
        <v>1791</v>
      </c>
      <c r="C869" s="3" t="s">
        <v>51</v>
      </c>
      <c r="D869" s="4"/>
      <c r="E869" s="3" t="s">
        <v>15</v>
      </c>
      <c r="F869" s="3" t="s">
        <v>1792</v>
      </c>
      <c r="G869" s="5" t="s">
        <v>16</v>
      </c>
      <c r="H869" s="6"/>
      <c r="I869" s="5"/>
      <c r="J869" s="5"/>
      <c r="K869" s="6"/>
      <c r="L869" s="7"/>
      <c r="M869" s="8" t="s">
        <v>17</v>
      </c>
    </row>
    <row r="870" customFormat="false" ht="15" hidden="false" customHeight="false" outlineLevel="0" collapsed="false">
      <c r="A870" s="2" t="n">
        <v>869</v>
      </c>
      <c r="B870" s="3" t="s">
        <v>1793</v>
      </c>
      <c r="C870" s="3" t="s">
        <v>62</v>
      </c>
      <c r="D870" s="4"/>
      <c r="E870" s="3" t="s">
        <v>15</v>
      </c>
      <c r="F870" s="3" t="s">
        <v>1794</v>
      </c>
      <c r="G870" s="5" t="s">
        <v>16</v>
      </c>
      <c r="H870" s="6"/>
      <c r="I870" s="5"/>
      <c r="J870" s="5"/>
      <c r="K870" s="6"/>
      <c r="L870" s="7"/>
      <c r="M870" s="8" t="s">
        <v>17</v>
      </c>
    </row>
    <row r="871" customFormat="false" ht="15" hidden="false" customHeight="false" outlineLevel="0" collapsed="false">
      <c r="A871" s="2" t="n">
        <v>870</v>
      </c>
      <c r="B871" s="3" t="s">
        <v>1795</v>
      </c>
      <c r="C871" s="3"/>
      <c r="D871" s="4"/>
      <c r="E871" s="3" t="s">
        <v>15</v>
      </c>
      <c r="F871" s="3"/>
      <c r="G871" s="5" t="s">
        <v>16</v>
      </c>
      <c r="H871" s="6"/>
      <c r="I871" s="5"/>
      <c r="J871" s="5"/>
      <c r="K871" s="6"/>
      <c r="L871" s="7"/>
      <c r="M871" s="8" t="s">
        <v>17</v>
      </c>
    </row>
    <row r="872" customFormat="false" ht="15" hidden="false" customHeight="false" outlineLevel="0" collapsed="false">
      <c r="A872" s="2" t="n">
        <v>871</v>
      </c>
      <c r="B872" s="3" t="s">
        <v>1796</v>
      </c>
      <c r="C872" s="3"/>
      <c r="D872" s="4"/>
      <c r="E872" s="3" t="s">
        <v>15</v>
      </c>
      <c r="F872" s="3"/>
      <c r="G872" s="5" t="s">
        <v>16</v>
      </c>
      <c r="H872" s="6"/>
      <c r="I872" s="5"/>
      <c r="J872" s="5"/>
      <c r="K872" s="6"/>
      <c r="L872" s="7"/>
      <c r="M872" s="8" t="s">
        <v>17</v>
      </c>
    </row>
    <row r="873" customFormat="false" ht="15" hidden="false" customHeight="false" outlineLevel="0" collapsed="false">
      <c r="A873" s="2" t="n">
        <v>872</v>
      </c>
      <c r="B873" s="3" t="s">
        <v>1797</v>
      </c>
      <c r="C873" s="3" t="s">
        <v>280</v>
      </c>
      <c r="D873" s="4"/>
      <c r="E873" s="3" t="s">
        <v>15</v>
      </c>
      <c r="F873" s="3"/>
      <c r="G873" s="5" t="s">
        <v>16</v>
      </c>
      <c r="H873" s="6"/>
      <c r="I873" s="5"/>
      <c r="J873" s="5"/>
      <c r="K873" s="6"/>
      <c r="L873" s="7"/>
      <c r="M873" s="8" t="s">
        <v>17</v>
      </c>
    </row>
    <row r="874" customFormat="false" ht="15" hidden="false" customHeight="false" outlineLevel="0" collapsed="false">
      <c r="A874" s="2" t="n">
        <v>873</v>
      </c>
      <c r="B874" s="3" t="s">
        <v>1798</v>
      </c>
      <c r="C874" s="3"/>
      <c r="D874" s="4"/>
      <c r="E874" s="3" t="s">
        <v>15</v>
      </c>
      <c r="F874" s="3" t="s">
        <v>1799</v>
      </c>
      <c r="G874" s="5" t="s">
        <v>16</v>
      </c>
      <c r="H874" s="6"/>
      <c r="I874" s="5"/>
      <c r="J874" s="5"/>
      <c r="K874" s="6"/>
      <c r="L874" s="7"/>
      <c r="M874" s="8" t="s">
        <v>17</v>
      </c>
    </row>
    <row r="875" customFormat="false" ht="15" hidden="false" customHeight="false" outlineLevel="0" collapsed="false">
      <c r="A875" s="2" t="n">
        <v>874</v>
      </c>
      <c r="B875" s="3" t="s">
        <v>1800</v>
      </c>
      <c r="C875" s="3"/>
      <c r="D875" s="4" t="s">
        <v>1801</v>
      </c>
      <c r="E875" s="3" t="s">
        <v>15</v>
      </c>
      <c r="F875" s="3"/>
      <c r="G875" s="5" t="s">
        <v>16</v>
      </c>
      <c r="H875" s="6"/>
      <c r="I875" s="5"/>
      <c r="J875" s="5"/>
      <c r="K875" s="6"/>
      <c r="L875" s="7"/>
      <c r="M875" s="8" t="s">
        <v>17</v>
      </c>
    </row>
    <row r="876" customFormat="false" ht="15" hidden="false" customHeight="false" outlineLevel="0" collapsed="false">
      <c r="A876" s="2" t="n">
        <v>875</v>
      </c>
      <c r="B876" s="3" t="s">
        <v>1802</v>
      </c>
      <c r="C876" s="3" t="s">
        <v>1803</v>
      </c>
      <c r="D876" s="4"/>
      <c r="E876" s="3" t="s">
        <v>15</v>
      </c>
      <c r="F876" s="3" t="s">
        <v>1804</v>
      </c>
      <c r="G876" s="5" t="s">
        <v>16</v>
      </c>
      <c r="H876" s="6"/>
      <c r="I876" s="5"/>
      <c r="J876" s="5"/>
      <c r="K876" s="6"/>
      <c r="L876" s="7"/>
      <c r="M876" s="8" t="s">
        <v>17</v>
      </c>
    </row>
    <row r="877" customFormat="false" ht="15" hidden="false" customHeight="false" outlineLevel="0" collapsed="false">
      <c r="A877" s="2" t="n">
        <v>876</v>
      </c>
      <c r="B877" s="3" t="s">
        <v>1805</v>
      </c>
      <c r="C877" s="3" t="s">
        <v>701</v>
      </c>
      <c r="D877" s="4" t="s">
        <v>1806</v>
      </c>
      <c r="E877" s="3" t="s">
        <v>15</v>
      </c>
      <c r="F877" s="3" t="s">
        <v>1807</v>
      </c>
      <c r="G877" s="5" t="s">
        <v>16</v>
      </c>
      <c r="H877" s="6"/>
      <c r="I877" s="5"/>
      <c r="J877" s="5"/>
      <c r="K877" s="6"/>
      <c r="L877" s="7"/>
      <c r="M877" s="8" t="s">
        <v>17</v>
      </c>
    </row>
    <row r="878" customFormat="false" ht="15" hidden="false" customHeight="false" outlineLevel="0" collapsed="false">
      <c r="A878" s="2" t="n">
        <v>877</v>
      </c>
      <c r="B878" s="3" t="s">
        <v>1808</v>
      </c>
      <c r="C878" s="3" t="s">
        <v>1809</v>
      </c>
      <c r="D878" s="4" t="s">
        <v>1810</v>
      </c>
      <c r="E878" s="3" t="s">
        <v>15</v>
      </c>
      <c r="F878" s="3" t="s">
        <v>1811</v>
      </c>
      <c r="G878" s="5" t="s">
        <v>16</v>
      </c>
      <c r="H878" s="6"/>
      <c r="I878" s="5"/>
      <c r="J878" s="5"/>
      <c r="K878" s="6"/>
      <c r="L878" s="7"/>
      <c r="M878" s="8" t="s">
        <v>17</v>
      </c>
    </row>
    <row r="879" customFormat="false" ht="15" hidden="false" customHeight="false" outlineLevel="0" collapsed="false">
      <c r="A879" s="2" t="n">
        <v>878</v>
      </c>
      <c r="B879" s="3" t="s">
        <v>1812</v>
      </c>
      <c r="C879" s="3"/>
      <c r="D879" s="4"/>
      <c r="E879" s="3" t="s">
        <v>15</v>
      </c>
      <c r="F879" s="3" t="s">
        <v>1813</v>
      </c>
      <c r="G879" s="5" t="s">
        <v>16</v>
      </c>
      <c r="H879" s="6"/>
      <c r="I879" s="5"/>
      <c r="J879" s="5"/>
      <c r="K879" s="6"/>
      <c r="L879" s="7"/>
      <c r="M879" s="8" t="s">
        <v>17</v>
      </c>
    </row>
    <row r="880" customFormat="false" ht="15" hidden="false" customHeight="false" outlineLevel="0" collapsed="false">
      <c r="A880" s="2" t="n">
        <v>879</v>
      </c>
      <c r="B880" s="3" t="s">
        <v>1814</v>
      </c>
      <c r="C880" s="3" t="s">
        <v>84</v>
      </c>
      <c r="D880" s="4"/>
      <c r="E880" s="3" t="s">
        <v>15</v>
      </c>
      <c r="F880" s="3" t="s">
        <v>1815</v>
      </c>
      <c r="G880" s="5" t="s">
        <v>16</v>
      </c>
      <c r="H880" s="6"/>
      <c r="I880" s="5"/>
      <c r="J880" s="5"/>
      <c r="K880" s="6"/>
      <c r="L880" s="7"/>
      <c r="M880" s="8" t="s">
        <v>17</v>
      </c>
    </row>
    <row r="881" customFormat="false" ht="15" hidden="false" customHeight="false" outlineLevel="0" collapsed="false">
      <c r="A881" s="2" t="n">
        <v>880</v>
      </c>
      <c r="B881" s="3" t="s">
        <v>1816</v>
      </c>
      <c r="C881" s="3"/>
      <c r="D881" s="4"/>
      <c r="E881" s="3" t="s">
        <v>15</v>
      </c>
      <c r="F881" s="3" t="s">
        <v>1817</v>
      </c>
      <c r="G881" s="5" t="s">
        <v>16</v>
      </c>
      <c r="H881" s="6"/>
      <c r="I881" s="5"/>
      <c r="J881" s="5"/>
      <c r="K881" s="6"/>
      <c r="L881" s="7"/>
      <c r="M881" s="8" t="s">
        <v>17</v>
      </c>
    </row>
    <row r="882" customFormat="false" ht="15" hidden="false" customHeight="false" outlineLevel="0" collapsed="false">
      <c r="A882" s="2" t="n">
        <v>881</v>
      </c>
      <c r="B882" s="3" t="s">
        <v>1818</v>
      </c>
      <c r="C882" s="3"/>
      <c r="D882" s="4"/>
      <c r="E882" s="3" t="s">
        <v>15</v>
      </c>
      <c r="F882" s="3"/>
      <c r="G882" s="5" t="s">
        <v>16</v>
      </c>
      <c r="H882" s="6"/>
      <c r="I882" s="5"/>
      <c r="J882" s="5"/>
      <c r="K882" s="6"/>
      <c r="L882" s="7"/>
      <c r="M882" s="8" t="s">
        <v>17</v>
      </c>
    </row>
    <row r="883" customFormat="false" ht="15" hidden="false" customHeight="false" outlineLevel="0" collapsed="false">
      <c r="A883" s="2" t="n">
        <v>882</v>
      </c>
      <c r="B883" s="3" t="s">
        <v>1819</v>
      </c>
      <c r="C883" s="3"/>
      <c r="D883" s="4"/>
      <c r="E883" s="3" t="s">
        <v>15</v>
      </c>
      <c r="F883" s="3"/>
      <c r="G883" s="5" t="s">
        <v>16</v>
      </c>
      <c r="H883" s="6"/>
      <c r="I883" s="5"/>
      <c r="J883" s="5"/>
      <c r="K883" s="6"/>
      <c r="L883" s="7"/>
      <c r="M883" s="8" t="s">
        <v>17</v>
      </c>
    </row>
    <row r="884" customFormat="false" ht="15" hidden="false" customHeight="false" outlineLevel="0" collapsed="false">
      <c r="A884" s="2" t="n">
        <v>883</v>
      </c>
      <c r="B884" s="3" t="s">
        <v>1820</v>
      </c>
      <c r="C884" s="3" t="s">
        <v>1821</v>
      </c>
      <c r="D884" s="4"/>
      <c r="E884" s="3" t="s">
        <v>15</v>
      </c>
      <c r="F884" s="3" t="s">
        <v>1822</v>
      </c>
      <c r="G884" s="5" t="s">
        <v>16</v>
      </c>
      <c r="H884" s="6"/>
      <c r="I884" s="5"/>
      <c r="J884" s="5"/>
      <c r="K884" s="6"/>
      <c r="L884" s="7"/>
      <c r="M884" s="8" t="s">
        <v>17</v>
      </c>
    </row>
    <row r="885" customFormat="false" ht="15" hidden="false" customHeight="false" outlineLevel="0" collapsed="false">
      <c r="A885" s="2" t="n">
        <v>884</v>
      </c>
      <c r="B885" s="3" t="s">
        <v>1823</v>
      </c>
      <c r="C885" s="3" t="s">
        <v>81</v>
      </c>
      <c r="D885" s="4"/>
      <c r="E885" s="3" t="s">
        <v>15</v>
      </c>
      <c r="F885" s="3" t="s">
        <v>1824</v>
      </c>
      <c r="G885" s="5" t="s">
        <v>16</v>
      </c>
      <c r="H885" s="6"/>
      <c r="I885" s="5"/>
      <c r="J885" s="5"/>
      <c r="K885" s="6"/>
      <c r="L885" s="7"/>
      <c r="M885" s="8" t="s">
        <v>17</v>
      </c>
    </row>
  </sheetData>
  <autoFilter ref="A1:M885"/>
  <conditionalFormatting sqref="G2:G885">
    <cfRule type="cellIs" priority="2" operator="equal" aboveAverage="0" equalAverage="0" bottom="0" percent="0" rank="0" text="" dxfId="5">
      <formula>"Client"</formula>
    </cfRule>
    <cfRule type="cellIs" priority="3" operator="equal" aboveAverage="0" equalAverage="0" bottom="0" percent="0" rank="0" text="" dxfId="6">
      <formula>"Pas intéressé"</formula>
    </cfRule>
    <cfRule type="cellIs" priority="4" operator="equal" aboveAverage="0" equalAverage="0" bottom="0" percent="0" rank="0" text="" dxfId="7">
      <formula>"RDV pris"</formula>
    </cfRule>
    <cfRule type="cellIs" priority="5" operator="equal" aboveAverage="0" equalAverage="0" bottom="0" percent="0" rank="0" text="" dxfId="7">
      <formula>"Devis envoyé"</formula>
    </cfRule>
    <cfRule type="cellIs" priority="6" operator="equal" aboveAverage="0" equalAverage="0" bottom="0" percent="0" rank="0" text="" dxfId="8">
      <formula>"À relancer"</formula>
    </cfRule>
    <cfRule type="cellIs" priority="7" operator="equal" aboveAverage="0" equalAverage="0" bottom="0" percent="0" rank="0" text="" dxfId="9">
      <formula>"Contacté"</formula>
    </cfRule>
  </conditionalFormatting>
  <dataValidations count="2">
    <dataValidation allowBlank="true" error="Choisissez un statut dans la liste déroulante." errorStyle="stop" errorTitle="Statut invalide" operator="between" prompt="Sélectionnez l'avancement de la prospection." promptTitle="Statut" showDropDown="false" showErrorMessage="false" showInputMessage="false" sqref="G2:G885" type="list">
      <formula1>"À contacter,Contacté,RDV pris,Devis envoyé,Client,Pas intéressé,À relancer"</formula1>
      <formula2>0</formula2>
    </dataValidation>
    <dataValidation allowBlank="true" error="Saisissez une date au format JJ/MM/AAAA." errorStyle="stop" errorTitle="Date invalide" operator="greaterThan" showDropDown="false" showErrorMessage="false" showInputMessage="false" sqref="H2:H885 K2:K885" type="date">
      <formula1>DATE(2020,1,1)</formula1>
      <formula2>0</formula2>
    </dataValidation>
  </dataValidations>
  <hyperlinks>
    <hyperlink ref="M2" r:id="rId1" display="Voir la carte"/>
    <hyperlink ref="M3" r:id="rId2" display="Voir la carte"/>
    <hyperlink ref="M4" r:id="rId3" display="Voir la carte"/>
    <hyperlink ref="M5" r:id="rId4" display="Voir la carte"/>
    <hyperlink ref="M6" r:id="rId5" display="Voir la carte"/>
    <hyperlink ref="M7" r:id="rId6" display="Voir la carte"/>
    <hyperlink ref="M8" r:id="rId7" display="Voir la carte"/>
    <hyperlink ref="M9" r:id="rId8" display="Voir la carte"/>
    <hyperlink ref="M10" r:id="rId9" display="Voir la carte"/>
    <hyperlink ref="M11" r:id="rId10" display="Voir la carte"/>
    <hyperlink ref="M12" r:id="rId11" display="Voir la carte"/>
    <hyperlink ref="M13" r:id="rId12" display="Voir la carte"/>
    <hyperlink ref="M14" r:id="rId13" display="Voir la carte"/>
    <hyperlink ref="M15" r:id="rId14" display="Voir la carte"/>
    <hyperlink ref="M16" r:id="rId15" display="Voir la carte"/>
    <hyperlink ref="M17" r:id="rId16" display="Voir la carte"/>
    <hyperlink ref="M18" r:id="rId17" display="Voir la carte"/>
    <hyperlink ref="M19" r:id="rId18" display="Voir la carte"/>
    <hyperlink ref="M20" r:id="rId19" display="Voir la carte"/>
    <hyperlink ref="M21" r:id="rId20" display="Voir la carte"/>
    <hyperlink ref="M22" r:id="rId21" display="Voir la carte"/>
    <hyperlink ref="M23" r:id="rId22" display="Voir la carte"/>
    <hyperlink ref="M24" r:id="rId23" display="Voir la carte"/>
    <hyperlink ref="M25" r:id="rId24" display="Voir la carte"/>
    <hyperlink ref="M26" r:id="rId25" display="Voir la carte"/>
    <hyperlink ref="M27" r:id="rId26" display="Voir la carte"/>
    <hyperlink ref="M28" r:id="rId27" display="Voir la carte"/>
    <hyperlink ref="M29" r:id="rId28" display="Voir la carte"/>
    <hyperlink ref="M30" r:id="rId29" display="Voir la carte"/>
    <hyperlink ref="M31" r:id="rId30" display="Voir la carte"/>
    <hyperlink ref="M32" r:id="rId31" display="Voir la carte"/>
    <hyperlink ref="M33" r:id="rId32" display="Voir la carte"/>
    <hyperlink ref="M34" r:id="rId33" display="Voir la carte"/>
    <hyperlink ref="M35" r:id="rId34" display="Voir la carte"/>
    <hyperlink ref="M36" r:id="rId35" display="Voir la carte"/>
    <hyperlink ref="M37" r:id="rId36" display="Voir la carte"/>
    <hyperlink ref="M38" r:id="rId37" display="Voir la carte"/>
    <hyperlink ref="M39" r:id="rId38" display="Voir la carte"/>
    <hyperlink ref="M40" r:id="rId39" display="Voir la carte"/>
    <hyperlink ref="M41" r:id="rId40" display="Voir la carte"/>
    <hyperlink ref="M42" r:id="rId41" display="Voir la carte"/>
    <hyperlink ref="M43" r:id="rId42" display="Voir la carte"/>
    <hyperlink ref="M44" r:id="rId43" display="Voir la carte"/>
    <hyperlink ref="M45" r:id="rId44" display="Voir la carte"/>
    <hyperlink ref="M46" r:id="rId45" display="Voir la carte"/>
    <hyperlink ref="M47" r:id="rId46" display="Voir la carte"/>
    <hyperlink ref="M48" r:id="rId47" display="Voir la carte"/>
    <hyperlink ref="M49" r:id="rId48" display="Voir la carte"/>
    <hyperlink ref="M50" r:id="rId49" display="Voir la carte"/>
    <hyperlink ref="M51" r:id="rId50" display="Voir la carte"/>
    <hyperlink ref="M52" r:id="rId51" display="Voir la carte"/>
    <hyperlink ref="M53" r:id="rId52" display="Voir la carte"/>
    <hyperlink ref="M54" r:id="rId53" display="Voir la carte"/>
    <hyperlink ref="M55" r:id="rId54" display="Voir la carte"/>
    <hyperlink ref="M56" r:id="rId55" display="Voir la carte"/>
    <hyperlink ref="M57" r:id="rId56" display="Voir la carte"/>
    <hyperlink ref="M58" r:id="rId57" display="Voir la carte"/>
    <hyperlink ref="M59" r:id="rId58" display="Voir la carte"/>
    <hyperlink ref="M60" r:id="rId59" display="Voir la carte"/>
    <hyperlink ref="M61" r:id="rId60" display="Voir la carte"/>
    <hyperlink ref="M62" r:id="rId61" display="Voir la carte"/>
    <hyperlink ref="M63" r:id="rId62" display="Voir la carte"/>
    <hyperlink ref="M64" r:id="rId63" display="Voir la carte"/>
    <hyperlink ref="M65" r:id="rId64" display="Voir la carte"/>
    <hyperlink ref="M66" r:id="rId65" display="Voir la carte"/>
    <hyperlink ref="M67" r:id="rId66" display="Voir la carte"/>
    <hyperlink ref="M68" r:id="rId67" display="Voir la carte"/>
    <hyperlink ref="M69" r:id="rId68" display="Voir la carte"/>
    <hyperlink ref="M70" r:id="rId69" display="Voir la carte"/>
    <hyperlink ref="M71" r:id="rId70" display="Voir la carte"/>
    <hyperlink ref="M72" r:id="rId71" display="Voir la carte"/>
    <hyperlink ref="M73" r:id="rId72" display="Voir la carte"/>
    <hyperlink ref="M74" r:id="rId73" display="Voir la carte"/>
    <hyperlink ref="M75" r:id="rId74" display="Voir la carte"/>
    <hyperlink ref="M76" r:id="rId75" display="Voir la carte"/>
    <hyperlink ref="M77" r:id="rId76" display="Voir la carte"/>
    <hyperlink ref="M78" r:id="rId77" display="Voir la carte"/>
    <hyperlink ref="M79" r:id="rId78" display="Voir la carte"/>
    <hyperlink ref="M80" r:id="rId79" display="Voir la carte"/>
    <hyperlink ref="M81" r:id="rId80" display="Voir la carte"/>
    <hyperlink ref="M82" r:id="rId81" display="Voir la carte"/>
    <hyperlink ref="M83" r:id="rId82" display="Voir la carte"/>
    <hyperlink ref="M84" r:id="rId83" display="Voir la carte"/>
    <hyperlink ref="M85" r:id="rId84" display="Voir la carte"/>
    <hyperlink ref="M86" r:id="rId85" display="Voir la carte"/>
    <hyperlink ref="M87" r:id="rId86" display="Voir la carte"/>
    <hyperlink ref="M88" r:id="rId87" display="Voir la carte"/>
    <hyperlink ref="M89" r:id="rId88" display="Voir la carte"/>
    <hyperlink ref="M90" r:id="rId89" display="Voir la carte"/>
    <hyperlink ref="M91" r:id="rId90" display="Voir la carte"/>
    <hyperlink ref="M92" r:id="rId91" display="Voir la carte"/>
    <hyperlink ref="M93" r:id="rId92" display="Voir la carte"/>
    <hyperlink ref="M94" r:id="rId93" display="Voir la carte"/>
    <hyperlink ref="M95" r:id="rId94" display="Voir la carte"/>
    <hyperlink ref="M96" r:id="rId95" display="Voir la carte"/>
    <hyperlink ref="M97" r:id="rId96" display="Voir la carte"/>
    <hyperlink ref="M98" r:id="rId97" display="Voir la carte"/>
    <hyperlink ref="M99" r:id="rId98" display="Voir la carte"/>
    <hyperlink ref="M100" r:id="rId99" display="Voir la carte"/>
    <hyperlink ref="M101" r:id="rId100" display="Voir la carte"/>
    <hyperlink ref="M102" r:id="rId101" display="Voir la carte"/>
    <hyperlink ref="M103" r:id="rId102" display="Voir la carte"/>
    <hyperlink ref="M104" r:id="rId103" display="Voir la carte"/>
    <hyperlink ref="M105" r:id="rId104" display="Voir la carte"/>
    <hyperlink ref="M106" r:id="rId105" display="Voir la carte"/>
    <hyperlink ref="M107" r:id="rId106" display="Voir la carte"/>
    <hyperlink ref="M108" r:id="rId107" display="Voir la carte"/>
    <hyperlink ref="M109" r:id="rId108" display="Voir la carte"/>
    <hyperlink ref="M110" r:id="rId109" display="Voir la carte"/>
    <hyperlink ref="M111" r:id="rId110" display="Voir la carte"/>
    <hyperlink ref="M112" r:id="rId111" display="Voir la carte"/>
    <hyperlink ref="M113" r:id="rId112" display="Voir la carte"/>
    <hyperlink ref="M114" r:id="rId113" display="Voir la carte"/>
    <hyperlink ref="M115" r:id="rId114" display="Voir la carte"/>
    <hyperlink ref="M116" r:id="rId115" display="Voir la carte"/>
    <hyperlink ref="M117" r:id="rId116" display="Voir la carte"/>
    <hyperlink ref="M118" r:id="rId117" display="Voir la carte"/>
    <hyperlink ref="M119" r:id="rId118" display="Voir la carte"/>
    <hyperlink ref="M120" r:id="rId119" display="Voir la carte"/>
    <hyperlink ref="M121" r:id="rId120" display="Voir la carte"/>
    <hyperlink ref="M122" r:id="rId121" display="Voir la carte"/>
    <hyperlink ref="M123" r:id="rId122" display="Voir la carte"/>
    <hyperlink ref="M124" r:id="rId123" display="Voir la carte"/>
    <hyperlink ref="M125" r:id="rId124" display="Voir la carte"/>
    <hyperlink ref="M126" r:id="rId125" display="Voir la carte"/>
    <hyperlink ref="M127" r:id="rId126" display="Voir la carte"/>
    <hyperlink ref="M128" r:id="rId127" display="Voir la carte"/>
    <hyperlink ref="M129" r:id="rId128" display="Voir la carte"/>
    <hyperlink ref="M130" r:id="rId129" display="Voir la carte"/>
    <hyperlink ref="M131" r:id="rId130" display="Voir la carte"/>
    <hyperlink ref="M132" r:id="rId131" display="Voir la carte"/>
    <hyperlink ref="M133" r:id="rId132" display="Voir la carte"/>
    <hyperlink ref="M134" r:id="rId133" display="Voir la carte"/>
    <hyperlink ref="M135" r:id="rId134" display="Voir la carte"/>
    <hyperlink ref="M136" r:id="rId135" display="Voir la carte"/>
    <hyperlink ref="M137" r:id="rId136" display="Voir la carte"/>
    <hyperlink ref="M138" r:id="rId137" display="Voir la carte"/>
    <hyperlink ref="M139" r:id="rId138" display="Voir la carte"/>
    <hyperlink ref="M140" r:id="rId139" display="Voir la carte"/>
    <hyperlink ref="M141" r:id="rId140" display="Voir la carte"/>
    <hyperlink ref="M142" r:id="rId141" display="Voir la carte"/>
    <hyperlink ref="M143" r:id="rId142" display="Voir la carte"/>
    <hyperlink ref="M144" r:id="rId143" display="Voir la carte"/>
    <hyperlink ref="M145" r:id="rId144" display="Voir la carte"/>
    <hyperlink ref="M146" r:id="rId145" display="Voir la carte"/>
    <hyperlink ref="M147" r:id="rId146" display="Voir la carte"/>
    <hyperlink ref="M148" r:id="rId147" display="Voir la carte"/>
    <hyperlink ref="M149" r:id="rId148" display="Voir la carte"/>
    <hyperlink ref="M150" r:id="rId149" display="Voir la carte"/>
    <hyperlink ref="M151" r:id="rId150" display="Voir la carte"/>
    <hyperlink ref="M152" r:id="rId151" display="Voir la carte"/>
    <hyperlink ref="M153" r:id="rId152" display="Voir la carte"/>
    <hyperlink ref="M154" r:id="rId153" display="Voir la carte"/>
    <hyperlink ref="M155" r:id="rId154" display="Voir la carte"/>
    <hyperlink ref="M156" r:id="rId155" display="Voir la carte"/>
    <hyperlink ref="M157" r:id="rId156" display="Voir la carte"/>
    <hyperlink ref="M158" r:id="rId157" display="Voir la carte"/>
    <hyperlink ref="M159" r:id="rId158" display="Voir la carte"/>
    <hyperlink ref="M160" r:id="rId159" display="Voir la carte"/>
    <hyperlink ref="M161" r:id="rId160" display="Voir la carte"/>
    <hyperlink ref="M162" r:id="rId161" display="Voir la carte"/>
    <hyperlink ref="M163" r:id="rId162" display="Voir la carte"/>
    <hyperlink ref="M164" r:id="rId163" display="Voir la carte"/>
    <hyperlink ref="M165" r:id="rId164" display="Voir la carte"/>
    <hyperlink ref="M166" r:id="rId165" display="Voir la carte"/>
    <hyperlink ref="M167" r:id="rId166" display="Voir la carte"/>
    <hyperlink ref="M168" r:id="rId167" display="Voir la carte"/>
    <hyperlink ref="M169" r:id="rId168" display="Voir la carte"/>
    <hyperlink ref="M170" r:id="rId169" display="Voir la carte"/>
    <hyperlink ref="M171" r:id="rId170" display="Voir la carte"/>
    <hyperlink ref="M172" r:id="rId171" display="Voir la carte"/>
    <hyperlink ref="M173" r:id="rId172" display="Voir la carte"/>
    <hyperlink ref="M174" r:id="rId173" display="Voir la carte"/>
    <hyperlink ref="M175" r:id="rId174" display="Voir la carte"/>
    <hyperlink ref="M176" r:id="rId175" display="Voir la carte"/>
    <hyperlink ref="M177" r:id="rId176" display="Voir la carte"/>
    <hyperlink ref="M178" r:id="rId177" display="Voir la carte"/>
    <hyperlink ref="M179" r:id="rId178" display="Voir la carte"/>
    <hyperlink ref="M180" r:id="rId179" display="Voir la carte"/>
    <hyperlink ref="M181" r:id="rId180" display="Voir la carte"/>
    <hyperlink ref="M182" r:id="rId181" display="Voir la carte"/>
    <hyperlink ref="M183" r:id="rId182" display="Voir la carte"/>
    <hyperlink ref="M184" r:id="rId183" display="Voir la carte"/>
    <hyperlink ref="M185" r:id="rId184" display="Voir la carte"/>
    <hyperlink ref="M186" r:id="rId185" display="Voir la carte"/>
    <hyperlink ref="M187" r:id="rId186" display="Voir la carte"/>
    <hyperlink ref="M188" r:id="rId187" display="Voir la carte"/>
    <hyperlink ref="M189" r:id="rId188" display="Voir la carte"/>
    <hyperlink ref="M190" r:id="rId189" display="Voir la carte"/>
    <hyperlink ref="M191" r:id="rId190" display="Voir la carte"/>
    <hyperlink ref="M192" r:id="rId191" display="Voir la carte"/>
    <hyperlink ref="M193" r:id="rId192" display="Voir la carte"/>
    <hyperlink ref="M194" r:id="rId193" display="Voir la carte"/>
    <hyperlink ref="M195" r:id="rId194" display="Voir la carte"/>
    <hyperlink ref="M196" r:id="rId195" display="Voir la carte"/>
    <hyperlink ref="M197" r:id="rId196" display="Voir la carte"/>
    <hyperlink ref="M198" r:id="rId197" display="Voir la carte"/>
    <hyperlink ref="M199" r:id="rId198" display="Voir la carte"/>
    <hyperlink ref="M200" r:id="rId199" display="Voir la carte"/>
    <hyperlink ref="M201" r:id="rId200" display="Voir la carte"/>
    <hyperlink ref="M202" r:id="rId201" display="Voir la carte"/>
    <hyperlink ref="M203" r:id="rId202" display="Voir la carte"/>
    <hyperlink ref="M204" r:id="rId203" display="Voir la carte"/>
    <hyperlink ref="M205" r:id="rId204" display="Voir la carte"/>
    <hyperlink ref="M206" r:id="rId205" display="Voir la carte"/>
    <hyperlink ref="M207" r:id="rId206" display="Voir la carte"/>
    <hyperlink ref="M208" r:id="rId207" display="Voir la carte"/>
    <hyperlink ref="M209" r:id="rId208" display="Voir la carte"/>
    <hyperlink ref="M210" r:id="rId209" display="Voir la carte"/>
    <hyperlink ref="M211" r:id="rId210" display="Voir la carte"/>
    <hyperlink ref="M212" r:id="rId211" display="Voir la carte"/>
    <hyperlink ref="M213" r:id="rId212" display="Voir la carte"/>
    <hyperlink ref="M214" r:id="rId213" display="Voir la carte"/>
    <hyperlink ref="M215" r:id="rId214" display="Voir la carte"/>
    <hyperlink ref="M216" r:id="rId215" display="Voir la carte"/>
    <hyperlink ref="M217" r:id="rId216" display="Voir la carte"/>
    <hyperlink ref="M218" r:id="rId217" display="Voir la carte"/>
    <hyperlink ref="M219" r:id="rId218" display="Voir la carte"/>
    <hyperlink ref="M220" r:id="rId219" display="Voir la carte"/>
    <hyperlink ref="M221" r:id="rId220" display="Voir la carte"/>
    <hyperlink ref="M222" r:id="rId221" display="Voir la carte"/>
    <hyperlink ref="M223" r:id="rId222" display="Voir la carte"/>
    <hyperlink ref="M224" r:id="rId223" display="Voir la carte"/>
    <hyperlink ref="M225" r:id="rId224" display="Voir la carte"/>
    <hyperlink ref="M226" r:id="rId225" display="Voir la carte"/>
    <hyperlink ref="M227" r:id="rId226" display="Voir la carte"/>
    <hyperlink ref="M228" r:id="rId227" display="Voir la carte"/>
    <hyperlink ref="M229" r:id="rId228" display="Voir la carte"/>
    <hyperlink ref="M230" r:id="rId229" display="Voir la carte"/>
    <hyperlink ref="M231" r:id="rId230" display="Voir la carte"/>
    <hyperlink ref="M232" r:id="rId231" display="Voir la carte"/>
    <hyperlink ref="M233" r:id="rId232" display="Voir la carte"/>
    <hyperlink ref="M234" r:id="rId233" display="Voir la carte"/>
    <hyperlink ref="M235" r:id="rId234" display="Voir la carte"/>
    <hyperlink ref="M236" r:id="rId235" display="Voir la carte"/>
    <hyperlink ref="M237" r:id="rId236" display="Voir la carte"/>
    <hyperlink ref="M238" r:id="rId237" display="Voir la carte"/>
    <hyperlink ref="M239" r:id="rId238" display="Voir la carte"/>
    <hyperlink ref="M240" r:id="rId239" display="Voir la carte"/>
    <hyperlink ref="M241" r:id="rId240" display="Voir la carte"/>
    <hyperlink ref="M242" r:id="rId241" display="Voir la carte"/>
    <hyperlink ref="M243" r:id="rId242" display="Voir la carte"/>
    <hyperlink ref="M244" r:id="rId243" display="Voir la carte"/>
    <hyperlink ref="M245" r:id="rId244" display="Voir la carte"/>
    <hyperlink ref="M246" r:id="rId245" display="Voir la carte"/>
    <hyperlink ref="M247" r:id="rId246" display="Voir la carte"/>
    <hyperlink ref="M248" r:id="rId247" display="Voir la carte"/>
    <hyperlink ref="M249" r:id="rId248" display="Voir la carte"/>
    <hyperlink ref="M250" r:id="rId249" display="Voir la carte"/>
    <hyperlink ref="M251" r:id="rId250" display="Voir la carte"/>
    <hyperlink ref="M252" r:id="rId251" display="Voir la carte"/>
    <hyperlink ref="M253" r:id="rId252" display="Voir la carte"/>
    <hyperlink ref="M254" r:id="rId253" display="Voir la carte"/>
    <hyperlink ref="M255" r:id="rId254" display="Voir la carte"/>
    <hyperlink ref="M256" r:id="rId255" display="Voir la carte"/>
    <hyperlink ref="M257" r:id="rId256" display="Voir la carte"/>
    <hyperlink ref="M258" r:id="rId257" display="Voir la carte"/>
    <hyperlink ref="M259" r:id="rId258" display="Voir la carte"/>
    <hyperlink ref="M260" r:id="rId259" display="Voir la carte"/>
    <hyperlink ref="M261" r:id="rId260" display="Voir la carte"/>
    <hyperlink ref="M262" r:id="rId261" display="Voir la carte"/>
    <hyperlink ref="M263" r:id="rId262" display="Voir la carte"/>
    <hyperlink ref="M264" r:id="rId263" display="Voir la carte"/>
    <hyperlink ref="M265" r:id="rId264" display="Voir la carte"/>
    <hyperlink ref="M266" r:id="rId265" display="Voir la carte"/>
    <hyperlink ref="M267" r:id="rId266" display="Voir la carte"/>
    <hyperlink ref="M268" r:id="rId267" display="Voir la carte"/>
    <hyperlink ref="M269" r:id="rId268" display="Voir la carte"/>
    <hyperlink ref="M270" r:id="rId269" display="Voir la carte"/>
    <hyperlink ref="M271" r:id="rId270" display="Voir la carte"/>
    <hyperlink ref="M272" r:id="rId271" display="Voir la carte"/>
    <hyperlink ref="M273" r:id="rId272" display="Voir la carte"/>
    <hyperlink ref="M274" r:id="rId273" display="Voir la carte"/>
    <hyperlink ref="M275" r:id="rId274" display="Voir la carte"/>
    <hyperlink ref="M276" r:id="rId275" display="Voir la carte"/>
    <hyperlink ref="M277" r:id="rId276" display="Voir la carte"/>
    <hyperlink ref="M278" r:id="rId277" display="Voir la carte"/>
    <hyperlink ref="M279" r:id="rId278" display="Voir la carte"/>
    <hyperlink ref="M280" r:id="rId279" display="Voir la carte"/>
    <hyperlink ref="M281" r:id="rId280" display="Voir la carte"/>
    <hyperlink ref="M282" r:id="rId281" display="Voir la carte"/>
    <hyperlink ref="M283" r:id="rId282" display="Voir la carte"/>
    <hyperlink ref="M284" r:id="rId283" display="Voir la carte"/>
    <hyperlink ref="M285" r:id="rId284" display="Voir la carte"/>
    <hyperlink ref="M286" r:id="rId285" display="Voir la carte"/>
    <hyperlink ref="M287" r:id="rId286" display="Voir la carte"/>
    <hyperlink ref="M288" r:id="rId287" display="Voir la carte"/>
    <hyperlink ref="M289" r:id="rId288" display="Voir la carte"/>
    <hyperlink ref="M290" r:id="rId289" display="Voir la carte"/>
    <hyperlink ref="M291" r:id="rId290" display="Voir la carte"/>
    <hyperlink ref="M292" r:id="rId291" display="Voir la carte"/>
    <hyperlink ref="M293" r:id="rId292" display="Voir la carte"/>
    <hyperlink ref="M294" r:id="rId293" display="Voir la carte"/>
    <hyperlink ref="M295" r:id="rId294" display="Voir la carte"/>
    <hyperlink ref="M296" r:id="rId295" display="Voir la carte"/>
    <hyperlink ref="M297" r:id="rId296" display="Voir la carte"/>
    <hyperlink ref="M298" r:id="rId297" display="Voir la carte"/>
    <hyperlink ref="M299" r:id="rId298" display="Voir la carte"/>
    <hyperlink ref="M300" r:id="rId299" display="Voir la carte"/>
    <hyperlink ref="M301" r:id="rId300" display="Voir la carte"/>
    <hyperlink ref="M302" r:id="rId301" display="Voir la carte"/>
    <hyperlink ref="M303" r:id="rId302" display="Voir la carte"/>
    <hyperlink ref="M304" r:id="rId303" display="Voir la carte"/>
    <hyperlink ref="M305" r:id="rId304" display="Voir la carte"/>
    <hyperlink ref="M306" r:id="rId305" display="Voir la carte"/>
    <hyperlink ref="M307" r:id="rId306" display="Voir la carte"/>
    <hyperlink ref="M308" r:id="rId307" display="Voir la carte"/>
    <hyperlink ref="M309" r:id="rId308" display="Voir la carte"/>
    <hyperlink ref="M310" r:id="rId309" display="Voir la carte"/>
    <hyperlink ref="M311" r:id="rId310" display="Voir la carte"/>
    <hyperlink ref="M312" r:id="rId311" display="Voir la carte"/>
    <hyperlink ref="M313" r:id="rId312" display="Voir la carte"/>
    <hyperlink ref="M314" r:id="rId313" display="Voir la carte"/>
    <hyperlink ref="M315" r:id="rId314" display="Voir la carte"/>
    <hyperlink ref="M316" r:id="rId315" display="Voir la carte"/>
    <hyperlink ref="M317" r:id="rId316" display="Voir la carte"/>
    <hyperlink ref="M318" r:id="rId317" display="Voir la carte"/>
    <hyperlink ref="M319" r:id="rId318" display="Voir la carte"/>
    <hyperlink ref="M320" r:id="rId319" display="Voir la carte"/>
    <hyperlink ref="M321" r:id="rId320" display="Voir la carte"/>
    <hyperlink ref="M322" r:id="rId321" display="Voir la carte"/>
    <hyperlink ref="M323" r:id="rId322" display="Voir la carte"/>
    <hyperlink ref="M324" r:id="rId323" display="Voir la carte"/>
    <hyperlink ref="M325" r:id="rId324" display="Voir la carte"/>
    <hyperlink ref="M326" r:id="rId325" display="Voir la carte"/>
    <hyperlink ref="M327" r:id="rId326" display="Voir la carte"/>
    <hyperlink ref="M328" r:id="rId327" display="Voir la carte"/>
    <hyperlink ref="M329" r:id="rId328" display="Voir la carte"/>
    <hyperlink ref="M330" r:id="rId329" display="Voir la carte"/>
    <hyperlink ref="M331" r:id="rId330" display="Voir la carte"/>
    <hyperlink ref="M332" r:id="rId331" display="Voir la carte"/>
    <hyperlink ref="M333" r:id="rId332" display="Voir la carte"/>
    <hyperlink ref="M334" r:id="rId333" display="Voir la carte"/>
    <hyperlink ref="M335" r:id="rId334" display="Voir la carte"/>
    <hyperlink ref="M336" r:id="rId335" display="Voir la carte"/>
    <hyperlink ref="M337" r:id="rId336" display="Voir la carte"/>
    <hyperlink ref="M338" r:id="rId337" display="Voir la carte"/>
    <hyperlink ref="M339" r:id="rId338" display="Voir la carte"/>
    <hyperlink ref="M340" r:id="rId339" display="Voir la carte"/>
    <hyperlink ref="M341" r:id="rId340" display="Voir la carte"/>
    <hyperlink ref="M342" r:id="rId341" display="Voir la carte"/>
    <hyperlink ref="M343" r:id="rId342" display="Voir la carte"/>
    <hyperlink ref="M344" r:id="rId343" display="Voir la carte"/>
    <hyperlink ref="M345" r:id="rId344" display="Voir la carte"/>
    <hyperlink ref="M346" r:id="rId345" display="Voir la carte"/>
    <hyperlink ref="M347" r:id="rId346" display="Voir la carte"/>
    <hyperlink ref="M348" r:id="rId347" display="Voir la carte"/>
    <hyperlink ref="M349" r:id="rId348" display="Voir la carte"/>
    <hyperlink ref="M350" r:id="rId349" display="Voir la carte"/>
    <hyperlink ref="M351" r:id="rId350" display="Voir la carte"/>
    <hyperlink ref="M352" r:id="rId351" display="Voir la carte"/>
    <hyperlink ref="M353" r:id="rId352" display="Voir la carte"/>
    <hyperlink ref="M354" r:id="rId353" display="Voir la carte"/>
    <hyperlink ref="M355" r:id="rId354" display="Voir la carte"/>
    <hyperlink ref="M356" r:id="rId355" display="Voir la carte"/>
    <hyperlink ref="M357" r:id="rId356" display="Voir la carte"/>
    <hyperlink ref="M358" r:id="rId357" display="Voir la carte"/>
    <hyperlink ref="M359" r:id="rId358" display="Voir la carte"/>
    <hyperlink ref="M360" r:id="rId359" display="Voir la carte"/>
    <hyperlink ref="M361" r:id="rId360" display="Voir la carte"/>
    <hyperlink ref="M362" r:id="rId361" display="Voir la carte"/>
    <hyperlink ref="M363" r:id="rId362" display="Voir la carte"/>
    <hyperlink ref="M364" r:id="rId363" display="Voir la carte"/>
    <hyperlink ref="M365" r:id="rId364" display="Voir la carte"/>
    <hyperlink ref="M366" r:id="rId365" display="Voir la carte"/>
    <hyperlink ref="M367" r:id="rId366" display="Voir la carte"/>
    <hyperlink ref="M368" r:id="rId367" display="Voir la carte"/>
    <hyperlink ref="M369" r:id="rId368" display="Voir la carte"/>
    <hyperlink ref="M370" r:id="rId369" display="Voir la carte"/>
    <hyperlink ref="M371" r:id="rId370" display="Voir la carte"/>
    <hyperlink ref="M372" r:id="rId371" display="Voir la carte"/>
    <hyperlink ref="M373" r:id="rId372" display="Voir la carte"/>
    <hyperlink ref="M374" r:id="rId373" display="Voir la carte"/>
    <hyperlink ref="M375" r:id="rId374" display="Voir la carte"/>
    <hyperlink ref="M376" r:id="rId375" display="Voir la carte"/>
    <hyperlink ref="M377" r:id="rId376" display="Voir la carte"/>
    <hyperlink ref="M378" r:id="rId377" display="Voir la carte"/>
    <hyperlink ref="M379" r:id="rId378" display="Voir la carte"/>
    <hyperlink ref="M380" r:id="rId379" display="Voir la carte"/>
    <hyperlink ref="M381" r:id="rId380" display="Voir la carte"/>
    <hyperlink ref="M382" r:id="rId381" display="Voir la carte"/>
    <hyperlink ref="M383" r:id="rId382" display="Voir la carte"/>
    <hyperlink ref="M384" r:id="rId383" display="Voir la carte"/>
    <hyperlink ref="M385" r:id="rId384" display="Voir la carte"/>
    <hyperlink ref="M386" r:id="rId385" display="Voir la carte"/>
    <hyperlink ref="M387" r:id="rId386" display="Voir la carte"/>
    <hyperlink ref="M388" r:id="rId387" display="Voir la carte"/>
    <hyperlink ref="M389" r:id="rId388" display="Voir la carte"/>
    <hyperlink ref="M390" r:id="rId389" display="Voir la carte"/>
    <hyperlink ref="M391" r:id="rId390" display="Voir la carte"/>
    <hyperlink ref="M392" r:id="rId391" display="Voir la carte"/>
    <hyperlink ref="M393" r:id="rId392" display="Voir la carte"/>
    <hyperlink ref="M394" r:id="rId393" display="Voir la carte"/>
    <hyperlink ref="M395" r:id="rId394" display="Voir la carte"/>
    <hyperlink ref="M396" r:id="rId395" display="Voir la carte"/>
    <hyperlink ref="M397" r:id="rId396" display="Voir la carte"/>
    <hyperlink ref="M398" r:id="rId397" display="Voir la carte"/>
    <hyperlink ref="M399" r:id="rId398" display="Voir la carte"/>
    <hyperlink ref="M400" r:id="rId399" display="Voir la carte"/>
    <hyperlink ref="M401" r:id="rId400" display="Voir la carte"/>
    <hyperlink ref="M402" r:id="rId401" display="Voir la carte"/>
    <hyperlink ref="M403" r:id="rId402" display="Voir la carte"/>
    <hyperlink ref="M404" r:id="rId403" display="Voir la carte"/>
    <hyperlink ref="M405" r:id="rId404" display="Voir la carte"/>
    <hyperlink ref="M406" r:id="rId405" display="Voir la carte"/>
    <hyperlink ref="M407" r:id="rId406" display="Voir la carte"/>
    <hyperlink ref="M408" r:id="rId407" display="Voir la carte"/>
    <hyperlink ref="M409" r:id="rId408" display="Voir la carte"/>
    <hyperlink ref="M410" r:id="rId409" display="Voir la carte"/>
    <hyperlink ref="M411" r:id="rId410" display="Voir la carte"/>
    <hyperlink ref="M412" r:id="rId411" display="Voir la carte"/>
    <hyperlink ref="M413" r:id="rId412" display="Voir la carte"/>
    <hyperlink ref="M414" r:id="rId413" display="Voir la carte"/>
    <hyperlink ref="M415" r:id="rId414" display="Voir la carte"/>
    <hyperlink ref="M416" r:id="rId415" display="Voir la carte"/>
    <hyperlink ref="M417" r:id="rId416" display="Voir la carte"/>
    <hyperlink ref="M418" r:id="rId417" display="Voir la carte"/>
    <hyperlink ref="M419" r:id="rId418" display="Voir la carte"/>
    <hyperlink ref="M420" r:id="rId419" display="Voir la carte"/>
    <hyperlink ref="M421" r:id="rId420" display="Voir la carte"/>
    <hyperlink ref="M422" r:id="rId421" display="Voir la carte"/>
    <hyperlink ref="M423" r:id="rId422" display="Voir la carte"/>
    <hyperlink ref="M424" r:id="rId423" display="Voir la carte"/>
    <hyperlink ref="M425" r:id="rId424" display="Voir la carte"/>
    <hyperlink ref="M426" r:id="rId425" display="Voir la carte"/>
    <hyperlink ref="M427" r:id="rId426" display="Voir la carte"/>
    <hyperlink ref="M428" r:id="rId427" display="Voir la carte"/>
    <hyperlink ref="M429" r:id="rId428" display="Voir la carte"/>
    <hyperlink ref="M430" r:id="rId429" display="Voir la carte"/>
    <hyperlink ref="M431" r:id="rId430" display="Voir la carte"/>
    <hyperlink ref="M432" r:id="rId431" display="Voir la carte"/>
    <hyperlink ref="M433" r:id="rId432" display="Voir la carte"/>
    <hyperlink ref="M434" r:id="rId433" display="Voir la carte"/>
    <hyperlink ref="M435" r:id="rId434" display="Voir la carte"/>
    <hyperlink ref="M436" r:id="rId435" display="Voir la carte"/>
    <hyperlink ref="M437" r:id="rId436" display="Voir la carte"/>
    <hyperlink ref="M438" r:id="rId437" display="Voir la carte"/>
    <hyperlink ref="M439" r:id="rId438" display="Voir la carte"/>
    <hyperlink ref="M440" r:id="rId439" display="Voir la carte"/>
    <hyperlink ref="M441" r:id="rId440" display="Voir la carte"/>
    <hyperlink ref="M442" r:id="rId441" display="Voir la carte"/>
    <hyperlink ref="M443" r:id="rId442" display="Voir la carte"/>
    <hyperlink ref="M444" r:id="rId443" display="Voir la carte"/>
    <hyperlink ref="M445" r:id="rId444" display="Voir la carte"/>
    <hyperlink ref="M446" r:id="rId445" display="Voir la carte"/>
    <hyperlink ref="M447" r:id="rId446" display="Voir la carte"/>
    <hyperlink ref="M448" r:id="rId447" display="Voir la carte"/>
    <hyperlink ref="M449" r:id="rId448" display="Voir la carte"/>
    <hyperlink ref="M450" r:id="rId449" display="Voir la carte"/>
    <hyperlink ref="M451" r:id="rId450" display="Voir la carte"/>
    <hyperlink ref="M452" r:id="rId451" display="Voir la carte"/>
    <hyperlink ref="M453" r:id="rId452" display="Voir la carte"/>
    <hyperlink ref="M454" r:id="rId453" display="Voir la carte"/>
    <hyperlink ref="M455" r:id="rId454" display="Voir la carte"/>
    <hyperlink ref="M456" r:id="rId455" display="Voir la carte"/>
    <hyperlink ref="M457" r:id="rId456" display="Voir la carte"/>
    <hyperlink ref="M458" r:id="rId457" display="Voir la carte"/>
    <hyperlink ref="M459" r:id="rId458" display="Voir la carte"/>
    <hyperlink ref="M460" r:id="rId459" display="Voir la carte"/>
    <hyperlink ref="M461" r:id="rId460" display="Voir la carte"/>
    <hyperlink ref="M462" r:id="rId461" display="Voir la carte"/>
    <hyperlink ref="M463" r:id="rId462" display="Voir la carte"/>
    <hyperlink ref="M464" r:id="rId463" display="Voir la carte"/>
    <hyperlink ref="M465" r:id="rId464" display="Voir la carte"/>
    <hyperlink ref="M466" r:id="rId465" display="Voir la carte"/>
    <hyperlink ref="M467" r:id="rId466" display="Voir la carte"/>
    <hyperlink ref="M468" r:id="rId467" display="Voir la carte"/>
    <hyperlink ref="M469" r:id="rId468" display="Voir la carte"/>
    <hyperlink ref="M470" r:id="rId469" display="Voir la carte"/>
    <hyperlink ref="M471" r:id="rId470" display="Voir la carte"/>
    <hyperlink ref="M472" r:id="rId471" display="Voir la carte"/>
    <hyperlink ref="M473" r:id="rId472" display="Voir la carte"/>
    <hyperlink ref="M474" r:id="rId473" display="Voir la carte"/>
    <hyperlink ref="M475" r:id="rId474" display="Voir la carte"/>
    <hyperlink ref="M476" r:id="rId475" display="Voir la carte"/>
    <hyperlink ref="M477" r:id="rId476" display="Voir la carte"/>
    <hyperlink ref="M478" r:id="rId477" display="Voir la carte"/>
    <hyperlink ref="M479" r:id="rId478" display="Voir la carte"/>
    <hyperlink ref="M480" r:id="rId479" display="Voir la carte"/>
    <hyperlink ref="M481" r:id="rId480" display="Voir la carte"/>
    <hyperlink ref="M482" r:id="rId481" display="Voir la carte"/>
    <hyperlink ref="M483" r:id="rId482" display="Voir la carte"/>
    <hyperlink ref="M484" r:id="rId483" display="Voir la carte"/>
    <hyperlink ref="M485" r:id="rId484" display="Voir la carte"/>
    <hyperlink ref="M486" r:id="rId485" display="Voir la carte"/>
    <hyperlink ref="M487" r:id="rId486" display="Voir la carte"/>
    <hyperlink ref="M488" r:id="rId487" display="Voir la carte"/>
    <hyperlink ref="M489" r:id="rId488" display="Voir la carte"/>
    <hyperlink ref="M490" r:id="rId489" display="Voir la carte"/>
    <hyperlink ref="M491" r:id="rId490" display="Voir la carte"/>
    <hyperlink ref="M492" r:id="rId491" display="Voir la carte"/>
    <hyperlink ref="M493" r:id="rId492" display="Voir la carte"/>
    <hyperlink ref="M494" r:id="rId493" display="Voir la carte"/>
    <hyperlink ref="M495" r:id="rId494" display="Voir la carte"/>
    <hyperlink ref="M496" r:id="rId495" display="Voir la carte"/>
    <hyperlink ref="M497" r:id="rId496" display="Voir la carte"/>
    <hyperlink ref="M498" r:id="rId497" display="Voir la carte"/>
    <hyperlink ref="M499" r:id="rId498" display="Voir la carte"/>
    <hyperlink ref="M500" r:id="rId499" display="Voir la carte"/>
    <hyperlink ref="M501" r:id="rId500" display="Voir la carte"/>
    <hyperlink ref="M502" r:id="rId501" display="Voir la carte"/>
    <hyperlink ref="M503" r:id="rId502" display="Voir la carte"/>
    <hyperlink ref="M504" r:id="rId503" display="Voir la carte"/>
    <hyperlink ref="M505" r:id="rId504" display="Voir la carte"/>
    <hyperlink ref="M506" r:id="rId505" display="Voir la carte"/>
    <hyperlink ref="M507" r:id="rId506" display="Voir la carte"/>
    <hyperlink ref="M508" r:id="rId507" display="Voir la carte"/>
    <hyperlink ref="M509" r:id="rId508" display="Voir la carte"/>
    <hyperlink ref="M510" r:id="rId509" display="Voir la carte"/>
    <hyperlink ref="M511" r:id="rId510" display="Voir la carte"/>
    <hyperlink ref="M512" r:id="rId511" display="Voir la carte"/>
    <hyperlink ref="M513" r:id="rId512" display="Voir la carte"/>
    <hyperlink ref="M514" r:id="rId513" display="Voir la carte"/>
    <hyperlink ref="M515" r:id="rId514" display="Voir la carte"/>
    <hyperlink ref="M516" r:id="rId515" display="Voir la carte"/>
    <hyperlink ref="M517" r:id="rId516" display="Voir la carte"/>
    <hyperlink ref="M518" r:id="rId517" display="Voir la carte"/>
    <hyperlink ref="M519" r:id="rId518" display="Voir la carte"/>
    <hyperlink ref="M520" r:id="rId519" display="Voir la carte"/>
    <hyperlink ref="M521" r:id="rId520" display="Voir la carte"/>
    <hyperlink ref="M522" r:id="rId521" display="Voir la carte"/>
    <hyperlink ref="M523" r:id="rId522" display="Voir la carte"/>
    <hyperlink ref="M524" r:id="rId523" display="Voir la carte"/>
    <hyperlink ref="M525" r:id="rId524" display="Voir la carte"/>
    <hyperlink ref="M526" r:id="rId525" display="Voir la carte"/>
    <hyperlink ref="M527" r:id="rId526" display="Voir la carte"/>
    <hyperlink ref="M528" r:id="rId527" display="Voir la carte"/>
    <hyperlink ref="M529" r:id="rId528" display="Voir la carte"/>
    <hyperlink ref="M530" r:id="rId529" display="Voir la carte"/>
    <hyperlink ref="M531" r:id="rId530" display="Voir la carte"/>
    <hyperlink ref="M532" r:id="rId531" display="Voir la carte"/>
    <hyperlink ref="M533" r:id="rId532" display="Voir la carte"/>
    <hyperlink ref="M534" r:id="rId533" display="Voir la carte"/>
    <hyperlink ref="M535" r:id="rId534" display="Voir la carte"/>
    <hyperlink ref="M536" r:id="rId535" display="Voir la carte"/>
    <hyperlink ref="M537" r:id="rId536" display="Voir la carte"/>
    <hyperlink ref="M538" r:id="rId537" display="Voir la carte"/>
    <hyperlink ref="M539" r:id="rId538" display="Voir la carte"/>
    <hyperlink ref="M540" r:id="rId539" display="Voir la carte"/>
    <hyperlink ref="M541" r:id="rId540" display="Voir la carte"/>
    <hyperlink ref="M542" r:id="rId541" display="Voir la carte"/>
    <hyperlink ref="M543" r:id="rId542" display="Voir la carte"/>
    <hyperlink ref="M544" r:id="rId543" display="Voir la carte"/>
    <hyperlink ref="M545" r:id="rId544" display="Voir la carte"/>
    <hyperlink ref="M546" r:id="rId545" display="Voir la carte"/>
    <hyperlink ref="M547" r:id="rId546" display="Voir la carte"/>
    <hyperlink ref="M548" r:id="rId547" display="Voir la carte"/>
    <hyperlink ref="M549" r:id="rId548" display="Voir la carte"/>
    <hyperlink ref="M550" r:id="rId549" display="Voir la carte"/>
    <hyperlink ref="M551" r:id="rId550" display="Voir la carte"/>
    <hyperlink ref="M552" r:id="rId551" display="Voir la carte"/>
    <hyperlink ref="M553" r:id="rId552" display="Voir la carte"/>
    <hyperlink ref="M554" r:id="rId553" display="Voir la carte"/>
    <hyperlink ref="M555" r:id="rId554" display="Voir la carte"/>
    <hyperlink ref="M556" r:id="rId555" display="Voir la carte"/>
    <hyperlink ref="M557" r:id="rId556" display="Voir la carte"/>
    <hyperlink ref="M558" r:id="rId557" display="Voir la carte"/>
    <hyperlink ref="M559" r:id="rId558" display="Voir la carte"/>
    <hyperlink ref="M560" r:id="rId559" display="Voir la carte"/>
    <hyperlink ref="M561" r:id="rId560" display="Voir la carte"/>
    <hyperlink ref="M562" r:id="rId561" display="Voir la carte"/>
    <hyperlink ref="M563" r:id="rId562" display="Voir la carte"/>
    <hyperlink ref="M564" r:id="rId563" display="Voir la carte"/>
    <hyperlink ref="M565" r:id="rId564" display="Voir la carte"/>
    <hyperlink ref="M566" r:id="rId565" display="Voir la carte"/>
    <hyperlink ref="M567" r:id="rId566" display="Voir la carte"/>
    <hyperlink ref="M568" r:id="rId567" display="Voir la carte"/>
    <hyperlink ref="M569" r:id="rId568" display="Voir la carte"/>
    <hyperlink ref="M570" r:id="rId569" display="Voir la carte"/>
    <hyperlink ref="M571" r:id="rId570" display="Voir la carte"/>
    <hyperlink ref="M572" r:id="rId571" display="Voir la carte"/>
    <hyperlink ref="M573" r:id="rId572" display="Voir la carte"/>
    <hyperlink ref="M574" r:id="rId573" display="Voir la carte"/>
    <hyperlink ref="M575" r:id="rId574" display="Voir la carte"/>
    <hyperlink ref="M576" r:id="rId575" display="Voir la carte"/>
    <hyperlink ref="M577" r:id="rId576" display="Voir la carte"/>
    <hyperlink ref="M578" r:id="rId577" display="Voir la carte"/>
    <hyperlink ref="M579" r:id="rId578" display="Voir la carte"/>
    <hyperlink ref="M580" r:id="rId579" display="Voir la carte"/>
    <hyperlink ref="M581" r:id="rId580" display="Voir la carte"/>
    <hyperlink ref="M582" r:id="rId581" display="Voir la carte"/>
    <hyperlink ref="M583" r:id="rId582" display="Voir la carte"/>
    <hyperlink ref="M584" r:id="rId583" display="Voir la carte"/>
    <hyperlink ref="M585" r:id="rId584" display="Voir la carte"/>
    <hyperlink ref="M586" r:id="rId585" display="Voir la carte"/>
    <hyperlink ref="M587" r:id="rId586" display="Voir la carte"/>
    <hyperlink ref="M588" r:id="rId587" display="Voir la carte"/>
    <hyperlink ref="M589" r:id="rId588" display="Voir la carte"/>
    <hyperlink ref="M590" r:id="rId589" display="Voir la carte"/>
    <hyperlink ref="M591" r:id="rId590" display="Voir la carte"/>
    <hyperlink ref="M592" r:id="rId591" display="Voir la carte"/>
    <hyperlink ref="M593" r:id="rId592" display="Voir la carte"/>
    <hyperlink ref="M594" r:id="rId593" display="Voir la carte"/>
    <hyperlink ref="M595" r:id="rId594" display="Voir la carte"/>
    <hyperlink ref="M596" r:id="rId595" display="Voir la carte"/>
    <hyperlink ref="M597" r:id="rId596" display="Voir la carte"/>
    <hyperlink ref="M598" r:id="rId597" display="Voir la carte"/>
    <hyperlink ref="M599" r:id="rId598" display="Voir la carte"/>
    <hyperlink ref="M600" r:id="rId599" display="Voir la carte"/>
    <hyperlink ref="M601" r:id="rId600" display="Voir la carte"/>
    <hyperlink ref="M602" r:id="rId601" display="Voir la carte"/>
    <hyperlink ref="M603" r:id="rId602" display="Voir la carte"/>
    <hyperlink ref="M604" r:id="rId603" display="Voir la carte"/>
    <hyperlink ref="M605" r:id="rId604" display="Voir la carte"/>
    <hyperlink ref="M606" r:id="rId605" display="Voir la carte"/>
    <hyperlink ref="M607" r:id="rId606" display="Voir la carte"/>
    <hyperlink ref="M608" r:id="rId607" display="Voir la carte"/>
    <hyperlink ref="M609" r:id="rId608" display="Voir la carte"/>
    <hyperlink ref="M610" r:id="rId609" display="Voir la carte"/>
    <hyperlink ref="M611" r:id="rId610" display="Voir la carte"/>
    <hyperlink ref="M612" r:id="rId611" display="Voir la carte"/>
    <hyperlink ref="M613" r:id="rId612" display="Voir la carte"/>
    <hyperlink ref="M614" r:id="rId613" display="Voir la carte"/>
    <hyperlink ref="M615" r:id="rId614" display="Voir la carte"/>
    <hyperlink ref="M616" r:id="rId615" display="Voir la carte"/>
    <hyperlink ref="M617" r:id="rId616" display="Voir la carte"/>
    <hyperlink ref="M618" r:id="rId617" display="Voir la carte"/>
    <hyperlink ref="M619" r:id="rId618" display="Voir la carte"/>
    <hyperlink ref="M620" r:id="rId619" display="Voir la carte"/>
    <hyperlink ref="M621" r:id="rId620" display="Voir la carte"/>
    <hyperlink ref="M622" r:id="rId621" display="Voir la carte"/>
    <hyperlink ref="M623" r:id="rId622" display="Voir la carte"/>
    <hyperlink ref="M624" r:id="rId623" display="Voir la carte"/>
    <hyperlink ref="M625" r:id="rId624" display="Voir la carte"/>
    <hyperlink ref="M626" r:id="rId625" display="Voir la carte"/>
    <hyperlink ref="M627" r:id="rId626" display="Voir la carte"/>
    <hyperlink ref="M628" r:id="rId627" display="Voir la carte"/>
    <hyperlink ref="M629" r:id="rId628" display="Voir la carte"/>
    <hyperlink ref="M630" r:id="rId629" display="Voir la carte"/>
    <hyperlink ref="M631" r:id="rId630" display="Voir la carte"/>
    <hyperlink ref="M632" r:id="rId631" display="Voir la carte"/>
    <hyperlink ref="M633" r:id="rId632" display="Voir la carte"/>
    <hyperlink ref="M634" r:id="rId633" display="Voir la carte"/>
    <hyperlink ref="M635" r:id="rId634" display="Voir la carte"/>
    <hyperlink ref="M636" r:id="rId635" display="Voir la carte"/>
    <hyperlink ref="M637" r:id="rId636" display="Voir la carte"/>
    <hyperlink ref="M638" r:id="rId637" display="Voir la carte"/>
    <hyperlink ref="M639" r:id="rId638" display="Voir la carte"/>
    <hyperlink ref="M640" r:id="rId639" display="Voir la carte"/>
    <hyperlink ref="M641" r:id="rId640" display="Voir la carte"/>
    <hyperlink ref="M642" r:id="rId641" display="Voir la carte"/>
    <hyperlink ref="M643" r:id="rId642" display="Voir la carte"/>
    <hyperlink ref="M644" r:id="rId643" display="Voir la carte"/>
    <hyperlink ref="M645" r:id="rId644" display="Voir la carte"/>
    <hyperlink ref="M646" r:id="rId645" display="Voir la carte"/>
    <hyperlink ref="M647" r:id="rId646" display="Voir la carte"/>
    <hyperlink ref="M648" r:id="rId647" display="Voir la carte"/>
    <hyperlink ref="M649" r:id="rId648" display="Voir la carte"/>
    <hyperlink ref="M650" r:id="rId649" display="Voir la carte"/>
    <hyperlink ref="M651" r:id="rId650" display="Voir la carte"/>
    <hyperlink ref="M652" r:id="rId651" display="Voir la carte"/>
    <hyperlink ref="M653" r:id="rId652" display="Voir la carte"/>
    <hyperlink ref="M654" r:id="rId653" display="Voir la carte"/>
    <hyperlink ref="M655" r:id="rId654" display="Voir la carte"/>
    <hyperlink ref="M656" r:id="rId655" display="Voir la carte"/>
    <hyperlink ref="M657" r:id="rId656" display="Voir la carte"/>
    <hyperlink ref="M658" r:id="rId657" display="Voir la carte"/>
    <hyperlink ref="M659" r:id="rId658" display="Voir la carte"/>
    <hyperlink ref="M660" r:id="rId659" display="Voir la carte"/>
    <hyperlink ref="M661" r:id="rId660" display="Voir la carte"/>
    <hyperlink ref="M662" r:id="rId661" display="Voir la carte"/>
    <hyperlink ref="M663" r:id="rId662" display="Voir la carte"/>
    <hyperlink ref="M664" r:id="rId663" display="Voir la carte"/>
    <hyperlink ref="M665" r:id="rId664" display="Voir la carte"/>
    <hyperlink ref="M666" r:id="rId665" display="Voir la carte"/>
    <hyperlink ref="M667" r:id="rId666" display="Voir la carte"/>
    <hyperlink ref="M668" r:id="rId667" display="Voir la carte"/>
    <hyperlink ref="M669" r:id="rId668" display="Voir la carte"/>
    <hyperlink ref="M670" r:id="rId669" display="Voir la carte"/>
    <hyperlink ref="M671" r:id="rId670" display="Voir la carte"/>
    <hyperlink ref="M672" r:id="rId671" display="Voir la carte"/>
    <hyperlink ref="M673" r:id="rId672" display="Voir la carte"/>
    <hyperlink ref="M674" r:id="rId673" display="Voir la carte"/>
    <hyperlink ref="M675" r:id="rId674" display="Voir la carte"/>
    <hyperlink ref="M676" r:id="rId675" display="Voir la carte"/>
    <hyperlink ref="M677" r:id="rId676" display="Voir la carte"/>
    <hyperlink ref="M678" r:id="rId677" display="Voir la carte"/>
    <hyperlink ref="M679" r:id="rId678" display="Voir la carte"/>
    <hyperlink ref="M680" r:id="rId679" display="Voir la carte"/>
    <hyperlink ref="M681" r:id="rId680" display="Voir la carte"/>
    <hyperlink ref="M682" r:id="rId681" display="Voir la carte"/>
    <hyperlink ref="M683" r:id="rId682" display="Voir la carte"/>
    <hyperlink ref="M684" r:id="rId683" display="Voir la carte"/>
    <hyperlink ref="M685" r:id="rId684" display="Voir la carte"/>
    <hyperlink ref="M686" r:id="rId685" display="Voir la carte"/>
    <hyperlink ref="M687" r:id="rId686" display="Voir la carte"/>
    <hyperlink ref="M688" r:id="rId687" display="Voir la carte"/>
    <hyperlink ref="M689" r:id="rId688" display="Voir la carte"/>
    <hyperlink ref="M690" r:id="rId689" display="Voir la carte"/>
    <hyperlink ref="M691" r:id="rId690" display="Voir la carte"/>
    <hyperlink ref="M692" r:id="rId691" display="Voir la carte"/>
    <hyperlink ref="M693" r:id="rId692" display="Voir la carte"/>
    <hyperlink ref="M694" r:id="rId693" display="Voir la carte"/>
    <hyperlink ref="M695" r:id="rId694" display="Voir la carte"/>
    <hyperlink ref="M696" r:id="rId695" display="Voir la carte"/>
    <hyperlink ref="M697" r:id="rId696" display="Voir la carte"/>
    <hyperlink ref="M698" r:id="rId697" display="Voir la carte"/>
    <hyperlink ref="M699" r:id="rId698" display="Voir la carte"/>
    <hyperlink ref="M700" r:id="rId699" display="Voir la carte"/>
    <hyperlink ref="M701" r:id="rId700" display="Voir la carte"/>
    <hyperlink ref="M702" r:id="rId701" display="Voir la carte"/>
    <hyperlink ref="M703" r:id="rId702" display="Voir la carte"/>
    <hyperlink ref="M704" r:id="rId703" display="Voir la carte"/>
    <hyperlink ref="M705" r:id="rId704" display="Voir la carte"/>
    <hyperlink ref="M706" r:id="rId705" display="Voir la carte"/>
    <hyperlink ref="M707" r:id="rId706" display="Voir la carte"/>
    <hyperlink ref="M708" r:id="rId707" display="Voir la carte"/>
    <hyperlink ref="M709" r:id="rId708" display="Voir la carte"/>
    <hyperlink ref="M710" r:id="rId709" display="Voir la carte"/>
    <hyperlink ref="M711" r:id="rId710" display="Voir la carte"/>
    <hyperlink ref="M712" r:id="rId711" display="Voir la carte"/>
    <hyperlink ref="M713" r:id="rId712" display="Voir la carte"/>
    <hyperlink ref="M714" r:id="rId713" display="Voir la carte"/>
    <hyperlink ref="M715" r:id="rId714" display="Voir la carte"/>
    <hyperlink ref="M716" r:id="rId715" display="Voir la carte"/>
    <hyperlink ref="M717" r:id="rId716" display="Voir la carte"/>
    <hyperlink ref="M718" r:id="rId717" display="Voir la carte"/>
    <hyperlink ref="M719" r:id="rId718" display="Voir la carte"/>
    <hyperlink ref="M720" r:id="rId719" display="Voir la carte"/>
    <hyperlink ref="M721" r:id="rId720" display="Voir la carte"/>
    <hyperlink ref="M722" r:id="rId721" display="Voir la carte"/>
    <hyperlink ref="M723" r:id="rId722" display="Voir la carte"/>
    <hyperlink ref="M724" r:id="rId723" display="Voir la carte"/>
    <hyperlink ref="M725" r:id="rId724" display="Voir la carte"/>
    <hyperlink ref="M726" r:id="rId725" display="Voir la carte"/>
    <hyperlink ref="M727" r:id="rId726" display="Voir la carte"/>
    <hyperlink ref="M728" r:id="rId727" display="Voir la carte"/>
    <hyperlink ref="M729" r:id="rId728" display="Voir la carte"/>
    <hyperlink ref="M730" r:id="rId729" display="Voir la carte"/>
    <hyperlink ref="M731" r:id="rId730" display="Voir la carte"/>
    <hyperlink ref="M732" r:id="rId731" display="Voir la carte"/>
    <hyperlink ref="M733" r:id="rId732" display="Voir la carte"/>
    <hyperlink ref="M734" r:id="rId733" display="Voir la carte"/>
    <hyperlink ref="M735" r:id="rId734" display="Voir la carte"/>
    <hyperlink ref="M736" r:id="rId735" display="Voir la carte"/>
    <hyperlink ref="M737" r:id="rId736" display="Voir la carte"/>
    <hyperlink ref="M738" r:id="rId737" display="Voir la carte"/>
    <hyperlink ref="M739" r:id="rId738" display="Voir la carte"/>
    <hyperlink ref="M740" r:id="rId739" display="Voir la carte"/>
    <hyperlink ref="M741" r:id="rId740" display="Voir la carte"/>
    <hyperlink ref="M742" r:id="rId741" display="Voir la carte"/>
    <hyperlink ref="M743" r:id="rId742" display="Voir la carte"/>
    <hyperlink ref="M744" r:id="rId743" display="Voir la carte"/>
    <hyperlink ref="M745" r:id="rId744" display="Voir la carte"/>
    <hyperlink ref="M746" r:id="rId745" display="Voir la carte"/>
    <hyperlink ref="M747" r:id="rId746" display="Voir la carte"/>
    <hyperlink ref="M748" r:id="rId747" display="Voir la carte"/>
    <hyperlink ref="M749" r:id="rId748" display="Voir la carte"/>
    <hyperlink ref="M750" r:id="rId749" display="Voir la carte"/>
    <hyperlink ref="M751" r:id="rId750" display="Voir la carte"/>
    <hyperlink ref="M752" r:id="rId751" display="Voir la carte"/>
    <hyperlink ref="M753" r:id="rId752" display="Voir la carte"/>
    <hyperlink ref="M754" r:id="rId753" display="Voir la carte"/>
    <hyperlink ref="M755" r:id="rId754" display="Voir la carte"/>
    <hyperlink ref="M756" r:id="rId755" display="Voir la carte"/>
    <hyperlink ref="M757" r:id="rId756" display="Voir la carte"/>
    <hyperlink ref="M758" r:id="rId757" display="Voir la carte"/>
    <hyperlink ref="M759" r:id="rId758" display="Voir la carte"/>
    <hyperlink ref="M760" r:id="rId759" display="Voir la carte"/>
    <hyperlink ref="M761" r:id="rId760" display="Voir la carte"/>
    <hyperlink ref="M762" r:id="rId761" display="Voir la carte"/>
    <hyperlink ref="M763" r:id="rId762" display="Voir la carte"/>
    <hyperlink ref="M764" r:id="rId763" display="Voir la carte"/>
    <hyperlink ref="M765" r:id="rId764" display="Voir la carte"/>
    <hyperlink ref="M766" r:id="rId765" display="Voir la carte"/>
    <hyperlink ref="M767" r:id="rId766" display="Voir la carte"/>
    <hyperlink ref="M768" r:id="rId767" display="Voir la carte"/>
    <hyperlink ref="M769" r:id="rId768" display="Voir la carte"/>
    <hyperlink ref="M770" r:id="rId769" display="Voir la carte"/>
    <hyperlink ref="M771" r:id="rId770" display="Voir la carte"/>
    <hyperlink ref="M772" r:id="rId771" display="Voir la carte"/>
    <hyperlink ref="M773" r:id="rId772" display="Voir la carte"/>
    <hyperlink ref="M774" r:id="rId773" display="Voir la carte"/>
    <hyperlink ref="M775" r:id="rId774" display="Voir la carte"/>
    <hyperlink ref="M776" r:id="rId775" display="Voir la carte"/>
    <hyperlink ref="M777" r:id="rId776" display="Voir la carte"/>
    <hyperlink ref="M778" r:id="rId777" display="Voir la carte"/>
    <hyperlink ref="M779" r:id="rId778" display="Voir la carte"/>
    <hyperlink ref="M780" r:id="rId779" display="Voir la carte"/>
    <hyperlink ref="M781" r:id="rId780" display="Voir la carte"/>
    <hyperlink ref="M782" r:id="rId781" display="Voir la carte"/>
    <hyperlink ref="M783" r:id="rId782" display="Voir la carte"/>
    <hyperlink ref="M784" r:id="rId783" display="Voir la carte"/>
    <hyperlink ref="M785" r:id="rId784" display="Voir la carte"/>
    <hyperlink ref="M786" r:id="rId785" display="Voir la carte"/>
    <hyperlink ref="M787" r:id="rId786" display="Voir la carte"/>
    <hyperlink ref="M788" r:id="rId787" display="Voir la carte"/>
    <hyperlink ref="M789" r:id="rId788" display="Voir la carte"/>
    <hyperlink ref="M790" r:id="rId789" display="Voir la carte"/>
    <hyperlink ref="M791" r:id="rId790" display="Voir la carte"/>
    <hyperlink ref="M792" r:id="rId791" display="Voir la carte"/>
    <hyperlink ref="M793" r:id="rId792" display="Voir la carte"/>
    <hyperlink ref="M794" r:id="rId793" display="Voir la carte"/>
    <hyperlink ref="M795" r:id="rId794" display="Voir la carte"/>
    <hyperlink ref="M796" r:id="rId795" display="Voir la carte"/>
    <hyperlink ref="M797" r:id="rId796" display="Voir la carte"/>
    <hyperlink ref="M798" r:id="rId797" display="Voir la carte"/>
    <hyperlink ref="M799" r:id="rId798" display="Voir la carte"/>
    <hyperlink ref="M800" r:id="rId799" display="Voir la carte"/>
    <hyperlink ref="M801" r:id="rId800" display="Voir la carte"/>
    <hyperlink ref="M802" r:id="rId801" display="Voir la carte"/>
    <hyperlink ref="M803" r:id="rId802" display="Voir la carte"/>
    <hyperlink ref="M804" r:id="rId803" display="Voir la carte"/>
    <hyperlink ref="M805" r:id="rId804" display="Voir la carte"/>
    <hyperlink ref="M806" r:id="rId805" display="Voir la carte"/>
    <hyperlink ref="M807" r:id="rId806" display="Voir la carte"/>
    <hyperlink ref="M808" r:id="rId807" display="Voir la carte"/>
    <hyperlink ref="M809" r:id="rId808" display="Voir la carte"/>
    <hyperlink ref="M810" r:id="rId809" display="Voir la carte"/>
    <hyperlink ref="M811" r:id="rId810" display="Voir la carte"/>
    <hyperlink ref="M812" r:id="rId811" display="Voir la carte"/>
    <hyperlink ref="M813" r:id="rId812" display="Voir la carte"/>
    <hyperlink ref="M814" r:id="rId813" display="Voir la carte"/>
    <hyperlink ref="M815" r:id="rId814" display="Voir la carte"/>
    <hyperlink ref="M816" r:id="rId815" display="Voir la carte"/>
    <hyperlink ref="M817" r:id="rId816" display="Voir la carte"/>
    <hyperlink ref="M818" r:id="rId817" display="Voir la carte"/>
    <hyperlink ref="M819" r:id="rId818" display="Voir la carte"/>
    <hyperlink ref="M820" r:id="rId819" display="Voir la carte"/>
    <hyperlink ref="M821" r:id="rId820" display="Voir la carte"/>
    <hyperlink ref="M822" r:id="rId821" display="Voir la carte"/>
    <hyperlink ref="M823" r:id="rId822" display="Voir la carte"/>
    <hyperlink ref="M824" r:id="rId823" display="Voir la carte"/>
    <hyperlink ref="M825" r:id="rId824" display="Voir la carte"/>
    <hyperlink ref="M826" r:id="rId825" display="Voir la carte"/>
    <hyperlink ref="M827" r:id="rId826" display="Voir la carte"/>
    <hyperlink ref="M828" r:id="rId827" display="Voir la carte"/>
    <hyperlink ref="M829" r:id="rId828" display="Voir la carte"/>
    <hyperlink ref="M830" r:id="rId829" display="Voir la carte"/>
    <hyperlink ref="M831" r:id="rId830" display="Voir la carte"/>
    <hyperlink ref="M832" r:id="rId831" display="Voir la carte"/>
    <hyperlink ref="M833" r:id="rId832" display="Voir la carte"/>
    <hyperlink ref="M834" r:id="rId833" display="Voir la carte"/>
    <hyperlink ref="M835" r:id="rId834" display="Voir la carte"/>
    <hyperlink ref="M836" r:id="rId835" display="Voir la carte"/>
    <hyperlink ref="M837" r:id="rId836" display="Voir la carte"/>
    <hyperlink ref="M838" r:id="rId837" display="Voir la carte"/>
    <hyperlink ref="M839" r:id="rId838" display="Voir la carte"/>
    <hyperlink ref="M840" r:id="rId839" display="Voir la carte"/>
    <hyperlink ref="M841" r:id="rId840" display="Voir la carte"/>
    <hyperlink ref="M842" r:id="rId841" display="Voir la carte"/>
    <hyperlink ref="M843" r:id="rId842" display="Voir la carte"/>
    <hyperlink ref="M844" r:id="rId843" display="Voir la carte"/>
    <hyperlink ref="M845" r:id="rId844" display="Voir la carte"/>
    <hyperlink ref="M846" r:id="rId845" display="Voir la carte"/>
    <hyperlink ref="M847" r:id="rId846" display="Voir la carte"/>
    <hyperlink ref="M848" r:id="rId847" display="Voir la carte"/>
    <hyperlink ref="M849" r:id="rId848" display="Voir la carte"/>
    <hyperlink ref="M850" r:id="rId849" display="Voir la carte"/>
    <hyperlink ref="M851" r:id="rId850" display="Voir la carte"/>
    <hyperlink ref="M852" r:id="rId851" display="Voir la carte"/>
    <hyperlink ref="M853" r:id="rId852" display="Voir la carte"/>
    <hyperlink ref="M854" r:id="rId853" display="Voir la carte"/>
    <hyperlink ref="M855" r:id="rId854" display="Voir la carte"/>
    <hyperlink ref="M856" r:id="rId855" display="Voir la carte"/>
    <hyperlink ref="M857" r:id="rId856" display="Voir la carte"/>
    <hyperlink ref="M858" r:id="rId857" display="Voir la carte"/>
    <hyperlink ref="M859" r:id="rId858" display="Voir la carte"/>
    <hyperlink ref="M860" r:id="rId859" display="Voir la carte"/>
    <hyperlink ref="M861" r:id="rId860" display="Voir la carte"/>
    <hyperlink ref="M862" r:id="rId861" display="Voir la carte"/>
    <hyperlink ref="M863" r:id="rId862" display="Voir la carte"/>
    <hyperlink ref="M864" r:id="rId863" display="Voir la carte"/>
    <hyperlink ref="M865" r:id="rId864" display="Voir la carte"/>
    <hyperlink ref="M866" r:id="rId865" display="Voir la carte"/>
    <hyperlink ref="M867" r:id="rId866" display="Voir la carte"/>
    <hyperlink ref="M868" r:id="rId867" display="Voir la carte"/>
    <hyperlink ref="M869" r:id="rId868" display="Voir la carte"/>
    <hyperlink ref="M870" r:id="rId869" display="Voir la carte"/>
    <hyperlink ref="M871" r:id="rId870" display="Voir la carte"/>
    <hyperlink ref="M872" r:id="rId871" display="Voir la carte"/>
    <hyperlink ref="M873" r:id="rId872" display="Voir la carte"/>
    <hyperlink ref="M874" r:id="rId873" display="Voir la carte"/>
    <hyperlink ref="M875" r:id="rId874" display="Voir la carte"/>
    <hyperlink ref="M876" r:id="rId875" display="Voir la carte"/>
    <hyperlink ref="M877" r:id="rId876" display="Voir la carte"/>
    <hyperlink ref="M878" r:id="rId877" display="Voir la carte"/>
    <hyperlink ref="M879" r:id="rId878" display="Voir la carte"/>
    <hyperlink ref="M880" r:id="rId879" display="Voir la carte"/>
    <hyperlink ref="M881" r:id="rId880" display="Voir la carte"/>
    <hyperlink ref="M882" r:id="rId881" display="Voir la carte"/>
    <hyperlink ref="M883" r:id="rId882" display="Voir la carte"/>
    <hyperlink ref="M884" r:id="rId883" display="Voir la carte"/>
    <hyperlink ref="M885" r:id="rId884" display="Voir la car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8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9" t="s">
        <v>1825</v>
      </c>
    </row>
    <row r="2" customFormat="false" ht="15" hidden="false" customHeight="false" outlineLevel="0" collapsed="false">
      <c r="A2" s="10" t="s">
        <v>1826</v>
      </c>
    </row>
    <row r="4" customFormat="false" ht="15" hidden="false" customHeight="false" outlineLevel="0" collapsed="false">
      <c r="A4" s="11" t="s">
        <v>6</v>
      </c>
      <c r="B4" s="11" t="s">
        <v>1827</v>
      </c>
      <c r="C4" s="11" t="s">
        <v>1828</v>
      </c>
    </row>
    <row r="5" customFormat="false" ht="15" hidden="false" customHeight="false" outlineLevel="0" collapsed="false">
      <c r="A5" s="12" t="s">
        <v>16</v>
      </c>
      <c r="B5" s="12" t="n">
        <f aca="false">COUNTIF(Prospection!$G$2:$G$885,A5)</f>
        <v>884</v>
      </c>
      <c r="C5" s="13" t="n">
        <f aca="false">IF($B$12=0,0,B5/$B$12)</f>
        <v>1</v>
      </c>
    </row>
    <row r="6" customFormat="false" ht="15" hidden="false" customHeight="false" outlineLevel="0" collapsed="false">
      <c r="A6" s="12" t="s">
        <v>1829</v>
      </c>
      <c r="B6" s="12" t="n">
        <f aca="false">COUNTIF(Prospection!$G$2:$G$885,A6)</f>
        <v>0</v>
      </c>
      <c r="C6" s="13" t="n">
        <f aca="false">IF($B$12=0,0,B6/$B$12)</f>
        <v>0</v>
      </c>
    </row>
    <row r="7" customFormat="false" ht="15" hidden="false" customHeight="false" outlineLevel="0" collapsed="false">
      <c r="A7" s="12" t="s">
        <v>1830</v>
      </c>
      <c r="B7" s="12" t="n">
        <f aca="false">COUNTIF(Prospection!$G$2:$G$885,A7)</f>
        <v>0</v>
      </c>
      <c r="C7" s="13" t="n">
        <f aca="false">IF($B$12=0,0,B7/$B$12)</f>
        <v>0</v>
      </c>
    </row>
    <row r="8" customFormat="false" ht="15" hidden="false" customHeight="false" outlineLevel="0" collapsed="false">
      <c r="A8" s="12" t="s">
        <v>1831</v>
      </c>
      <c r="B8" s="12" t="n">
        <f aca="false">COUNTIF(Prospection!$G$2:$G$885,A8)</f>
        <v>0</v>
      </c>
      <c r="C8" s="13" t="n">
        <f aca="false">IF($B$12=0,0,B8/$B$12)</f>
        <v>0</v>
      </c>
    </row>
    <row r="9" customFormat="false" ht="15" hidden="false" customHeight="false" outlineLevel="0" collapsed="false">
      <c r="A9" s="12" t="s">
        <v>1832</v>
      </c>
      <c r="B9" s="12" t="n">
        <f aca="false">COUNTIF(Prospection!$G$2:$G$885,A9)</f>
        <v>0</v>
      </c>
      <c r="C9" s="13" t="n">
        <f aca="false">IF($B$12=0,0,B9/$B$12)</f>
        <v>0</v>
      </c>
    </row>
    <row r="10" customFormat="false" ht="15" hidden="false" customHeight="false" outlineLevel="0" collapsed="false">
      <c r="A10" s="12" t="s">
        <v>1833</v>
      </c>
      <c r="B10" s="12" t="n">
        <f aca="false">COUNTIF(Prospection!$G$2:$G$885,A10)</f>
        <v>0</v>
      </c>
      <c r="C10" s="13" t="n">
        <f aca="false">IF($B$12=0,0,B10/$B$12)</f>
        <v>0</v>
      </c>
    </row>
    <row r="11" customFormat="false" ht="15" hidden="false" customHeight="false" outlineLevel="0" collapsed="false">
      <c r="A11" s="12" t="s">
        <v>1834</v>
      </c>
      <c r="B11" s="12" t="n">
        <f aca="false">COUNTIF(Prospection!$G$2:$G$885,A11)</f>
        <v>0</v>
      </c>
      <c r="C11" s="13" t="n">
        <f aca="false">IF($B$12=0,0,B11/$B$12)</f>
        <v>0</v>
      </c>
    </row>
    <row r="12" customFormat="false" ht="15" hidden="false" customHeight="false" outlineLevel="0" collapsed="false">
      <c r="A12" s="14" t="s">
        <v>1835</v>
      </c>
      <c r="B12" s="14" t="n">
        <f aca="false">SUM(B5:B11)</f>
        <v>884</v>
      </c>
      <c r="C12" s="15" t="n">
        <f aca="false">IF($B$12=0,0,B12/$B$12)</f>
        <v>1</v>
      </c>
    </row>
    <row r="14" customFormat="false" ht="15" hidden="false" customHeight="false" outlineLevel="0" collapsed="false">
      <c r="A14" s="16" t="s">
        <v>1836</v>
      </c>
      <c r="B14" s="17" t="n">
        <f aca="false">B12-B5</f>
        <v>0</v>
      </c>
    </row>
    <row r="15" customFormat="false" ht="15" hidden="false" customHeight="false" outlineLevel="0" collapsed="false">
      <c r="A15" s="16" t="s">
        <v>1837</v>
      </c>
      <c r="B15" s="18" t="n">
        <f aca="false">IF(B14=0,0,B9/B14)</f>
        <v>0</v>
      </c>
    </row>
    <row r="16" customFormat="false" ht="15" hidden="false" customHeight="false" outlineLevel="0" collapsed="false">
      <c r="A16" s="16" t="s">
        <v>1838</v>
      </c>
      <c r="B16" s="17" t="n">
        <f aca="false">B7+B8+B11</f>
        <v>0</v>
      </c>
    </row>
    <row r="18" customFormat="false" ht="15" hidden="false" customHeight="false" outlineLevel="0" collapsed="false">
      <c r="A18" s="11" t="s">
        <v>1839</v>
      </c>
      <c r="B18" s="11" t="s">
        <v>1827</v>
      </c>
      <c r="C18" s="11" t="s">
        <v>1828</v>
      </c>
    </row>
    <row r="19" customFormat="false" ht="15" hidden="false" customHeight="false" outlineLevel="0" collapsed="false">
      <c r="A19" s="12" t="s">
        <v>1840</v>
      </c>
      <c r="B19" s="12" t="n">
        <f aca="false">COUNTA(Prospection!$F$2:$F$885)</f>
        <v>538</v>
      </c>
      <c r="C19" s="13" t="n">
        <f aca="false">IF($B$12=0,0,B19/$B$12)</f>
        <v>0.608597285067873</v>
      </c>
    </row>
    <row r="20" customFormat="false" ht="15" hidden="false" customHeight="false" outlineLevel="0" collapsed="false">
      <c r="A20" s="12" t="s">
        <v>1841</v>
      </c>
      <c r="B20" s="12" t="n">
        <f aca="false">COUNTA(Prospection!$D$2:$D$885)</f>
        <v>245</v>
      </c>
      <c r="C20" s="13" t="n">
        <f aca="false">IF($B$12=0,0,B20/$B$12)</f>
        <v>0.277149321266968</v>
      </c>
    </row>
    <row r="21" customFormat="false" ht="15" hidden="false" customHeight="false" outlineLevel="0" collapsed="false">
      <c r="A21" s="12" t="s">
        <v>1842</v>
      </c>
      <c r="B21" s="12" t="n">
        <f aca="false">COUNTA(Prospection!$C$2:$C$885)</f>
        <v>611</v>
      </c>
      <c r="C21" s="13" t="n">
        <f aca="false">IF($B$12=0,0,B21/$B$12)</f>
        <v>0.691176470588235</v>
      </c>
    </row>
    <row r="23" customFormat="false" ht="15" hidden="false" customHeight="false" outlineLevel="0" collapsed="false">
      <c r="A23" s="11" t="s">
        <v>1843</v>
      </c>
      <c r="B23" s="11" t="s">
        <v>1844</v>
      </c>
      <c r="C23" s="11" t="s">
        <v>1828</v>
      </c>
    </row>
    <row r="24" customFormat="false" ht="15" hidden="false" customHeight="false" outlineLevel="0" collapsed="false">
      <c r="A24" s="12" t="s">
        <v>84</v>
      </c>
      <c r="B24" s="12" t="n">
        <f aca="false">COUNTIF(Prospection!$C$2:$C$885,"*"&amp;A24&amp;"*")</f>
        <v>130</v>
      </c>
      <c r="C24" s="13" t="n">
        <f aca="false">IF($B$12=0,0,B24/$B$12)</f>
        <v>0.147058823529412</v>
      </c>
    </row>
    <row r="25" customFormat="false" ht="15" hidden="false" customHeight="false" outlineLevel="0" collapsed="false">
      <c r="A25" s="12" t="s">
        <v>19</v>
      </c>
      <c r="B25" s="12" t="n">
        <f aca="false">COUNTIF(Prospection!$C$2:$C$885,"*"&amp;A25&amp;"*")</f>
        <v>83</v>
      </c>
      <c r="C25" s="13" t="n">
        <f aca="false">IF($B$12=0,0,B25/$B$12)</f>
        <v>0.0938914027149321</v>
      </c>
    </row>
    <row r="26" customFormat="false" ht="15" hidden="false" customHeight="false" outlineLevel="0" collapsed="false">
      <c r="A26" s="12" t="s">
        <v>81</v>
      </c>
      <c r="B26" s="12" t="n">
        <f aca="false">COUNTIF(Prospection!$C$2:$C$885,"*"&amp;A26&amp;"*")</f>
        <v>51</v>
      </c>
      <c r="C26" s="13" t="n">
        <f aca="false">IF($B$12=0,0,B26/$B$12)</f>
        <v>0.0576923076923077</v>
      </c>
    </row>
    <row r="27" customFormat="false" ht="15" hidden="false" customHeight="false" outlineLevel="0" collapsed="false">
      <c r="A27" s="12" t="s">
        <v>51</v>
      </c>
      <c r="B27" s="12" t="n">
        <f aca="false">COUNTIF(Prospection!$C$2:$C$885,"*"&amp;A27&amp;"*")</f>
        <v>49</v>
      </c>
      <c r="C27" s="13" t="n">
        <f aca="false">IF($B$12=0,0,B27/$B$12)</f>
        <v>0.0554298642533937</v>
      </c>
    </row>
    <row r="28" customFormat="false" ht="15" hidden="false" customHeight="false" outlineLevel="0" collapsed="false">
      <c r="A28" s="12" t="s">
        <v>64</v>
      </c>
      <c r="B28" s="12" t="n">
        <f aca="false">COUNTIF(Prospection!$C$2:$C$885,"*"&amp;A28&amp;"*")</f>
        <v>45</v>
      </c>
      <c r="C28" s="13" t="n">
        <f aca="false">IF($B$12=0,0,B28/$B$12)</f>
        <v>0.0509049773755656</v>
      </c>
    </row>
    <row r="29" customFormat="false" ht="15" hidden="false" customHeight="false" outlineLevel="0" collapsed="false">
      <c r="A29" s="12" t="s">
        <v>88</v>
      </c>
      <c r="B29" s="12" t="n">
        <f aca="false">COUNTIF(Prospection!$C$2:$C$885,"*"&amp;A29&amp;"*")</f>
        <v>38</v>
      </c>
      <c r="C29" s="13" t="n">
        <f aca="false">IF($B$12=0,0,B29/$B$12)</f>
        <v>0.0429864253393665</v>
      </c>
    </row>
    <row r="30" customFormat="false" ht="15" hidden="false" customHeight="false" outlineLevel="0" collapsed="false">
      <c r="A30" s="12" t="s">
        <v>104</v>
      </c>
      <c r="B30" s="12" t="n">
        <f aca="false">COUNTIF(Prospection!$C$2:$C$885,"*"&amp;A30&amp;"*")</f>
        <v>26</v>
      </c>
      <c r="C30" s="13" t="n">
        <f aca="false">IF($B$12=0,0,B30/$B$12)</f>
        <v>0.0294117647058824</v>
      </c>
    </row>
    <row r="31" customFormat="false" ht="15" hidden="false" customHeight="false" outlineLevel="0" collapsed="false">
      <c r="A31" s="12" t="s">
        <v>387</v>
      </c>
      <c r="B31" s="12" t="n">
        <f aca="false">COUNTIF(Prospection!$C$2:$C$885,"*"&amp;A31&amp;"*")</f>
        <v>24</v>
      </c>
      <c r="C31" s="13" t="n">
        <f aca="false">IF($B$12=0,0,B31/$B$12)</f>
        <v>0.0271493212669683</v>
      </c>
    </row>
    <row r="32" customFormat="false" ht="15" hidden="false" customHeight="false" outlineLevel="0" collapsed="false">
      <c r="A32" s="12" t="s">
        <v>62</v>
      </c>
      <c r="B32" s="12" t="n">
        <f aca="false">COUNTIF(Prospection!$C$2:$C$885,"*"&amp;A32&amp;"*")</f>
        <v>23</v>
      </c>
      <c r="C32" s="13" t="n">
        <f aca="false">IF($B$12=0,0,B32/$B$12)</f>
        <v>0.0260180995475113</v>
      </c>
    </row>
    <row r="33" customFormat="false" ht="15" hidden="false" customHeight="false" outlineLevel="0" collapsed="false">
      <c r="A33" s="12" t="s">
        <v>26</v>
      </c>
      <c r="B33" s="12" t="n">
        <f aca="false">COUNTIF(Prospection!$C$2:$C$885,"*"&amp;A33&amp;"*")</f>
        <v>19</v>
      </c>
      <c r="C33" s="13" t="n">
        <f aca="false">IF($B$12=0,0,B33/$B$12)</f>
        <v>0.0214932126696833</v>
      </c>
    </row>
    <row r="34" customFormat="false" ht="15" hidden="false" customHeight="false" outlineLevel="0" collapsed="false">
      <c r="A34" s="12" t="s">
        <v>154</v>
      </c>
      <c r="B34" s="12" t="n">
        <f aca="false">COUNTIF(Prospection!$C$2:$C$885,"*"&amp;A34&amp;"*")</f>
        <v>19</v>
      </c>
      <c r="C34" s="13" t="n">
        <f aca="false">IF($B$12=0,0,B34/$B$12)</f>
        <v>0.0214932126696833</v>
      </c>
    </row>
    <row r="35" customFormat="false" ht="15" hidden="false" customHeight="false" outlineLevel="0" collapsed="false">
      <c r="A35" s="12" t="s">
        <v>211</v>
      </c>
      <c r="B35" s="12" t="n">
        <f aca="false">COUNTIF(Prospection!$C$2:$C$885,"*"&amp;A35&amp;"*")</f>
        <v>19</v>
      </c>
      <c r="C35" s="13" t="n">
        <f aca="false">IF($B$12=0,0,B35/$B$12)</f>
        <v>0.0214932126696833</v>
      </c>
    </row>
    <row r="36" customFormat="false" ht="15" hidden="false" customHeight="false" outlineLevel="0" collapsed="false">
      <c r="A36" s="12" t="s">
        <v>75</v>
      </c>
      <c r="B36" s="12" t="n">
        <f aca="false">COUNTIF(Prospection!$C$2:$C$885,"*"&amp;A36&amp;"*")</f>
        <v>16</v>
      </c>
      <c r="C36" s="13" t="n">
        <f aca="false">IF($B$12=0,0,B36/$B$12)</f>
        <v>0.0180995475113122</v>
      </c>
    </row>
    <row r="37" customFormat="false" ht="15" hidden="false" customHeight="false" outlineLevel="0" collapsed="false">
      <c r="A37" s="12" t="s">
        <v>46</v>
      </c>
      <c r="B37" s="12" t="n">
        <f aca="false">COUNTIF(Prospection!$C$2:$C$885,"*"&amp;A37&amp;"*")</f>
        <v>14</v>
      </c>
      <c r="C37" s="13" t="n">
        <f aca="false">IF($B$12=0,0,B37/$B$12)</f>
        <v>0.0158371040723982</v>
      </c>
    </row>
    <row r="38" customFormat="false" ht="15" hidden="false" customHeight="false" outlineLevel="0" collapsed="false">
      <c r="A38" s="12" t="s">
        <v>44</v>
      </c>
      <c r="B38" s="12" t="n">
        <f aca="false">COUNTIF(Prospection!$C$2:$C$885,"*"&amp;A38&amp;"*")</f>
        <v>12</v>
      </c>
      <c r="C38" s="13" t="n">
        <f aca="false">IF($B$12=0,0,B38/$B$12)</f>
        <v>0.0135746606334842</v>
      </c>
    </row>
    <row r="39" customFormat="false" ht="15" hidden="false" customHeight="false" outlineLevel="0" collapsed="false">
      <c r="A39" s="12" t="s">
        <v>124</v>
      </c>
      <c r="B39" s="12" t="n">
        <f aca="false">COUNTIF(Prospection!$C$2:$C$885,"*"&amp;A39&amp;"*")</f>
        <v>12</v>
      </c>
      <c r="C39" s="13" t="n">
        <f aca="false">IF($B$12=0,0,B39/$B$12)</f>
        <v>0.0135746606334842</v>
      </c>
    </row>
    <row r="40" customFormat="false" ht="15" hidden="false" customHeight="false" outlineLevel="0" collapsed="false">
      <c r="A40" s="12" t="s">
        <v>459</v>
      </c>
      <c r="B40" s="12" t="n">
        <f aca="false">COUNTIF(Prospection!$C$2:$C$885,"*"&amp;A40&amp;"*")</f>
        <v>12</v>
      </c>
      <c r="C40" s="13" t="n">
        <f aca="false">IF($B$12=0,0,B40/$B$12)</f>
        <v>0.0135746606334842</v>
      </c>
    </row>
    <row r="41" customFormat="false" ht="15" hidden="false" customHeight="false" outlineLevel="0" collapsed="false">
      <c r="A41" s="12" t="s">
        <v>383</v>
      </c>
      <c r="B41" s="12" t="n">
        <f aca="false">COUNTIF(Prospection!$C$2:$C$885,"*"&amp;A41&amp;"*")</f>
        <v>12</v>
      </c>
      <c r="C41" s="13" t="n">
        <f aca="false">IF($B$12=0,0,B41/$B$12)</f>
        <v>0.0135746606334842</v>
      </c>
    </row>
    <row r="42" customFormat="false" ht="15" hidden="false" customHeight="false" outlineLevel="0" collapsed="false">
      <c r="A42" s="12" t="s">
        <v>30</v>
      </c>
      <c r="B42" s="12" t="n">
        <f aca="false">COUNTIF(Prospection!$C$2:$C$885,"*"&amp;A42&amp;"*")</f>
        <v>10</v>
      </c>
      <c r="C42" s="13" t="n">
        <f aca="false">IF($B$12=0,0,B42/$B$12)</f>
        <v>0.0113122171945701</v>
      </c>
    </row>
    <row r="43" customFormat="false" ht="15" hidden="false" customHeight="false" outlineLevel="0" collapsed="false">
      <c r="A43" s="12" t="s">
        <v>434</v>
      </c>
      <c r="B43" s="12" t="n">
        <f aca="false">COUNTIF(Prospection!$C$2:$C$885,"*"&amp;A43&amp;"*")</f>
        <v>10</v>
      </c>
      <c r="C43" s="13" t="n">
        <f aca="false">IF($B$12=0,0,B43/$B$12)</f>
        <v>0.0113122171945701</v>
      </c>
    </row>
    <row r="45" customFormat="false" ht="15" hidden="false" customHeight="false" outlineLevel="0" collapsed="false">
      <c r="A45" s="10" t="s">
        <v>1845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9" t="s">
        <v>1846</v>
      </c>
    </row>
    <row r="3" customFormat="false" ht="45" hidden="false" customHeight="true" outlineLevel="0" collapsed="false">
      <c r="A3" s="19" t="s">
        <v>1847</v>
      </c>
      <c r="B3" s="20" t="s">
        <v>1848</v>
      </c>
    </row>
    <row r="4" customFormat="false" ht="45" hidden="false" customHeight="true" outlineLevel="0" collapsed="false">
      <c r="A4" s="19" t="s">
        <v>1849</v>
      </c>
      <c r="B4" s="20" t="s">
        <v>1850</v>
      </c>
    </row>
    <row r="5" customFormat="false" ht="45" hidden="false" customHeight="true" outlineLevel="0" collapsed="false">
      <c r="A5" s="19" t="s">
        <v>1851</v>
      </c>
      <c r="B5" s="20" t="s">
        <v>1852</v>
      </c>
    </row>
    <row r="6" customFormat="false" ht="45" hidden="false" customHeight="true" outlineLevel="0" collapsed="false">
      <c r="A6" s="19" t="s">
        <v>1853</v>
      </c>
      <c r="B6" s="20" t="s">
        <v>1854</v>
      </c>
    </row>
    <row r="7" customFormat="false" ht="45" hidden="false" customHeight="true" outlineLevel="0" collapsed="false">
      <c r="A7" s="19" t="s">
        <v>1855</v>
      </c>
      <c r="B7" s="20" t="s">
        <v>1856</v>
      </c>
    </row>
    <row r="8" customFormat="false" ht="30" hidden="false" customHeight="true" outlineLevel="0" collapsed="false">
      <c r="A8" s="19" t="s">
        <v>1857</v>
      </c>
      <c r="B8" s="20" t="s">
        <v>1858</v>
      </c>
    </row>
    <row r="9" customFormat="false" ht="45" hidden="false" customHeight="true" outlineLevel="0" collapsed="false">
      <c r="A9" s="19" t="s">
        <v>1859</v>
      </c>
      <c r="B9" s="20" t="s">
        <v>1860</v>
      </c>
    </row>
    <row r="10" customFormat="false" ht="45" hidden="false" customHeight="true" outlineLevel="0" collapsed="false">
      <c r="A10" s="19" t="s">
        <v>1861</v>
      </c>
      <c r="B10" s="20" t="s">
        <v>1862</v>
      </c>
    </row>
    <row r="11" customFormat="false" ht="45" hidden="false" customHeight="true" outlineLevel="0" collapsed="false">
      <c r="A11" s="19" t="s">
        <v>1863</v>
      </c>
      <c r="B11" s="20" t="s">
        <v>1864</v>
      </c>
    </row>
    <row r="13" customFormat="false" ht="15" hidden="false" customHeight="false" outlineLevel="0" collapsed="false">
      <c r="A13" s="21" t="s">
        <v>1865</v>
      </c>
    </row>
    <row r="14" customFormat="false" ht="15" hidden="false" customHeight="false" outlineLevel="0" collapsed="false">
      <c r="A14" s="22" t="s">
        <v>1</v>
      </c>
      <c r="B14" s="12" t="s">
        <v>1866</v>
      </c>
    </row>
    <row r="15" customFormat="false" ht="15" hidden="false" customHeight="false" outlineLevel="0" collapsed="false">
      <c r="A15" s="22" t="s">
        <v>2</v>
      </c>
      <c r="B15" s="12" t="s">
        <v>84</v>
      </c>
    </row>
    <row r="16" customFormat="false" ht="15" hidden="false" customHeight="false" outlineLevel="0" collapsed="false">
      <c r="A16" s="22" t="s">
        <v>3</v>
      </c>
      <c r="B16" s="12" t="s">
        <v>1867</v>
      </c>
    </row>
    <row r="17" customFormat="false" ht="15" hidden="false" customHeight="false" outlineLevel="0" collapsed="false">
      <c r="A17" s="22" t="s">
        <v>4</v>
      </c>
      <c r="B17" s="12" t="s">
        <v>15</v>
      </c>
    </row>
    <row r="18" customFormat="false" ht="15" hidden="false" customHeight="false" outlineLevel="0" collapsed="false">
      <c r="A18" s="22" t="s">
        <v>5</v>
      </c>
      <c r="B18" s="12" t="s">
        <v>1868</v>
      </c>
    </row>
    <row r="19" customFormat="false" ht="15" hidden="false" customHeight="false" outlineLevel="0" collapsed="false">
      <c r="A19" s="22" t="s">
        <v>6</v>
      </c>
      <c r="B19" s="23" t="s">
        <v>1830</v>
      </c>
    </row>
    <row r="20" customFormat="false" ht="15" hidden="false" customHeight="false" outlineLevel="0" collapsed="false">
      <c r="A20" s="22" t="s">
        <v>7</v>
      </c>
      <c r="B20" s="23" t="s">
        <v>1869</v>
      </c>
    </row>
    <row r="21" customFormat="false" ht="15" hidden="false" customHeight="false" outlineLevel="0" collapsed="false">
      <c r="A21" s="22" t="s">
        <v>8</v>
      </c>
      <c r="B21" s="23" t="s">
        <v>1870</v>
      </c>
    </row>
    <row r="22" customFormat="false" ht="15" hidden="false" customHeight="false" outlineLevel="0" collapsed="false">
      <c r="A22" s="22" t="s">
        <v>9</v>
      </c>
      <c r="B22" s="23" t="s">
        <v>1871</v>
      </c>
    </row>
    <row r="23" customFormat="false" ht="15" hidden="false" customHeight="false" outlineLevel="0" collapsed="false">
      <c r="A23" s="22" t="s">
        <v>10</v>
      </c>
      <c r="B23" s="23" t="s">
        <v>1872</v>
      </c>
    </row>
    <row r="24" customFormat="false" ht="15" hidden="false" customHeight="false" outlineLevel="0" collapsed="false">
      <c r="A24" s="22" t="s">
        <v>11</v>
      </c>
      <c r="B24" s="23" t="s">
        <v>1873</v>
      </c>
    </row>
    <row r="26" customFormat="false" ht="15" hidden="false" customHeight="false" outlineLevel="0" collapsed="false">
      <c r="A26" s="10" t="s">
        <v>1874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2026-09-29T14:44:39Z</dcterms:created>
  <dc:creator>openpyxl</dc:creator>
  <dc:description/>
  <dc:language>en-US</dc:language>
  <cp:lastModifiedBy/>
  <dcterms:modified xsi:type="dcterms:W3CDTF">2026-09-29T14:44:40Z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