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ion" sheetId="1" state="visible" r:id="rId3"/>
    <sheet name="Synthèse" sheetId="2" state="visible" r:id="rId4"/>
    <sheet name="Aide" sheetId="3" state="visible" r:id="rId5"/>
  </sheets>
  <definedNames>
    <definedName function="false" hidden="false" localSheetId="0" name="_xlnm.Print_Titles" vbProcedure="false">Prospection!$1:$1</definedName>
    <definedName function="false" hidden="true" localSheetId="0" name="_xlnm._FilterDatabase" vbProcedure="false">Prospection!$A$1:$Q$1431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<sst xmlns="http://schemas.openxmlformats.org/spreadsheetml/2006/main" count="11397" uniqueCount="4443">
  <si>
    <t xml:space="preserve">N°</t>
  </si>
  <si>
    <t xml:space="preserve">Restaurant</t>
  </si>
  <si>
    <t xml:space="preserve">Type de cuisine</t>
  </si>
  <si>
    <t xml:space="preserve">Adresse</t>
  </si>
  <si>
    <t xml:space="preserve">Code postal</t>
  </si>
  <si>
    <t xml:space="preserve">Commune</t>
  </si>
  <si>
    <t xml:space="preserve">Téléphone</t>
  </si>
  <si>
    <t xml:space="preserve">Site web</t>
  </si>
  <si>
    <t xml:space="preserve">Horaires</t>
  </si>
  <si>
    <t xml:space="preserve">Statut</t>
  </si>
  <si>
    <t xml:space="preserve">Date 1er contact</t>
  </si>
  <si>
    <t xml:space="preserve">Interlocuteur</t>
  </si>
  <si>
    <t xml:space="preserve">Prochaine action</t>
  </si>
  <si>
    <t xml:space="preserve">Date de relance</t>
  </si>
  <si>
    <t xml:space="preserve">Commentaires</t>
  </si>
  <si>
    <t xml:space="preserve">Carte</t>
  </si>
  <si>
    <t xml:space="preserve">Fiche OSM</t>
  </si>
  <si>
    <t xml:space="preserve">450° par Pizzeria d'Alexis</t>
  </si>
  <si>
    <t xml:space="preserve">Pizza, Italienne</t>
  </si>
  <si>
    <t xml:space="preserve">Toulouse</t>
  </si>
  <si>
    <t xml:space="preserve">À contacter</t>
  </si>
  <si>
    <t xml:space="preserve">Voir la carte</t>
  </si>
  <si>
    <t xml:space="preserve">Ouvrir</t>
  </si>
  <si>
    <t xml:space="preserve">@Pizza Plana</t>
  </si>
  <si>
    <t xml:space="preserve">Pizza</t>
  </si>
  <si>
    <t xml:space="preserve">108 Rue Louis Plana</t>
  </si>
  <si>
    <t xml:space="preserve">31500</t>
  </si>
  <si>
    <t xml:space="preserve">Tu-Sa 11:30-14:00,18:30-21:45; Su 18:30-21:30</t>
  </si>
  <si>
    <t xml:space="preserve">A Mesa de Carole</t>
  </si>
  <si>
    <t xml:space="preserve">Portugaise</t>
  </si>
  <si>
    <t xml:space="preserve">44 Avenue Antoine de Saint-Exupéry</t>
  </si>
  <si>
    <t xml:space="preserve">31400</t>
  </si>
  <si>
    <t xml:space="preserve">07 55 45 03 34</t>
  </si>
  <si>
    <t xml:space="preserve">A Taula</t>
  </si>
  <si>
    <t xml:space="preserve">Tapas</t>
  </si>
  <si>
    <t xml:space="preserve">11 Rue Malcousinat</t>
  </si>
  <si>
    <t xml:space="preserve">07 69 47 85 86</t>
  </si>
  <si>
    <t xml:space="preserve">A.mar</t>
  </si>
  <si>
    <t xml:space="preserve">Fruits de mer</t>
  </si>
  <si>
    <t xml:space="preserve">Tu-Sa 12:00-14:00, 18:00-22:00</t>
  </si>
  <si>
    <t xml:space="preserve">Abuelo</t>
  </si>
  <si>
    <t xml:space="preserve">Méditerranéenne</t>
  </si>
  <si>
    <t xml:space="preserve">05 61 41 68 18</t>
  </si>
  <si>
    <t xml:space="preserve">https://www.abuelorestaurant.fr/</t>
  </si>
  <si>
    <t xml:space="preserve">Tu-Sa 12:00-01:00</t>
  </si>
  <si>
    <t xml:space="preserve">Abyssinia</t>
  </si>
  <si>
    <t xml:space="preserve">Éthiopienne</t>
  </si>
  <si>
    <t xml:space="preserve">07 68 84 85 21</t>
  </si>
  <si>
    <t xml:space="preserve">https://restaurant-ethiopien-toulouse.eatbu.com/?lang=fr</t>
  </si>
  <si>
    <t xml:space="preserve">Tu-Su 12:00-14:30,18:30-23:00</t>
  </si>
  <si>
    <t xml:space="preserve">Acte 2</t>
  </si>
  <si>
    <t xml:space="preserve">Française, Gastronomique</t>
  </si>
  <si>
    <t xml:space="preserve">https://yannickdelpech-acte2.fr/</t>
  </si>
  <si>
    <t xml:space="preserve">Fr-Sa 12:00-14:00,Tu-Sa 20:00-22:00</t>
  </si>
  <si>
    <t xml:space="preserve">Adana grill</t>
  </si>
  <si>
    <t xml:space="preserve">Turque</t>
  </si>
  <si>
    <t xml:space="preserve">16 Avenue de Larrieu-Thibaud</t>
  </si>
  <si>
    <t xml:space="preserve">31100</t>
  </si>
  <si>
    <t xml:space="preserve">05 31 47 30 59</t>
  </si>
  <si>
    <t xml:space="preserve">https://adana-grill-toulouse.fr</t>
  </si>
  <si>
    <t xml:space="preserve">Mo-Fr 11:30-23:00</t>
  </si>
  <si>
    <t xml:space="preserve">African Queen</t>
  </si>
  <si>
    <t xml:space="preserve">Africaine</t>
  </si>
  <si>
    <t xml:space="preserve">Agapes</t>
  </si>
  <si>
    <t xml:space="preserve">Gastronomique</t>
  </si>
  <si>
    <t xml:space="preserve">05 61 99 30 31</t>
  </si>
  <si>
    <t xml:space="preserve">https://www.agapes-toulouse.fr/</t>
  </si>
  <si>
    <t xml:space="preserve">Th-Sa 12:00-13:30; Tu-Sa 19:45-21:30</t>
  </si>
  <si>
    <t xml:space="preserve">Agora</t>
  </si>
  <si>
    <t xml:space="preserve">07 56 83 59 00</t>
  </si>
  <si>
    <t xml:space="preserve">Aiko</t>
  </si>
  <si>
    <t xml:space="preserve">Japonaise</t>
  </si>
  <si>
    <t xml:space="preserve">09 83 50 22 75</t>
  </si>
  <si>
    <t xml:space="preserve">https://www.aikobistrot.com/</t>
  </si>
  <si>
    <t xml:space="preserve">Tu-Th 12:00-14:00,19:30-22:00; Fr-Sa 12:00-14:30,19:30-22:30; Su,Mo off</t>
  </si>
  <si>
    <t xml:space="preserve">Aishi Ramen</t>
  </si>
  <si>
    <t xml:space="preserve">Japonaise, Ramen</t>
  </si>
  <si>
    <t xml:space="preserve">16 Rue Léon Gambetta</t>
  </si>
  <si>
    <t xml:space="preserve">Tu-Su 11:30-14:30,18:30-22:00</t>
  </si>
  <si>
    <t xml:space="preserve">Alice Pizza</t>
  </si>
  <si>
    <t xml:space="preserve">05 34 57 84 65</t>
  </si>
  <si>
    <t xml:space="preserve">https://www.alice-pizza.net/</t>
  </si>
  <si>
    <t xml:space="preserve">PH; Mo-Sa 11:00-14:00,18:00-22:00; Su 18:00-22:00</t>
  </si>
  <si>
    <t xml:space="preserve">Amore Mia</t>
  </si>
  <si>
    <t xml:space="preserve">Italienne, Française</t>
  </si>
  <si>
    <t xml:space="preserve">09 60 06 35 12</t>
  </si>
  <si>
    <t xml:space="preserve">https://amore-mia.fr/</t>
  </si>
  <si>
    <t xml:space="preserve">Tu 12:00-14:00; We-Sa 12:00-14:00,19:00-22:00; Su 11:00-14:30</t>
  </si>
  <si>
    <t xml:space="preserve">An Nam</t>
  </si>
  <si>
    <t xml:space="preserve">Vietnamienne</t>
  </si>
  <si>
    <t xml:space="preserve">Andiamo</t>
  </si>
  <si>
    <t xml:space="preserve">Italienne</t>
  </si>
  <si>
    <t xml:space="preserve">2 Avenue Paul Séjourné</t>
  </si>
  <si>
    <t xml:space="preserve">31000</t>
  </si>
  <si>
    <t xml:space="preserve">06 61 04 83 99</t>
  </si>
  <si>
    <t xml:space="preserve">https://andiamo-toulouse.eatbu.com</t>
  </si>
  <si>
    <t xml:space="preserve">Tu-Fr 12:00-14:00, Tu-Sa 19:00-22:00</t>
  </si>
  <si>
    <t xml:space="preserve">Andochine</t>
  </si>
  <si>
    <t xml:space="preserve">28 Rue des Polinaires</t>
  </si>
  <si>
    <t xml:space="preserve">05 36 89 89 34</t>
  </si>
  <si>
    <t xml:space="preserve">https://an-dochine.fr/</t>
  </si>
  <si>
    <t xml:space="preserve">Mo-Sa 12:00-14:30,18:00-22:30; Su 12:00-14:30</t>
  </si>
  <si>
    <t xml:space="preserve">Antho et Rita</t>
  </si>
  <si>
    <t xml:space="preserve">63 Allées Charles de Fitte</t>
  </si>
  <si>
    <t xml:space="preserve">06 74 32 68 00</t>
  </si>
  <si>
    <t xml:space="preserve">Mo, Tu 11:00-17:00; We-Fr 11:00-21:30</t>
  </si>
  <si>
    <t xml:space="preserve">Antica Salumeria</t>
  </si>
  <si>
    <t xml:space="preserve">"10h à l'aperitivo"</t>
  </si>
  <si>
    <t xml:space="preserve">Aozai</t>
  </si>
  <si>
    <t xml:space="preserve">Thaïlandaise</t>
  </si>
  <si>
    <t xml:space="preserve">Armenian Bakery</t>
  </si>
  <si>
    <t xml:space="preserve">Arménienne</t>
  </si>
  <si>
    <t xml:space="preserve">74 Allées Jean Jaurès</t>
  </si>
  <si>
    <t xml:space="preserve">Mo-Fr 10:00-21:00; Sa 10:30-21:00; Su 12:00-21:00</t>
  </si>
  <si>
    <t xml:space="preserve">Artigiano</t>
  </si>
  <si>
    <t xml:space="preserve">Asia Village</t>
  </si>
  <si>
    <t xml:space="preserve">Asiatique</t>
  </si>
  <si>
    <t xml:space="preserve">05 61 57 94 45</t>
  </si>
  <si>
    <t xml:space="preserve">Tu-Su 12:00-22:00</t>
  </si>
  <si>
    <t xml:space="preserve">Assoiffés</t>
  </si>
  <si>
    <t xml:space="preserve">Française</t>
  </si>
  <si>
    <t xml:space="preserve">Tu-Sa 10:00-24:00</t>
  </si>
  <si>
    <t xml:space="preserve">Au Bon Graillou</t>
  </si>
  <si>
    <t xml:space="preserve">05 61 21 80 19</t>
  </si>
  <si>
    <t xml:space="preserve">https://fr-fr.facebook.com/Au-Bon-Graillou-157630230940966/</t>
  </si>
  <si>
    <t xml:space="preserve">Au Buron</t>
  </si>
  <si>
    <t xml:space="preserve">Régionale / terroir</t>
  </si>
  <si>
    <t xml:space="preserve">05 61 22 14 65</t>
  </si>
  <si>
    <t xml:space="preserve">https://www.auburon.fr</t>
  </si>
  <si>
    <t xml:space="preserve">Mo-Fr 12:00-14:00,19:30-21:30; Sa 19:30-21:30</t>
  </si>
  <si>
    <t xml:space="preserve">Au Comptoir</t>
  </si>
  <si>
    <t xml:space="preserve">Au cœur de Tunis</t>
  </si>
  <si>
    <t xml:space="preserve">32 Allées Charles de Fitte</t>
  </si>
  <si>
    <t xml:space="preserve">Mo-Th 12:00-15:00, Fr 12:00-14:00, Sa,Su 12:00-22:00, Mo-Th 18:30-22:00, Fr 18:30-22:30</t>
  </si>
  <si>
    <t xml:space="preserve">Au Gascon</t>
  </si>
  <si>
    <t xml:space="preserve">Française, Régionale / terroir</t>
  </si>
  <si>
    <t xml:space="preserve">05 61 21 67 16</t>
  </si>
  <si>
    <t xml:space="preserve">https://www.restaurant-augascon-toulouse.fr/</t>
  </si>
  <si>
    <t xml:space="preserve">Mo-Sa 11:30-14:00,19:00-22:00</t>
  </si>
  <si>
    <t xml:space="preserve">Au Gourmet Vietnam</t>
  </si>
  <si>
    <t xml:space="preserve">Vietnamienne, Asiatique</t>
  </si>
  <si>
    <t xml:space="preserve">05 32 98 64 76</t>
  </si>
  <si>
    <t xml:space="preserve">https://au-gourmet-vietnam.eatbu.com</t>
  </si>
  <si>
    <t xml:space="preserve">11:30-14:00 open; Tu-Sa 18:30-21:00 "takeaway only"</t>
  </si>
  <si>
    <t xml:space="preserve">Au Jardin des Thés</t>
  </si>
  <si>
    <t xml:space="preserve">Mo-Fr 11:30-15:30; Sa 11:30-16:00; Su 11:00-16:00</t>
  </si>
  <si>
    <t xml:space="preserve">Au Pois Gourmand</t>
  </si>
  <si>
    <t xml:space="preserve">3 Rue Émile Heybrard</t>
  </si>
  <si>
    <t xml:space="preserve">31300</t>
  </si>
  <si>
    <t xml:space="preserve">05 34 36 42 00</t>
  </si>
  <si>
    <t xml:space="preserve">https://pois-gourmand.fr/</t>
  </si>
  <si>
    <t xml:space="preserve">Mo-Sa 19:30-21:30, Mo-Fr 12:00-13:30</t>
  </si>
  <si>
    <t xml:space="preserve">Au Vieux Pékin</t>
  </si>
  <si>
    <t xml:space="preserve">Chinoise</t>
  </si>
  <si>
    <t xml:space="preserve">09 83 52 51 50</t>
  </si>
  <si>
    <t xml:space="preserve">http://www.auvieuxpekin.fr</t>
  </si>
  <si>
    <t xml:space="preserve">Autour de Pizz'</t>
  </si>
  <si>
    <t xml:space="preserve">1 Rue de Carcassonne</t>
  </si>
  <si>
    <t xml:space="preserve">05 61 80 28 62</t>
  </si>
  <si>
    <t xml:space="preserve">https://autour-de-pizz.metro.rest</t>
  </si>
  <si>
    <t xml:space="preserve">Aux 3 Elephants</t>
  </si>
  <si>
    <t xml:space="preserve">Aux Délices D'Ailleurs</t>
  </si>
  <si>
    <t xml:space="preserve">2 Rue Paul Rocache</t>
  </si>
  <si>
    <t xml:space="preserve">05 61 44 16 56</t>
  </si>
  <si>
    <t xml:space="preserve">Aux Pieds Sous La Table</t>
  </si>
  <si>
    <t xml:space="preserve">05 67 11 01 72</t>
  </si>
  <si>
    <t xml:space="preserve">https://auxpiedssouslatable.fr</t>
  </si>
  <si>
    <t xml:space="preserve">Mo-Fr 12:00-14:00,19:15-22:00; Sa 19:15-22:00</t>
  </si>
  <si>
    <t xml:space="preserve">Avem Grill</t>
  </si>
  <si>
    <t xml:space="preserve">Poulet</t>
  </si>
  <si>
    <t xml:space="preserve">açai</t>
  </si>
  <si>
    <t xml:space="preserve">Poké, Salades, Sandwicherie, Smoothies</t>
  </si>
  <si>
    <t xml:space="preserve">20 Rue d'Aubuisson</t>
  </si>
  <si>
    <t xml:space="preserve">https://www.acairestaurant.com/</t>
  </si>
  <si>
    <t xml:space="preserve">Mo-Su 11:00-15:00; Th,Fr 11:00-22:00</t>
  </si>
  <si>
    <t xml:space="preserve">B06</t>
  </si>
  <si>
    <t xml:space="preserve">16 Rue Paulin Talabot</t>
  </si>
  <si>
    <t xml:space="preserve">Baan Siam</t>
  </si>
  <si>
    <t xml:space="preserve">http://www.baan.fr/</t>
  </si>
  <si>
    <t xml:space="preserve">Mo-Sa 11:30-14:00,19:30-23:00</t>
  </si>
  <si>
    <t xml:space="preserve">Baba canteen</t>
  </si>
  <si>
    <t xml:space="preserve">Libanaise</t>
  </si>
  <si>
    <t xml:space="preserve">https://babacanteen.com/</t>
  </si>
  <si>
    <t xml:space="preserve">We-Fr 08:30-16:30; Sa,Su 10:00-16:00</t>
  </si>
  <si>
    <t xml:space="preserve">Banh mi</t>
  </si>
  <si>
    <t xml:space="preserve">Asiatique, Vietnamienne</t>
  </si>
  <si>
    <t xml:space="preserve">09 86 42 26 69</t>
  </si>
  <si>
    <t xml:space="preserve">https://www.banhmiviet-tls.fr/</t>
  </si>
  <si>
    <t xml:space="preserve">Mo-Sa 11:30-14:00,19:00-21:00</t>
  </si>
  <si>
    <t xml:space="preserve">Bao House</t>
  </si>
  <si>
    <t xml:space="preserve">https://www.bao-house.fr/</t>
  </si>
  <si>
    <t xml:space="preserve">Mo-Su,PH 10:30-23:00</t>
  </si>
  <si>
    <t xml:space="preserve">Bar à la Une</t>
  </si>
  <si>
    <t xml:space="preserve">1 Chemin Cassaing</t>
  </si>
  <si>
    <t xml:space="preserve">05 34 25 78 94</t>
  </si>
  <si>
    <t xml:space="preserve">https://alaunefamily.com/bar-a-la-une/</t>
  </si>
  <si>
    <t xml:space="preserve">Tu-Fr 12:00-14:00</t>
  </si>
  <si>
    <t xml:space="preserve">Barbaque</t>
  </si>
  <si>
    <t xml:space="preserve">https://www.facebook.com/Barbaque-107036844371386/</t>
  </si>
  <si>
    <t xml:space="preserve">Barricot</t>
  </si>
  <si>
    <t xml:space="preserve">Produits locaux</t>
  </si>
  <si>
    <t xml:space="preserve">05 61 11 09 38</t>
  </si>
  <si>
    <t xml:space="preserve">https://www.barricot.fr/</t>
  </si>
  <si>
    <t xml:space="preserve">Mo-Fr 12:00-14:00,19:00-22:00; Su 11:30-14:00</t>
  </si>
  <si>
    <t xml:space="preserve">Basso Com'pôtes</t>
  </si>
  <si>
    <t xml:space="preserve">17 Paulin Talabot</t>
  </si>
  <si>
    <t xml:space="preserve">06 35 22 19 64</t>
  </si>
  <si>
    <t xml:space="preserve">https://bassocompotes.fr/</t>
  </si>
  <si>
    <t xml:space="preserve">Mo-Fr 11:30-14:30</t>
  </si>
  <si>
    <t xml:space="preserve">Becco</t>
  </si>
  <si>
    <t xml:space="preserve">Beldi Fusion</t>
  </si>
  <si>
    <t xml:space="preserve">Marocaine</t>
  </si>
  <si>
    <t xml:space="preserve">43 Avenue de Muret</t>
  </si>
  <si>
    <t xml:space="preserve">06 75 30 96 49</t>
  </si>
  <si>
    <t xml:space="preserve">https://beldifusion.fr/</t>
  </si>
  <si>
    <t xml:space="preserve">Mo-Su 09:00-23:30</t>
  </si>
  <si>
    <t xml:space="preserve">Bellini</t>
  </si>
  <si>
    <t xml:space="preserve">Italienne, Pizza</t>
  </si>
  <si>
    <t xml:space="preserve">05 61 21 34 08</t>
  </si>
  <si>
    <t xml:space="preserve">https://www.pizzeriabellini.fr/</t>
  </si>
  <si>
    <t xml:space="preserve">Mo-Su 12:00-22:30</t>
  </si>
  <si>
    <t xml:space="preserve">Bellocq</t>
  </si>
  <si>
    <t xml:space="preserve">05 61 21 24 87</t>
  </si>
  <si>
    <t xml:space="preserve">https://www.bellocq.eu/</t>
  </si>
  <si>
    <t xml:space="preserve">Fr-Su 11:00-14:00</t>
  </si>
  <si>
    <t xml:space="preserve">Bep Chay</t>
  </si>
  <si>
    <t xml:space="preserve">05 61 32 02 72</t>
  </si>
  <si>
    <t xml:space="preserve">https://bep-chay.com</t>
  </si>
  <si>
    <t xml:space="preserve">Tu-Th, Sa 12:00-14:30, 19:00-22:30; Fr 12:00-14:30, 19:30-22:30</t>
  </si>
  <si>
    <t xml:space="preserve">Best wok &amp; poke</t>
  </si>
  <si>
    <t xml:space="preserve">Mo-Su 10:30-15:00,18:00-23:30</t>
  </si>
  <si>
    <t xml:space="preserve">Biergarten Purpan</t>
  </si>
  <si>
    <t xml:space="preserve">https://lebiergarten-purpan.fr/</t>
  </si>
  <si>
    <t xml:space="preserve">Bimi Sushi &amp; poke ball</t>
  </si>
  <si>
    <t xml:space="preserve">Sushi</t>
  </si>
  <si>
    <t xml:space="preserve">05 32 98 64 07</t>
  </si>
  <si>
    <t xml:space="preserve">https://www.thefork.fr/restaurant/bimi-sushi-r818069</t>
  </si>
  <si>
    <t xml:space="preserve">Mo-Sa 11:00-14:00, 18:00-22:00</t>
  </si>
  <si>
    <t xml:space="preserve">Binaire</t>
  </si>
  <si>
    <t xml:space="preserve">41 Avenue Jules Julien</t>
  </si>
  <si>
    <t xml:space="preserve">05 61 25 25 89</t>
  </si>
  <si>
    <t xml:space="preserve">http://www.restaurant-binaire.fr/</t>
  </si>
  <si>
    <t xml:space="preserve">Mo-Fr 07:30-15:00</t>
  </si>
  <si>
    <t xml:space="preserve">Bistro des Carmes</t>
  </si>
  <si>
    <t xml:space="preserve">05 62 17 70 14</t>
  </si>
  <si>
    <t xml:space="preserve">Bistro Garonne</t>
  </si>
  <si>
    <t xml:space="preserve">https://www.theatregaronne.com/information/bistro-garonne</t>
  </si>
  <si>
    <t xml:space="preserve">May-Sep Mo-Fr 16:00-00:00</t>
  </si>
  <si>
    <t xml:space="preserve">Bistro Régent</t>
  </si>
  <si>
    <t xml:space="preserve">Grill / viandes, Française</t>
  </si>
  <si>
    <t xml:space="preserve">https://www.bistro-regent.fr</t>
  </si>
  <si>
    <t xml:space="preserve">Su-We 11:45-14:30,18:45-22:45; Th 11:45-14:30,18:45-23:00; Fr,Sa 11:45-14:30,18:45-23:15</t>
  </si>
  <si>
    <t xml:space="preserve">2 Place Marcel Bouilloux-Lafont</t>
  </si>
  <si>
    <t xml:space="preserve">05 62 75 60 12</t>
  </si>
  <si>
    <t xml:space="preserve">https://www.bistro-regent.fr/montaudran/</t>
  </si>
  <si>
    <t xml:space="preserve">Su-We 11:15-14:30,18:45-22:45; Th 11:45-14:30,18:45-23:00; Fr,Sa 11:45-14:30,18:45-23:15</t>
  </si>
  <si>
    <t xml:space="preserve">Bistrot August</t>
  </si>
  <si>
    <t xml:space="preserve">Bistrot de l'Etoile</t>
  </si>
  <si>
    <t xml:space="preserve">05 61 63 13 43</t>
  </si>
  <si>
    <t xml:space="preserve">https://www.bistrotdeletoile.fr/</t>
  </si>
  <si>
    <t xml:space="preserve">Sa 19:30-22:30; Mo-Fr 12:00-13:45,19:30-22:00; Su off</t>
  </si>
  <si>
    <t xml:space="preserve">Bistrot Galien</t>
  </si>
  <si>
    <t xml:space="preserve">6 Place Dominique Martin Dupuy</t>
  </si>
  <si>
    <t xml:space="preserve">05 61 80 22 23</t>
  </si>
  <si>
    <t xml:space="preserve">Mo-We 08:00-24:00, Th-Sa 08:00-01:00, Su 09:00-17:00</t>
  </si>
  <si>
    <t xml:space="preserve">Blanquette</t>
  </si>
  <si>
    <t xml:space="preserve">Mo-Su 08:00-02:00</t>
  </si>
  <si>
    <t xml:space="preserve">Blok Resto</t>
  </si>
  <si>
    <t xml:space="preserve">Pâtes, Pizza, Poisson, Tapas, Salades, Barbecue</t>
  </si>
  <si>
    <t xml:space="preserve">2 Rue René Cornemont</t>
  </si>
  <si>
    <t xml:space="preserve">05 34 65 60 91</t>
  </si>
  <si>
    <t xml:space="preserve">https://leblok31.com/restaurant/</t>
  </si>
  <si>
    <t xml:space="preserve">Mo-Fr 11:00-14:00</t>
  </si>
  <si>
    <t xml:space="preserve">Bocados</t>
  </si>
  <si>
    <t xml:space="preserve">Tapas, Espagnole</t>
  </si>
  <si>
    <t xml:space="preserve">Mo-Su 19:00-23:00</t>
  </si>
  <si>
    <t xml:space="preserve">Boli Cafe</t>
  </si>
  <si>
    <t xml:space="preserve">Coréenne</t>
  </si>
  <si>
    <t xml:space="preserve">09 50 30 81 41</t>
  </si>
  <si>
    <t xml:space="preserve">Mo-Sa 12:00-14:00; Mo-Fr 19:00-21:30; Sa 19:00-22:00</t>
  </si>
  <si>
    <t xml:space="preserve">Bonbonne</t>
  </si>
  <si>
    <t xml:space="preserve">05 62 85 22 62</t>
  </si>
  <si>
    <t xml:space="preserve">Mo 10:00-16:00; Tu-Sa 10:00-19:00</t>
  </si>
  <si>
    <t xml:space="preserve">Bongkok Bol</t>
  </si>
  <si>
    <t xml:space="preserve">221 Avenue de Fronton</t>
  </si>
  <si>
    <t xml:space="preserve">32100</t>
  </si>
  <si>
    <t xml:space="preserve">09 50 55 34 32</t>
  </si>
  <si>
    <t xml:space="preserve">http://bangkok-bol.fr/</t>
  </si>
  <si>
    <t xml:space="preserve">Tu-Sa 11:45-14:00, 18:00-23:00; Su 18:00-23:00</t>
  </si>
  <si>
    <t xml:space="preserve">Borriquito Loco</t>
  </si>
  <si>
    <t xml:space="preserve">Rue des Paradoux</t>
  </si>
  <si>
    <t xml:space="preserve">05 61 25 34 54</t>
  </si>
  <si>
    <t xml:space="preserve">http://www.restaurant-borriquito.com/</t>
  </si>
  <si>
    <t xml:space="preserve">Tu-Fr 19:00-02:00,Sa 19:30-03:00</t>
  </si>
  <si>
    <t xml:space="preserve">Bossa Nova</t>
  </si>
  <si>
    <t xml:space="preserve">Brésilienne</t>
  </si>
  <si>
    <t xml:space="preserve">1 bis Rue du May</t>
  </si>
  <si>
    <t xml:space="preserve">05 67 68 64 79</t>
  </si>
  <si>
    <t xml:space="preserve">Tu-Sa 12:00-14:00, 19:00-22:00; Su,Mo off</t>
  </si>
  <si>
    <t xml:space="preserve">Boulangerie Patisserie</t>
  </si>
  <si>
    <t xml:space="preserve">Boulevard 36</t>
  </si>
  <si>
    <t xml:space="preserve">Mo-Su 08:00-22:30</t>
  </si>
  <si>
    <t xml:space="preserve">Bowling de Gramont</t>
  </si>
  <si>
    <t xml:space="preserve">05 61 26 18 67</t>
  </si>
  <si>
    <t xml:space="preserve">Mo-Th 10:00-02:00; Fr-Sa 10:00-03:00; Su 10:00-02:00</t>
  </si>
  <si>
    <t xml:space="preserve">Brasserie des Beaux-Arts</t>
  </si>
  <si>
    <t xml:space="preserve">05 61 21 12 12</t>
  </si>
  <si>
    <t xml:space="preserve">https://brasserielesbeauxarts.fr/</t>
  </si>
  <si>
    <t xml:space="preserve">Mo-Su 12:00-14:30, 19:00-22:30</t>
  </si>
  <si>
    <t xml:space="preserve">Brasserie du Fauboug Saint-Simon</t>
  </si>
  <si>
    <t xml:space="preserve">Mo-Sa 12:00-14:00</t>
  </si>
  <si>
    <t xml:space="preserve">Brasserie Le Capoul</t>
  </si>
  <si>
    <t xml:space="preserve">13 Place du Président Wilson</t>
  </si>
  <si>
    <t xml:space="preserve">05 61 21 08 27</t>
  </si>
  <si>
    <t xml:space="preserve">http://www.capoul.com/brasserie/</t>
  </si>
  <si>
    <t xml:space="preserve">Mo-Su 08:00-23:00</t>
  </si>
  <si>
    <t xml:space="preserve">Brasserie Les Frangins</t>
  </si>
  <si>
    <t xml:space="preserve">7 Chemin des Silos</t>
  </si>
  <si>
    <t xml:space="preserve">05 67 16 66 47</t>
  </si>
  <si>
    <t xml:space="preserve">http://www.brasserielesfrangins.fr/</t>
  </si>
  <si>
    <t xml:space="preserve">Mo-Su 11:45-14:30</t>
  </si>
  <si>
    <t xml:space="preserve">Brasserie Toulousaine</t>
  </si>
  <si>
    <t xml:space="preserve">Brasserie</t>
  </si>
  <si>
    <t xml:space="preserve">Buffet Himalaya</t>
  </si>
  <si>
    <t xml:space="preserve">Mo 11:30-15:00; Tu-Th 11:30-15:00,18:30-21:30; Fr,Sa 11:30-15:00,18:00-22:00</t>
  </si>
  <si>
    <t xml:space="preserve">Burger'n'Co St Aubin</t>
  </si>
  <si>
    <t xml:space="preserve">Burger</t>
  </si>
  <si>
    <t xml:space="preserve">07 56 79 72 16</t>
  </si>
  <si>
    <t xml:space="preserve">https://www.burgernco.fr</t>
  </si>
  <si>
    <t xml:space="preserve">Mo-Su 11:45-14:30,19:00-22:30</t>
  </si>
  <si>
    <t xml:space="preserve">Byblos</t>
  </si>
  <si>
    <t xml:space="preserve">6 Place du Président Wilson</t>
  </si>
  <si>
    <t xml:space="preserve">05 31 22 06 07</t>
  </si>
  <si>
    <t xml:space="preserve">Mo-Su 11:30-15:00, 18:30-22:00</t>
  </si>
  <si>
    <t xml:space="preserve">Bàcaro</t>
  </si>
  <si>
    <t xml:space="preserve">06 84 58 30 80</t>
  </si>
  <si>
    <t xml:space="preserve">http://bacaro-toulouse.fr/</t>
  </si>
  <si>
    <t xml:space="preserve">Bâtiment 49 - Restaurant</t>
  </si>
  <si>
    <t xml:space="preserve">Bâtiment T</t>
  </si>
  <si>
    <t xml:space="preserve">Mo-Fr 11:30-14:00</t>
  </si>
  <si>
    <t xml:space="preserve">Bûn Viêt</t>
  </si>
  <si>
    <t xml:space="preserve">10 Place Occitane</t>
  </si>
  <si>
    <t xml:space="preserve">05 62 30 98 55</t>
  </si>
  <si>
    <t xml:space="preserve">Mo 11:00-14:30; Tu-Sa 11:00-14:30,18:00-21:30</t>
  </si>
  <si>
    <t xml:space="preserve">Cafet’ Arum</t>
  </si>
  <si>
    <t xml:space="preserve">Sandwicherie, Salades</t>
  </si>
  <si>
    <t xml:space="preserve">5 Allée Antonio Machado</t>
  </si>
  <si>
    <t xml:space="preserve">31058</t>
  </si>
  <si>
    <t xml:space="preserve">https://www.crous-toulouse.fr/restaurant/cafet-arum/</t>
  </si>
  <si>
    <t xml:space="preserve">08:00-15:00</t>
  </si>
  <si>
    <t xml:space="preserve">Café Baronie</t>
  </si>
  <si>
    <t xml:space="preserve">Café Chouchou</t>
  </si>
  <si>
    <t xml:space="preserve">09 70 38 62 21</t>
  </si>
  <si>
    <t xml:space="preserve">https://www.cafe-chouchou.fr/</t>
  </si>
  <si>
    <t xml:space="preserve">Mo-Sa 12:00-24:00</t>
  </si>
  <si>
    <t xml:space="preserve">Café de la Bourse</t>
  </si>
  <si>
    <t xml:space="preserve">Française, Libanaise</t>
  </si>
  <si>
    <t xml:space="preserve">Tu-Sa 10:00-00:00</t>
  </si>
  <si>
    <t xml:space="preserve">Café Francis</t>
  </si>
  <si>
    <t xml:space="preserve">181 avenue des états unis</t>
  </si>
  <si>
    <t xml:space="preserve">05 61 47 02 09</t>
  </si>
  <si>
    <t xml:space="preserve">Café Italien</t>
  </si>
  <si>
    <t xml:space="preserve">05 61 25 08 63</t>
  </si>
  <si>
    <t xml:space="preserve">Café Manine</t>
  </si>
  <si>
    <t xml:space="preserve">17 Place Roguet</t>
  </si>
  <si>
    <t xml:space="preserve">09 52 48 94 08</t>
  </si>
  <si>
    <t xml:space="preserve">Mo-Fr, Su 08:30-01:30; Sa 08:30-02:30</t>
  </si>
  <si>
    <t xml:space="preserve">Café Maurice</t>
  </si>
  <si>
    <t xml:space="preserve">Café Oz</t>
  </si>
  <si>
    <t xml:space="preserve">1 Rue Gabriel Péri</t>
  </si>
  <si>
    <t xml:space="preserve">05 34 67 55 38</t>
  </si>
  <si>
    <t xml:space="preserve">https://cafe-oz.com/toulouse.html</t>
  </si>
  <si>
    <t xml:space="preserve">Su-We 17:00-03:00; Th-Sa 17:00-05:00</t>
  </si>
  <si>
    <t xml:space="preserve">Café Triplette</t>
  </si>
  <si>
    <t xml:space="preserve">7 Place Saint-Sernin</t>
  </si>
  <si>
    <t xml:space="preserve">05 34 66 87 54</t>
  </si>
  <si>
    <t xml:space="preserve">Mo-Sa 10:00-02:00</t>
  </si>
  <si>
    <t xml:space="preserve">Café à la Une</t>
  </si>
  <si>
    <t xml:space="preserve">05 61 58 43 24</t>
  </si>
  <si>
    <t xml:space="preserve">https://www.cafealaune.fr/</t>
  </si>
  <si>
    <t xml:space="preserve">Mo-Sa 12:00-14:00, We-Sa 20:00-23:00, Mo-Tu 20:00-23:00 "summer"</t>
  </si>
  <si>
    <t xml:space="preserve">Café-Restaurant culturel occitan La Topina</t>
  </si>
  <si>
    <t xml:space="preserve">Place Lange</t>
  </si>
  <si>
    <t xml:space="preserve">06 15 32 34 73</t>
  </si>
  <si>
    <t xml:space="preserve">https://latopina.com/</t>
  </si>
  <si>
    <t xml:space="preserve">We-Sa 10:00-15:00,18:00-23:00</t>
  </si>
  <si>
    <t xml:space="preserve">Cama'Or</t>
  </si>
  <si>
    <t xml:space="preserve">05 31 61 35 66</t>
  </si>
  <si>
    <t xml:space="preserve">https://camaor-restaurant.eatbu.com/?lang=fr</t>
  </si>
  <si>
    <t xml:space="preserve">Mo-Fr 12:00-14:00; Sa,Su,PH off</t>
  </si>
  <si>
    <t xml:space="preserve">Camille's</t>
  </si>
  <si>
    <t xml:space="preserve">Petit-déjeuner, Brunch</t>
  </si>
  <si>
    <t xml:space="preserve">We-Sa 08:00-17:00</t>
  </si>
  <si>
    <t xml:space="preserve">Caminito</t>
  </si>
  <si>
    <t xml:space="preserve">Argentine</t>
  </si>
  <si>
    <t xml:space="preserve">3 Rue des Gestes</t>
  </si>
  <si>
    <t xml:space="preserve">05 61 23 51 74</t>
  </si>
  <si>
    <t xml:space="preserve">https://caminito-toulouse.fr/</t>
  </si>
  <si>
    <t xml:space="preserve">Mo-Fr 12:00-15:00, 19:00-23:30; Sa 12:00-23:30</t>
  </si>
  <si>
    <t xml:space="preserve">Campagne</t>
  </si>
  <si>
    <t xml:space="preserve">05 62 17 05 92</t>
  </si>
  <si>
    <t xml:space="preserve">https://campagnetoulouse.fr/</t>
  </si>
  <si>
    <t xml:space="preserve">Tu-Sa 12:00-14:00,19:00-22:00</t>
  </si>
  <si>
    <t xml:space="preserve">Cantine &amp; Gamelle</t>
  </si>
  <si>
    <t xml:space="preserve">Mo-Fr 08:00-15:00</t>
  </si>
  <si>
    <t xml:space="preserve">14 Rue Claude-Marie Perroud</t>
  </si>
  <si>
    <t xml:space="preserve">05 61 16 67 22</t>
  </si>
  <si>
    <t xml:space="preserve">Mo-Tu 08:00-15:00,19:00-21:00; Fr 08:00-15:00</t>
  </si>
  <si>
    <t xml:space="preserve">Cantine de Fred</t>
  </si>
  <si>
    <t xml:space="preserve">Française, Internationale</t>
  </si>
  <si>
    <t xml:space="preserve">Cantine Mirail</t>
  </si>
  <si>
    <t xml:space="preserve">Caracas</t>
  </si>
  <si>
    <t xml:space="preserve">Vénézuélienne, Sud-américaine</t>
  </si>
  <si>
    <t xml:space="preserve">9 Avenue de Castres</t>
  </si>
  <si>
    <t xml:space="preserve">05 67 00 68 04</t>
  </si>
  <si>
    <t xml:space="preserve">https://caracas-toulouse.com/</t>
  </si>
  <si>
    <t xml:space="preserve">We-Fr 12:00-14:00; Tu-Sa 19:30-22:00</t>
  </si>
  <si>
    <t xml:space="preserve">Carné - comptoir à viandes</t>
  </si>
  <si>
    <t xml:space="preserve">Basque</t>
  </si>
  <si>
    <t xml:space="preserve">Carthel</t>
  </si>
  <si>
    <t xml:space="preserve">Française, Cocktails, Tapas, Brunch</t>
  </si>
  <si>
    <t xml:space="preserve">05 62 12 90 97</t>
  </si>
  <si>
    <t xml:space="preserve">https://restaurant-carthel.com/</t>
  </si>
  <si>
    <t xml:space="preserve">Tu-We 12:00-14:00,17:00-23:30; Th 12:00-14:00,17:00-24:00; Fr 12:00-14:00,17:00-02:00; Sa 12:00-15:00,17:00-02:00</t>
  </si>
  <si>
    <t xml:space="preserve">Casa Bomba</t>
  </si>
  <si>
    <t xml:space="preserve">https://www.casabomba.fr/</t>
  </si>
  <si>
    <t xml:space="preserve">Tu-Sa 11:30-22:00</t>
  </si>
  <si>
    <t xml:space="preserve">Casa Dupuy</t>
  </si>
  <si>
    <t xml:space="preserve">Internationale</t>
  </si>
  <si>
    <t xml:space="preserve">Casa Natachou</t>
  </si>
  <si>
    <t xml:space="preserve">Antillaise</t>
  </si>
  <si>
    <t xml:space="preserve">05 62 88 04 26</t>
  </si>
  <si>
    <t xml:space="preserve">https://casanatachoutoulouse.cafecityguide.website/</t>
  </si>
  <si>
    <t xml:space="preserve">Catxo</t>
  </si>
  <si>
    <t xml:space="preserve">05 61 32 17 89</t>
  </si>
  <si>
    <t xml:space="preserve">https://www.catxo-restaurant.com/</t>
  </si>
  <si>
    <t xml:space="preserve">Champêtre</t>
  </si>
  <si>
    <t xml:space="preserve">Fr,Sa 12:00-14:00,19:00-23:00; Th 12:00-14:00,19:00-22:00; Tu,We 12:00-14:00</t>
  </si>
  <si>
    <t xml:space="preserve">Chef Chuan</t>
  </si>
  <si>
    <t xml:space="preserve">Sichuanaise, Chinoise</t>
  </si>
  <si>
    <t xml:space="preserve">05 61 51 97 29</t>
  </si>
  <si>
    <t xml:space="preserve">https://www.chefchuan.fr/</t>
  </si>
  <si>
    <t xml:space="preserve">Mo-Su 11:30-14:30, 18:00-22:00</t>
  </si>
  <si>
    <t xml:space="preserve">Chez Alex</t>
  </si>
  <si>
    <t xml:space="preserve">Pizza, Poulet</t>
  </si>
  <si>
    <t xml:space="preserve">Chez Attila</t>
  </si>
  <si>
    <t xml:space="preserve">05 61 29 83 59</t>
  </si>
  <si>
    <t xml:space="preserve">Chez Bobonne</t>
  </si>
  <si>
    <t xml:space="preserve">05 61 13 70 02</t>
  </si>
  <si>
    <t xml:space="preserve">https://www.chezbobonne.fr/</t>
  </si>
  <si>
    <t xml:space="preserve">Mo-Th 10:30-22:30; Fr,Sa 10:30-23:00; Su 10:30-16:30</t>
  </si>
  <si>
    <t xml:space="preserve">Chez Carmen</t>
  </si>
  <si>
    <t xml:space="preserve">14 Avenue Maurice Hauriou</t>
  </si>
  <si>
    <t xml:space="preserve">05 61 42 04 95</t>
  </si>
  <si>
    <t xml:space="preserve">https://www.chezcarmen.fr/lerestaurant</t>
  </si>
  <si>
    <t xml:space="preserve">Tu-Sa 12:00-14:00,19:30-22:00</t>
  </si>
  <si>
    <t xml:space="preserve">Chez Casi</t>
  </si>
  <si>
    <t xml:space="preserve">05 61 12 04 48</t>
  </si>
  <si>
    <t xml:space="preserve">https://www.chezcasi.fr/</t>
  </si>
  <si>
    <t xml:space="preserve">Chez Ernest</t>
  </si>
  <si>
    <t xml:space="preserve">Chez Gardel</t>
  </si>
  <si>
    <t xml:space="preserve">https://chezgardel.fr/</t>
  </si>
  <si>
    <t xml:space="preserve">We-Sa 12:00-15:00,20:00-23:00</t>
  </si>
  <si>
    <t xml:space="preserve">Chez Hippolyte</t>
  </si>
  <si>
    <t xml:space="preserve">Mo,Th-Sa 11:00-14:00,18:00-22:30; Su 18:00-22:30</t>
  </si>
  <si>
    <t xml:space="preserve">Chez Histor</t>
  </si>
  <si>
    <t xml:space="preserve">27 Rue des Paradoux</t>
  </si>
  <si>
    <t xml:space="preserve">06 52 98 29 03</t>
  </si>
  <si>
    <t xml:space="preserve">Tu-Fr 12:00-02:00, Sa 12:00-03:00</t>
  </si>
  <si>
    <t xml:space="preserve">Chez Hong</t>
  </si>
  <si>
    <t xml:space="preserve">Chez Huguette</t>
  </si>
  <si>
    <t xml:space="preserve">15 Place du Président Wilson</t>
  </si>
  <si>
    <t xml:space="preserve">05 61 23 07 17</t>
  </si>
  <si>
    <t xml:space="preserve">http://huguettecafecantine.com/</t>
  </si>
  <si>
    <t xml:space="preserve">Mo-Su 11:00-23:00</t>
  </si>
  <si>
    <t xml:space="preserve">Chez Ines</t>
  </si>
  <si>
    <t xml:space="preserve">09 85 02 12 87</t>
  </si>
  <si>
    <t xml:space="preserve">https://restaurant-toulouse-chez-ines.fr/</t>
  </si>
  <si>
    <t xml:space="preserve">Mo-Fr 12:00-14:00, 19:00-22:00</t>
  </si>
  <si>
    <t xml:space="preserve">Chez Ingalls</t>
  </si>
  <si>
    <t xml:space="preserve">164 Route de Revel</t>
  </si>
  <si>
    <t xml:space="preserve">05 62 47 14 71</t>
  </si>
  <si>
    <t xml:space="preserve">http://www.chezingalls.com</t>
  </si>
  <si>
    <t xml:space="preserve">Chez Jazz</t>
  </si>
  <si>
    <t xml:space="preserve">07 82 86 13 77</t>
  </si>
  <si>
    <t xml:space="preserve">Mo-Su 11:00-24:00</t>
  </si>
  <si>
    <t xml:space="preserve">Chez Jean &amp; Gabi</t>
  </si>
  <si>
    <t xml:space="preserve">07 81 03 59 38</t>
  </si>
  <si>
    <t xml:space="preserve">https://www.chezjeanetgabi-restaurant.com/</t>
  </si>
  <si>
    <t xml:space="preserve">Mo-We 12:00-15:00; Th-Fr 12:00-15:00,20:00-22:00</t>
  </si>
  <si>
    <t xml:space="preserve">Chez Jeannot</t>
  </si>
  <si>
    <t xml:space="preserve">1 Rue de Bayard</t>
  </si>
  <si>
    <t xml:space="preserve">05 61 62 43 46</t>
  </si>
  <si>
    <t xml:space="preserve">https://www.chezjeannot-restaurant.fr/</t>
  </si>
  <si>
    <t xml:space="preserve">Mo 12:00-14:00; Tu-Th 12:00-14:00,19:00-22:00; Fr-Sa 12:00-14:30,19:00-22:30; Su off</t>
  </si>
  <si>
    <t xml:space="preserve">Chez les Potes</t>
  </si>
  <si>
    <t xml:space="preserve">05 61 47 30 77</t>
  </si>
  <si>
    <t xml:space="preserve">https://chezlespotes.com</t>
  </si>
  <si>
    <t xml:space="preserve">Mo-Fr 08:00-14:30,17:00-23:30; Sa-Su 10:00-17:00</t>
  </si>
  <si>
    <t xml:space="preserve">Chez Lilly</t>
  </si>
  <si>
    <t xml:space="preserve">05 31 61 46 31</t>
  </si>
  <si>
    <t xml:space="preserve">Mo,Th 12:00-14:00,19:00-21:30; Fr 12:00-14:00,19:00-22:30; Sa 12:00-14:30,19:00-22:30; Su 12:00-14:30,19:00-21:30</t>
  </si>
  <si>
    <t xml:space="preserve">Chez Loustic</t>
  </si>
  <si>
    <t xml:space="preserve">Tu-Fr 12:00-13:30,19:30-21:30; Sa 12:00-14:00</t>
  </si>
  <si>
    <t xml:space="preserve">Chez Magda</t>
  </si>
  <si>
    <t xml:space="preserve">https://www.chezmagda.fr/</t>
  </si>
  <si>
    <t xml:space="preserve">Chez Marcel</t>
  </si>
  <si>
    <t xml:space="preserve">05 61 12 04 17</t>
  </si>
  <si>
    <t xml:space="preserve">https://www.chezmarcel.fr/</t>
  </si>
  <si>
    <t xml:space="preserve">Mo-Sa 07:30-20:00</t>
  </si>
  <si>
    <t xml:space="preserve">190 Avenue de Castres</t>
  </si>
  <si>
    <t xml:space="preserve">Mo-Sa 09:00-15:30</t>
  </si>
  <si>
    <t xml:space="preserve">Chez Marco</t>
  </si>
  <si>
    <t xml:space="preserve">Chez Molly</t>
  </si>
  <si>
    <t xml:space="preserve">05 61 20 20 70</t>
  </si>
  <si>
    <t xml:space="preserve">https://chezmolly.fr/</t>
  </si>
  <si>
    <t xml:space="preserve">Mo-Fr, Su 10:00-02:00; Sa 10:00-03:00</t>
  </si>
  <si>
    <t xml:space="preserve">Chez Moustache</t>
  </si>
  <si>
    <t xml:space="preserve">Chez Navarre</t>
  </si>
  <si>
    <t xml:space="preserve">05 62 26 43 06</t>
  </si>
  <si>
    <t xml:space="preserve">https://www.chez-navarre.fr/</t>
  </si>
  <si>
    <t xml:space="preserve">Mo-Sa 12:00-14:00,19:30-22:00</t>
  </si>
  <si>
    <t xml:space="preserve">Chez Nicô</t>
  </si>
  <si>
    <t xml:space="preserve">Chez nous les Libanais</t>
  </si>
  <si>
    <t xml:space="preserve">07 67 03 96 03</t>
  </si>
  <si>
    <t xml:space="preserve">Mo-Su 12:00-24:00</t>
  </si>
  <si>
    <t xml:space="preserve">Chez Nòu</t>
  </si>
  <si>
    <t xml:space="preserve">Chez riz</t>
  </si>
  <si>
    <t xml:space="preserve">45 Rue Saint-Charles</t>
  </si>
  <si>
    <t xml:space="preserve">12:00-14:00,18:30-22:00</t>
  </si>
  <si>
    <t xml:space="preserve">Chez Rosa</t>
  </si>
  <si>
    <t xml:space="preserve">05 61 55 05 12</t>
  </si>
  <si>
    <t xml:space="preserve">Chez Rosine</t>
  </si>
  <si>
    <t xml:space="preserve">Espagnole</t>
  </si>
  <si>
    <t xml:space="preserve">07 78 12 00 64</t>
  </si>
  <si>
    <t xml:space="preserve">Tu-Sa 12:00-14:30,19:30-22:00; Su 12:00-15:00</t>
  </si>
  <si>
    <t xml:space="preserve">Chez Teta</t>
  </si>
  <si>
    <t xml:space="preserve">05 32 98 71 79</t>
  </si>
  <si>
    <t xml:space="preserve">https://www.chez-teta.com/</t>
  </si>
  <si>
    <t xml:space="preserve">Mo-Sa 11:30-15:00,18:00-23:00</t>
  </si>
  <si>
    <t xml:space="preserve">Chez Tran</t>
  </si>
  <si>
    <t xml:space="preserve">05 61 61 03 74</t>
  </si>
  <si>
    <t xml:space="preserve">http://www.cheztran.com</t>
  </si>
  <si>
    <t xml:space="preserve">Chiant Mai</t>
  </si>
  <si>
    <t xml:space="preserve">Mo-Sa 12:00-14:30,19:00-22:30</t>
  </si>
  <si>
    <t xml:space="preserve">Chick'n'Beef</t>
  </si>
  <si>
    <t xml:space="preserve">Su-Th 11:30-24:00, Fr 18:00-02:00, Sa 11:30-02:00</t>
  </si>
  <si>
    <t xml:space="preserve">ChongQing</t>
  </si>
  <si>
    <t xml:space="preserve">05 61 99 61 29</t>
  </si>
  <si>
    <t xml:space="preserve">Tu-Sa 11:00-14:00, 19:00-21:30</t>
  </si>
  <si>
    <t xml:space="preserve">Chou Doux</t>
  </si>
  <si>
    <t xml:space="preserve">Tu-Sa 12:00-17:30</t>
  </si>
  <si>
    <t xml:space="preserve">Chut Guinguette</t>
  </si>
  <si>
    <t xml:space="preserve">06 25 23 61 65</t>
  </si>
  <si>
    <t xml:space="preserve">https://www.chutguinguettetoulouse.fr/</t>
  </si>
  <si>
    <t xml:space="preserve">May-Sep Tu-Sa 12:00-14:30</t>
  </si>
  <si>
    <t xml:space="preserve">Chéri Chéri</t>
  </si>
  <si>
    <t xml:space="preserve">3 Rue Labéda</t>
  </si>
  <si>
    <t xml:space="preserve">https://www.cheri-cheri.fr/</t>
  </si>
  <si>
    <t xml:space="preserve">Tu-Th 12:00-14:30, 19:00-22:30; Fr 12:00-14:30, 19:00-23:00; Sa 12:00-15:00, 19:00-23:00</t>
  </si>
  <si>
    <t xml:space="preserve">Chô Chaï</t>
  </si>
  <si>
    <t xml:space="preserve">Chợ Vỉa Hè</t>
  </si>
  <si>
    <t xml:space="preserve">05 62 85 83 92</t>
  </si>
  <si>
    <t xml:space="preserve">https://www.choviahe.fr/</t>
  </si>
  <si>
    <t xml:space="preserve">Tu-Su 12:00-14:30,19:00-22:30</t>
  </si>
  <si>
    <t xml:space="preserve">Cockpit</t>
  </si>
  <si>
    <t xml:space="preserve">174 Route de Bayonne</t>
  </si>
  <si>
    <t xml:space="preserve">https://www.cockpittoulouse.com/</t>
  </si>
  <si>
    <t xml:space="preserve">Tu 12:00-15:00; We,Th,Fr 12:00-15:00,19:00-23:30</t>
  </si>
  <si>
    <t xml:space="preserve">Combustible</t>
  </si>
  <si>
    <t xml:space="preserve">Mo-Fr 12:00-14:00,19:30-22:00</t>
  </si>
  <si>
    <t xml:space="preserve">Comme en Asie</t>
  </si>
  <si>
    <t xml:space="preserve">Mo-Sa 11:00-14:30,17:30-21:30</t>
  </si>
  <si>
    <t xml:space="preserve">Complices</t>
  </si>
  <si>
    <t xml:space="preserve">Comptoir Gueuleton</t>
  </si>
  <si>
    <t xml:space="preserve">9 Rue Jacques Cujas</t>
  </si>
  <si>
    <t xml:space="preserve">We,Th 18:00-01:00,Fr 18:00-02:00,Sa 17:00-02:00,Su 17:00-01:00</t>
  </si>
  <si>
    <t xml:space="preserve">Couleur d'Italie</t>
  </si>
  <si>
    <t xml:space="preserve">10 Rue du Général Giraud</t>
  </si>
  <si>
    <t xml:space="preserve">31200</t>
  </si>
  <si>
    <t xml:space="preserve">Mo-Su 18:00-23:30</t>
  </si>
  <si>
    <t xml:space="preserve">Coup de Bambou</t>
  </si>
  <si>
    <t xml:space="preserve">Crep'zz and co</t>
  </si>
  <si>
    <t xml:space="preserve">34 Avenue de Grande Bretagne</t>
  </si>
  <si>
    <t xml:space="preserve">Tu-Su 18:30-02:00</t>
  </si>
  <si>
    <t xml:space="preserve">Croustille</t>
  </si>
  <si>
    <t xml:space="preserve">Mo-Fr 11:30-16:00; Su 10:00-14:00</t>
  </si>
  <si>
    <t xml:space="preserve">Crêp'eat</t>
  </si>
  <si>
    <t xml:space="preserve">Crêperie, Salades, Gaufres</t>
  </si>
  <si>
    <t xml:space="preserve">05 61 21 06 51</t>
  </si>
  <si>
    <t xml:space="preserve">Mo-Sa 09:00-20:00</t>
  </si>
  <si>
    <t xml:space="preserve">Crêperie de l'Écluse</t>
  </si>
  <si>
    <t xml:space="preserve">7 Allée de Brienne</t>
  </si>
  <si>
    <t xml:space="preserve">05 61 12 46 45</t>
  </si>
  <si>
    <t xml:space="preserve">Crêperie Saint-Georges</t>
  </si>
  <si>
    <t xml:space="preserve">Crêperie</t>
  </si>
  <si>
    <t xml:space="preserve">Cucina Semplice</t>
  </si>
  <si>
    <t xml:space="preserve">05 34 33 77 36</t>
  </si>
  <si>
    <t xml:space="preserve">https://www.cucinasemplice.fr/</t>
  </si>
  <si>
    <t xml:space="preserve">Tu-Th 18:00-22:30; Fr,Sa 12:00-14:00,18:30-23:30; Su 12:00-14:00,18:00-22:30</t>
  </si>
  <si>
    <t xml:space="preserve">Curry Café</t>
  </si>
  <si>
    <t xml:space="preserve">Indienne</t>
  </si>
  <si>
    <t xml:space="preserve">22 Rue Saint-Rome</t>
  </si>
  <si>
    <t xml:space="preserve">05 61 23 77 34</t>
  </si>
  <si>
    <t xml:space="preserve">https://currycafetoulouse.com/</t>
  </si>
  <si>
    <t xml:space="preserve">Cécile</t>
  </si>
  <si>
    <t xml:space="preserve">05 34 25 75 65</t>
  </si>
  <si>
    <t xml:space="preserve">https://cecile-toulouse.fr</t>
  </si>
  <si>
    <t xml:space="preserve">Tu-Sa 09:00-22:00</t>
  </si>
  <si>
    <t xml:space="preserve">Côté d'Oc</t>
  </si>
  <si>
    <t xml:space="preserve">2 Rue des Filatiers</t>
  </si>
  <si>
    <t xml:space="preserve">Côté Garonne</t>
  </si>
  <si>
    <t xml:space="preserve">8 Avenue Maurice Hauriou</t>
  </si>
  <si>
    <t xml:space="preserve">05 61 25 42 86</t>
  </si>
  <si>
    <t xml:space="preserve">https://cotegaronne-toulouse.fr/</t>
  </si>
  <si>
    <t xml:space="preserve">Mo-Th 12:00-14:15, 19:15-22:30; Fr-Sa 12:00-14:15, 19:15-23:00</t>
  </si>
  <si>
    <t xml:space="preserve">Cœur d'Amande</t>
  </si>
  <si>
    <t xml:space="preserve">05 34 42 97 15</t>
  </si>
  <si>
    <t xml:space="preserve">https://www.coeur-damande.com/</t>
  </si>
  <si>
    <t xml:space="preserve">Tu-Sa 11:00-15:00, 18:00-23:00; Su 07:00-16:00</t>
  </si>
  <si>
    <t xml:space="preserve">Daily Sushi</t>
  </si>
  <si>
    <t xml:space="preserve">109</t>
  </si>
  <si>
    <t xml:space="preserve">Dans le noir</t>
  </si>
  <si>
    <t xml:space="preserve">05 61 10 23 40</t>
  </si>
  <si>
    <t xml:space="preserve">https://toulouse.danslenoir.com/</t>
  </si>
  <si>
    <t xml:space="preserve">Th-Sa 19:00-23:00</t>
  </si>
  <si>
    <t xml:space="preserve">Dar Diaf</t>
  </si>
  <si>
    <t xml:space="preserve">05 61 53 57 69</t>
  </si>
  <si>
    <t xml:space="preserve">https://www.dardiaf.fr/</t>
  </si>
  <si>
    <t xml:space="preserve">Tu-Sa 09:30-16:00</t>
  </si>
  <si>
    <t xml:space="preserve">Dee Dee Thai Sushi</t>
  </si>
  <si>
    <t xml:space="preserve">09 72 86 37 42</t>
  </si>
  <si>
    <t xml:space="preserve">https://deedeethaisushi.metro.bar/</t>
  </si>
  <si>
    <t xml:space="preserve">Mo-Sa 10:00-21:00</t>
  </si>
  <si>
    <t xml:space="preserve">Delicosy</t>
  </si>
  <si>
    <t xml:space="preserve">Burger, Sandwicherie</t>
  </si>
  <si>
    <t xml:space="preserve">87 Boulevard de Suisse</t>
  </si>
  <si>
    <t xml:space="preserve">06 13 17 91 14</t>
  </si>
  <si>
    <t xml:space="preserve">Dicapo</t>
  </si>
  <si>
    <t xml:space="preserve">1 Place Marcel Bouilloux-Lafont</t>
  </si>
  <si>
    <t xml:space="preserve">05 61 62 72 67</t>
  </si>
  <si>
    <t xml:space="preserve">https://dicapo.fr/</t>
  </si>
  <si>
    <t xml:space="preserve">Mo-Th 12:00-14:00,18:45-21:45; Fr-Su 12:00-14:30,18:45-21:45</t>
  </si>
  <si>
    <t xml:space="preserve">Didier Daurat</t>
  </si>
  <si>
    <t xml:space="preserve">Doma</t>
  </si>
  <si>
    <t xml:space="preserve">Gastronomique, Française</t>
  </si>
  <si>
    <t xml:space="preserve">05 61 38 33 17</t>
  </si>
  <si>
    <t xml:space="preserve">https://www.doma-resto.fr/</t>
  </si>
  <si>
    <t xml:space="preserve">Tu-Sa 12:00-14:30, 19:00-22:30</t>
  </si>
  <si>
    <t xml:space="preserve">Don Pancho</t>
  </si>
  <si>
    <t xml:space="preserve">http://www.donpancho.fr/</t>
  </si>
  <si>
    <t xml:space="preserve">Mo-Sa; Sa midday off</t>
  </si>
  <si>
    <t xml:space="preserve">Don Vincenzo</t>
  </si>
  <si>
    <t xml:space="preserve">9 Rue Perchepinte</t>
  </si>
  <si>
    <t xml:space="preserve">07 68 71 13 15</t>
  </si>
  <si>
    <t xml:space="preserve">Mo-Su 11:30-14:30,18:30-23:00</t>
  </si>
  <si>
    <t xml:space="preserve">Du Plaisir à la toque</t>
  </si>
  <si>
    <t xml:space="preserve">9 Rue des Blanchers</t>
  </si>
  <si>
    <t xml:space="preserve">05 61 21 88 94</t>
  </si>
  <si>
    <t xml:space="preserve">https://www.duplaisiralatoque.fr/</t>
  </si>
  <si>
    <t xml:space="preserve">Tu-We 20:00-24:00; Th-Fr 12:00-24:00; Sa 19:30-24:00</t>
  </si>
  <si>
    <t xml:space="preserve">DUMBO</t>
  </si>
  <si>
    <t xml:space="preserve">Pizza, Régionale / terroir, Japonaise, Burger</t>
  </si>
  <si>
    <t xml:space="preserve">55 Avenue Louis Breguet</t>
  </si>
  <si>
    <t xml:space="preserve">05 32 60 03 97</t>
  </si>
  <si>
    <t xml:space="preserve">https://www.dumbo-toulouse.com/</t>
  </si>
  <si>
    <t xml:space="preserve">Tu-Sa 19:00-02:00</t>
  </si>
  <si>
    <t xml:space="preserve">Délice Saïgon</t>
  </si>
  <si>
    <t xml:space="preserve">2 Passage de Vérone</t>
  </si>
  <si>
    <t xml:space="preserve">05 34 26 35 21</t>
  </si>
  <si>
    <t xml:space="preserve">Mo-Sa 11:30-14:30, 17:30-21:00</t>
  </si>
  <si>
    <t xml:space="preserve">E-Car</t>
  </si>
  <si>
    <t xml:space="preserve">Eat salad</t>
  </si>
  <si>
    <t xml:space="preserve">Salades</t>
  </si>
  <si>
    <t xml:space="preserve">2 Rue Paul Mériel</t>
  </si>
  <si>
    <t xml:space="preserve">https://www.eatsalad.fr/</t>
  </si>
  <si>
    <t xml:space="preserve">11:30-15:00,18:30-22:30</t>
  </si>
  <si>
    <t xml:space="preserve">Eat Sushi</t>
  </si>
  <si>
    <t xml:space="preserve">Sushi, Japonaise</t>
  </si>
  <si>
    <t xml:space="preserve">05 34 46 27 59</t>
  </si>
  <si>
    <t xml:space="preserve">https://www.eatsushi.fr/nos-restaurants/toulouse-saint-cyprien</t>
  </si>
  <si>
    <t xml:space="preserve">Mo-Su 11:30-14:30, 18:00-22:30</t>
  </si>
  <si>
    <t xml:space="preserve">Echo</t>
  </si>
  <si>
    <t xml:space="preserve">05 17 82 92 60</t>
  </si>
  <si>
    <t xml:space="preserve">https://echo-toulouse.fr/</t>
  </si>
  <si>
    <t xml:space="preserve">Tu-We 12:00-14:30; Th-Sa 12:00-14:30, 19:30-22:30</t>
  </si>
  <si>
    <t xml:space="preserve">Eklo Toulouse</t>
  </si>
  <si>
    <t xml:space="preserve">05 82 95 92 31</t>
  </si>
  <si>
    <t xml:space="preserve">Mo-Fr 12:00-14:00, 19:00-22:00; Su 11:30-14:00</t>
  </si>
  <si>
    <t xml:space="preserve">EL bodegon</t>
  </si>
  <si>
    <t xml:space="preserve">09 74 73 52 34</t>
  </si>
  <si>
    <t xml:space="preserve">El Chivito</t>
  </si>
  <si>
    <t xml:space="preserve">Argentine, Mexicaine</t>
  </si>
  <si>
    <t xml:space="preserve">05 82 75 80 11</t>
  </si>
  <si>
    <t xml:space="preserve">https://elchivito.fr/</t>
  </si>
  <si>
    <t xml:space="preserve">Mo-We 19:00-23:00; Th-Fr 12:00-14:30,19:00-24:00; Sa 12:00-23:00; Su 12:00-22:30</t>
  </si>
  <si>
    <t xml:space="preserve">El Dayaa</t>
  </si>
  <si>
    <t xml:space="preserve">05 61 12 22 00</t>
  </si>
  <si>
    <t xml:space="preserve">https://eldayaa-toulouse.fr/</t>
  </si>
  <si>
    <t xml:space="preserve">Mo-Fr 12:00-24:00; Sa 12:00-01:00</t>
  </si>
  <si>
    <t xml:space="preserve">EL huacatay</t>
  </si>
  <si>
    <t xml:space="preserve">Péruvienne</t>
  </si>
  <si>
    <t xml:space="preserve">El Pescador</t>
  </si>
  <si>
    <t xml:space="preserve">05 62 27 59 99</t>
  </si>
  <si>
    <t xml:space="preserve">Mo-Sa 00:00-00:00</t>
  </si>
  <si>
    <t xml:space="preserve">El Rincón Chileno</t>
  </si>
  <si>
    <t xml:space="preserve">Chilienne</t>
  </si>
  <si>
    <t xml:space="preserve">05 61 42 09 33</t>
  </si>
  <si>
    <t xml:space="preserve">Tu-Sa 19:00-24:00</t>
  </si>
  <si>
    <t xml:space="preserve">Elissar</t>
  </si>
  <si>
    <t xml:space="preserve">Entre côtes et vins</t>
  </si>
  <si>
    <t xml:space="preserve">Grill / viandes</t>
  </si>
  <si>
    <t xml:space="preserve">https://entrecotesetvins.orderonline.fr/</t>
  </si>
  <si>
    <t xml:space="preserve">Epicuria Pizza</t>
  </si>
  <si>
    <t xml:space="preserve">2</t>
  </si>
  <si>
    <t xml:space="preserve">05 34 57 98 65</t>
  </si>
  <si>
    <t xml:space="preserve">https://epicuriapizza.fr/</t>
  </si>
  <si>
    <t xml:space="preserve">11:00-23:00</t>
  </si>
  <si>
    <t xml:space="preserve">Escale des Saveurs</t>
  </si>
  <si>
    <t xml:space="preserve">07 63 00 31 31</t>
  </si>
  <si>
    <t xml:space="preserve">https://www.facebook.com/escaledessaveurs</t>
  </si>
  <si>
    <t xml:space="preserve">Mo-Th 17:30-23:00, Fr,Sa 12:00-01:00, Su 12:00-23:00</t>
  </si>
  <si>
    <t xml:space="preserve">Faire Sens</t>
  </si>
  <si>
    <t xml:space="preserve">06 71 56 77 46</t>
  </si>
  <si>
    <t xml:space="preserve">https://fairesens-restaurant.com/</t>
  </si>
  <si>
    <t xml:space="preserve">Tu,We 18:00-01:00; Th-Sa 18:00-02:00; Su 12:00-23:00</t>
  </si>
  <si>
    <t xml:space="preserve">Fanfare</t>
  </si>
  <si>
    <t xml:space="preserve">Fast and Pizza</t>
  </si>
  <si>
    <t xml:space="preserve">1 Rue Roland Garros</t>
  </si>
  <si>
    <t xml:space="preserve">09 83 67 22 82</t>
  </si>
  <si>
    <t xml:space="preserve">http://www.fastandpizza.fr/</t>
  </si>
  <si>
    <t xml:space="preserve">Mo-Sa 11:00-14:00, 18:00-23:00; Su 18:00-23:00</t>
  </si>
  <si>
    <t xml:space="preserve">FATY Délices</t>
  </si>
  <si>
    <t xml:space="preserve">Couscous, Pâtisserie</t>
  </si>
  <si>
    <t xml:space="preserve">05 61 48 74 03</t>
  </si>
  <si>
    <t xml:space="preserve">Mo-Sa 11:00-14:00,17:00-20:00</t>
  </si>
  <si>
    <t xml:space="preserve">FFC</t>
  </si>
  <si>
    <t xml:space="preserve">75 Boulevard Lascrosses</t>
  </si>
  <si>
    <t xml:space="preserve">Flow House</t>
  </si>
  <si>
    <t xml:space="preserve">Salades, Produits locaux, Burger</t>
  </si>
  <si>
    <t xml:space="preserve">4 bis Avenue Frédéric Estèbe</t>
  </si>
  <si>
    <t xml:space="preserve">05 61 75 89 63</t>
  </si>
  <si>
    <t xml:space="preserve">https://flowhouse.fr/</t>
  </si>
  <si>
    <t xml:space="preserve">Mo-Fr 11:00-18:00</t>
  </si>
  <si>
    <t xml:space="preserve">Flunch</t>
  </si>
  <si>
    <t xml:space="preserve">36-54 Route de Bayonne</t>
  </si>
  <si>
    <t xml:space="preserve">05 61 31 80 60</t>
  </si>
  <si>
    <t xml:space="preserve">https://www.flunch.fr/restaurant/toulouse/flunch-toulouse-purpan/</t>
  </si>
  <si>
    <t xml:space="preserve">Mo-Sa 08:30-21:00; Fr 08:30-21:30; Su 11:30-14:30</t>
  </si>
  <si>
    <t xml:space="preserve">05 61 48 29 42</t>
  </si>
  <si>
    <t xml:space="preserve">https://www.flunch.fr/restaurant/toulouse/flunch-toulouse-gramont/</t>
  </si>
  <si>
    <t xml:space="preserve">Mo-Sa 11:30-21:00</t>
  </si>
  <si>
    <t xml:space="preserve">Fogo</t>
  </si>
  <si>
    <t xml:space="preserve">05 61 83 65 14</t>
  </si>
  <si>
    <t xml:space="preserve">https://fogo-toulouse.fr/</t>
  </si>
  <si>
    <t xml:space="preserve">Mo-Fr 20:00-22:30; Th, Fr 12:00-14:00</t>
  </si>
  <si>
    <t xml:space="preserve">Food land</t>
  </si>
  <si>
    <t xml:space="preserve">32 Grande Rue Saint-Michel</t>
  </si>
  <si>
    <t xml:space="preserve">Fouk-Yien</t>
  </si>
  <si>
    <t xml:space="preserve">Mo-Sa 10:30-14:00,17:30-21:00</t>
  </si>
  <si>
    <t xml:space="preserve">Fouquet's</t>
  </si>
  <si>
    <t xml:space="preserve">18 Chemin de la Loge</t>
  </si>
  <si>
    <t xml:space="preserve">05 61 33 37 77</t>
  </si>
  <si>
    <t xml:space="preserve">https://www.casinosbarriere.com/fr/toulouse/le-fouquets.html</t>
  </si>
  <si>
    <t xml:space="preserve">Francesca</t>
  </si>
  <si>
    <t xml:space="preserve">05 62 48 12 98</t>
  </si>
  <si>
    <t xml:space="preserve">https://francesca.com/fr/restaurants/francesca-toulouse</t>
  </si>
  <si>
    <t xml:space="preserve">Mo-Fr 07:00-15:00</t>
  </si>
  <si>
    <t xml:space="preserve">Fufu</t>
  </si>
  <si>
    <t xml:space="preserve">32 Rue Sainte-Ursule</t>
  </si>
  <si>
    <t xml:space="preserve">05 62 17 74 46</t>
  </si>
  <si>
    <t xml:space="preserve">https://restaurantfufu.com/</t>
  </si>
  <si>
    <t xml:space="preserve">Mo-Th 11:30-15:00,18:30-22:30; Fr 11:30-15:00,18:30-23:00; Sa 11:30-15:30,18:30-23:00; Su 11:30-15:30,18:30-22:30</t>
  </si>
  <si>
    <t xml:space="preserve">Furahaa</t>
  </si>
  <si>
    <t xml:space="preserve">Tu-Su 11:45-23:00</t>
  </si>
  <si>
    <t xml:space="preserve">Garçon Sauvage</t>
  </si>
  <si>
    <t xml:space="preserve">05 62 48 41 18</t>
  </si>
  <si>
    <t xml:space="preserve">Gaïa</t>
  </si>
  <si>
    <t xml:space="preserve">09 80 80 78 58</t>
  </si>
  <si>
    <t xml:space="preserve">https://gaia-toulouse.com/</t>
  </si>
  <si>
    <t xml:space="preserve">Mo-Su 12:00-14:30,19:00-22:30</t>
  </si>
  <si>
    <t xml:space="preserve">Gina</t>
  </si>
  <si>
    <t xml:space="preserve">1 Rue Pharaon</t>
  </si>
  <si>
    <t xml:space="preserve">05 62 26 40 12</t>
  </si>
  <si>
    <t xml:space="preserve">https://www.leclandesmamma.com/restaurant/gina/</t>
  </si>
  <si>
    <t xml:space="preserve">Gourmets d'Asie</t>
  </si>
  <si>
    <t xml:space="preserve">Gram’s</t>
  </si>
  <si>
    <t xml:space="preserve">Grand Père</t>
  </si>
  <si>
    <t xml:space="preserve">Afghane</t>
  </si>
  <si>
    <t xml:space="preserve">Grec &amp; co.</t>
  </si>
  <si>
    <t xml:space="preserve">05 34 51 57 06</t>
  </si>
  <si>
    <t xml:space="preserve">Mo-Su 11:00-02:00</t>
  </si>
  <si>
    <t xml:space="preserve">Green sur mesure</t>
  </si>
  <si>
    <t xml:space="preserve">Pizza, Sandwicherie, Salades, Poké</t>
  </si>
  <si>
    <t xml:space="preserve">Mo-Su 11:00-22:00</t>
  </si>
  <si>
    <t xml:space="preserve">Gruppomino</t>
  </si>
  <si>
    <t xml:space="preserve">04 20 97 10 97</t>
  </si>
  <si>
    <t xml:space="preserve">https://www.gruppomimo.com/nos-restaurants/gruppomimo-toulouse</t>
  </si>
  <si>
    <t xml:space="preserve">Mo-Fr 12:00-14:30,19:00-23:00; Sa,Su 12:00-23:00</t>
  </si>
  <si>
    <t xml:space="preserve">Guapo</t>
  </si>
  <si>
    <t xml:space="preserve">4 Rue Labéda</t>
  </si>
  <si>
    <t xml:space="preserve">https://guapo-toulouse.fr/</t>
  </si>
  <si>
    <t xml:space="preserve">Mo-Th 12:00-15:00,18:00-24:00; Fr,Sa 00:00-02:00,12:00-15:00,18:00-24:00; Su 00:00-03:00,12:00-15:00,18:00-24:00</t>
  </si>
  <si>
    <t xml:space="preserve">Guayoyo</t>
  </si>
  <si>
    <t xml:space="preserve">Latino-américaine</t>
  </si>
  <si>
    <t xml:space="preserve">19 Rue du Général Jean Compans</t>
  </si>
  <si>
    <t xml:space="preserve">09 73 64 43 90</t>
  </si>
  <si>
    <t xml:space="preserve">https://www.guayoyo-toulouse.com/</t>
  </si>
  <si>
    <t xml:space="preserve">Mo 12:00-14:00; Tu-Fr 12:00-14:00,19:00-22:00; Sa 19:00-22:00</t>
  </si>
  <si>
    <t xml:space="preserve">Gueuleton</t>
  </si>
  <si>
    <t xml:space="preserve">09 83 34 03 50</t>
  </si>
  <si>
    <t xml:space="preserve">https://www.gueuleton.fr/le-gueuleton-toulouse/</t>
  </si>
  <si>
    <t xml:space="preserve">Mo-Th 19:30-22:00; Fr-Su 12:00-14:00,19:30-22:00; PH off</t>
  </si>
  <si>
    <t xml:space="preserve">Guo Guo Ji</t>
  </si>
  <si>
    <t xml:space="preserve">Chinoise, Fondue chinoise</t>
  </si>
  <si>
    <t xml:space="preserve">09 82 72 72 72</t>
  </si>
  <si>
    <t xml:space="preserve">https://guoguoji.fr/fr</t>
  </si>
  <si>
    <t xml:space="preserve">Mo-Su 12:00-14:30,19:00-22:00</t>
  </si>
  <si>
    <t xml:space="preserve">Gusto Napoli</t>
  </si>
  <si>
    <t xml:space="preserve">2 Rue de Grenoble</t>
  </si>
  <si>
    <t xml:space="preserve">05 34 24 09 49</t>
  </si>
  <si>
    <t xml:space="preserve">https://gustonapoli.fr/</t>
  </si>
  <si>
    <t xml:space="preserve">Mo 12:00-14:00,17:00-00:00; Tu-Th 12:00-14:00,18:00-00:00; Fr 18:00-01:00; Sa-Su 12:00-14:00,18:00-01:00</t>
  </si>
  <si>
    <t xml:space="preserve">Gusto Pizza</t>
  </si>
  <si>
    <t xml:space="preserve">07 69 51 96 82</t>
  </si>
  <si>
    <t xml:space="preserve">https://www.gusto-pizza.net/</t>
  </si>
  <si>
    <t xml:space="preserve">Tu-Sa 11:15-14:15, Tu-Su 18:15-21:15</t>
  </si>
  <si>
    <t xml:space="preserve">Hao Zai</t>
  </si>
  <si>
    <t xml:space="preserve">Mo-Sa 12:00-14:00,19:00-22:00</t>
  </si>
  <si>
    <t xml:space="preserve">Haozaï</t>
  </si>
  <si>
    <t xml:space="preserve">05 61 57 15 54</t>
  </si>
  <si>
    <t xml:space="preserve">https://haozai.fr/</t>
  </si>
  <si>
    <t xml:space="preserve">Mo-Sa 12:00-14:00,19:00-22:30</t>
  </si>
  <si>
    <t xml:space="preserve">Hello Ravioli</t>
  </si>
  <si>
    <t xml:space="preserve">05 61 23 41 40</t>
  </si>
  <si>
    <t xml:space="preserve">https://www.helloravioli.fr/</t>
  </si>
  <si>
    <t xml:space="preserve">Himari Sushi</t>
  </si>
  <si>
    <t xml:space="preserve">Sushi, Asiatique</t>
  </si>
  <si>
    <t xml:space="preserve">05 61 49 22 75</t>
  </si>
  <si>
    <t xml:space="preserve">Himari Sushi Saint-Cyprien</t>
  </si>
  <si>
    <t xml:space="preserve">05 61 43 71 17</t>
  </si>
  <si>
    <t xml:space="preserve">https://www.facebook.com/BloomyRiveGauche/;bloomyrivegauche.eatbu.com</t>
  </si>
  <si>
    <t xml:space="preserve">Tu-Sa 10:00-15:00,18:00-24:00; We-Su 10:00-14:00,19:00-24:00</t>
  </si>
  <si>
    <t xml:space="preserve">Hinodé</t>
  </si>
  <si>
    <t xml:space="preserve">05 61 21 51 26</t>
  </si>
  <si>
    <t xml:space="preserve">https://www.restaurant-hinode.fr/</t>
  </si>
  <si>
    <t xml:space="preserve">Mo-Su 12:00-14:30,19:00-23:00</t>
  </si>
  <si>
    <t xml:space="preserve">Hippopotamus</t>
  </si>
  <si>
    <t xml:space="preserve">05 62 30 36 60</t>
  </si>
  <si>
    <t xml:space="preserve">https://restaurants.hippopotamus.fr/france/occitanie/haute-garonne/toulouse/toulouse-wilson</t>
  </si>
  <si>
    <t xml:space="preserve">Su-Th 11:30-23:00, Fr,Sa 11:30-24:00</t>
  </si>
  <si>
    <t xml:space="preserve">Hito</t>
  </si>
  <si>
    <t xml:space="preserve">05 61 22 42 92</t>
  </si>
  <si>
    <t xml:space="preserve">Mo-Fr 12:00-14:00,20:00-22:00</t>
  </si>
  <si>
    <t xml:space="preserve">Hop Seng</t>
  </si>
  <si>
    <t xml:space="preserve">17 Rue Denfert Rochereau</t>
  </si>
  <si>
    <t xml:space="preserve">05 61 63 91 14</t>
  </si>
  <si>
    <t xml:space="preserve">Th-Tu 12:00-14:30,19:00-23:00</t>
  </si>
  <si>
    <t xml:space="preserve">Hope</t>
  </si>
  <si>
    <t xml:space="preserve">Pâtes</t>
  </si>
  <si>
    <t xml:space="preserve">Hortus</t>
  </si>
  <si>
    <t xml:space="preserve">17 Rue Croix-Baragnon</t>
  </si>
  <si>
    <t xml:space="preserve">Huong Viet</t>
  </si>
  <si>
    <t xml:space="preserve">2 bis Impasse André Marestan</t>
  </si>
  <si>
    <t xml:space="preserve">05 62 85 76 78</t>
  </si>
  <si>
    <t xml:space="preserve">https://restauranthuongviet.com/</t>
  </si>
  <si>
    <t xml:space="preserve">Mo-Su 11:00-14:45,18:30-21:45</t>
  </si>
  <si>
    <t xml:space="preserve">Iris Saveur d'Orient</t>
  </si>
  <si>
    <t xml:space="preserve">Orientale</t>
  </si>
  <si>
    <t xml:space="preserve">15 Barrière de Lombez</t>
  </si>
  <si>
    <t xml:space="preserve">Italia Pizza</t>
  </si>
  <si>
    <t xml:space="preserve">09 80 55 50 71</t>
  </si>
  <si>
    <t xml:space="preserve">Italian Pizzeria Venezia</t>
  </si>
  <si>
    <t xml:space="preserve">05 61 47 22 48</t>
  </si>
  <si>
    <t xml:space="preserve">Tu 12:00-14:00; We-Sa 12:00-14:00,19:00-22:00; Su 19:00-22:00</t>
  </si>
  <si>
    <t xml:space="preserve">Italian's Pizza</t>
  </si>
  <si>
    <t xml:space="preserve">05 34 56 66 52</t>
  </si>
  <si>
    <t xml:space="preserve">http://www.italianspizza.fr/</t>
  </si>
  <si>
    <t xml:space="preserve">Tu-Sa 12:00-14:00,18:15-21:45</t>
  </si>
  <si>
    <t xml:space="preserve">Izakaya Iori</t>
  </si>
  <si>
    <t xml:space="preserve">05 61 28 02 47</t>
  </si>
  <si>
    <t xml:space="preserve">https://www.iori.fr/</t>
  </si>
  <si>
    <t xml:space="preserve">Tu 19:30-22:00, We-Sa 12:00-13:45, We,Th 19:30-22:00, Fr,Sa 19:00-22:30</t>
  </si>
  <si>
    <t xml:space="preserve">Izmir Grill</t>
  </si>
  <si>
    <t xml:space="preserve">J&amp;K Sushi/Thaï</t>
  </si>
  <si>
    <t xml:space="preserve">J'Go</t>
  </si>
  <si>
    <t xml:space="preserve">05 61 23 02 03</t>
  </si>
  <si>
    <t xml:space="preserve">https://lejgo.com/toulouse</t>
  </si>
  <si>
    <t xml:space="preserve">Mo-Su 12:00-14:30, 19:00-23:30</t>
  </si>
  <si>
    <t xml:space="preserve">Japoyaki</t>
  </si>
  <si>
    <t xml:space="preserve">05 61 13 68 69</t>
  </si>
  <si>
    <t xml:space="preserve">Mo 12:00-14:30; Tu-Su 12:00-23:00</t>
  </si>
  <si>
    <t xml:space="preserve">JEM</t>
  </si>
  <si>
    <t xml:space="preserve">05 34 56 89 74</t>
  </si>
  <si>
    <t xml:space="preserve">https://www.facebook.com/jem.goodfood/</t>
  </si>
  <si>
    <t xml:space="preserve">Mo-Fr 11:45-14:00</t>
  </si>
  <si>
    <t xml:space="preserve">Jiao Zi Guan</t>
  </si>
  <si>
    <t xml:space="preserve">Asiatique, Dim sum, Raviolis, Nouilles</t>
  </si>
  <si>
    <t xml:space="preserve">https://jiaoziguan.fr</t>
  </si>
  <si>
    <t xml:space="preserve">Mo-Sa 12:00-14:30,19:00-23:00</t>
  </si>
  <si>
    <t xml:space="preserve">13 Rue du Rempart Villeneuve</t>
  </si>
  <si>
    <t xml:space="preserve">05 34 24 20 89</t>
  </si>
  <si>
    <t xml:space="preserve">Mo 12:00-14:00; Tu-Su 12:00-14:00,19:00-22:30</t>
  </si>
  <si>
    <t xml:space="preserve">Jifu Fondue Asiatique</t>
  </si>
  <si>
    <t xml:space="preserve">09 86 53 41 58</t>
  </si>
  <si>
    <t xml:space="preserve">https://www.jifu-restaurant.fr/</t>
  </si>
  <si>
    <t xml:space="preserve">Tu-Sa 12:00-14:00; Tu-Sa 19:00-22:00; Su 19:00-22:00</t>
  </si>
  <si>
    <t xml:space="preserve">Jipoonthai</t>
  </si>
  <si>
    <t xml:space="preserve">Japonaise, Thaïlandaise</t>
  </si>
  <si>
    <t xml:space="preserve">05 61 11 22 67</t>
  </si>
  <si>
    <t xml:space="preserve">http://jipoonthai.com/</t>
  </si>
  <si>
    <t xml:space="preserve">Mo-Sa 12:00-14:30, 19:00-22:30</t>
  </si>
  <si>
    <t xml:space="preserve">Joshore Road</t>
  </si>
  <si>
    <t xml:space="preserve">09 75 31 60 69</t>
  </si>
  <si>
    <t xml:space="preserve">https://www.facebook.com/joshoreroadtoulouse/</t>
  </si>
  <si>
    <t xml:space="preserve">Mo-Fr 12:00-14:30,19:00-22:30; Sa-Su 12:00-15:00,19:00-22:30</t>
  </si>
  <si>
    <t xml:space="preserve">Jour de marché</t>
  </si>
  <si>
    <t xml:space="preserve">Juguem</t>
  </si>
  <si>
    <t xml:space="preserve">Japonaise, Traditionnelle</t>
  </si>
  <si>
    <t xml:space="preserve">6 bis Impasse Baour-Lormian</t>
  </si>
  <si>
    <t xml:space="preserve">05 34 24 20 33</t>
  </si>
  <si>
    <t xml:space="preserve">https://www.juguem.fr/</t>
  </si>
  <si>
    <t xml:space="preserve">Tu 12:00-15:00;We 12:00-18:00;Th-Sa 12:00-18:00,19:00-22:00</t>
  </si>
  <si>
    <t xml:space="preserve">Jumbo</t>
  </si>
  <si>
    <t xml:space="preserve">61 Avenue Maurice Bourgès-Maunoury</t>
  </si>
  <si>
    <t xml:space="preserve">05 34 52 21 13</t>
  </si>
  <si>
    <t xml:space="preserve">Kaiten by Tokami</t>
  </si>
  <si>
    <t xml:space="preserve">05 34 30 29 37</t>
  </si>
  <si>
    <t xml:space="preserve">Mo-Sa 12:00-14:00,19:00-21:45</t>
  </si>
  <si>
    <t xml:space="preserve">KALM</t>
  </si>
  <si>
    <t xml:space="preserve">Kashmir</t>
  </si>
  <si>
    <t xml:space="preserve">05 61 59 89 79</t>
  </si>
  <si>
    <t xml:space="preserve">http://www.restaurant-kashmir.fr/</t>
  </si>
  <si>
    <t xml:space="preserve">Mo-Sa 12:00-14:00,19:45-22:30</t>
  </si>
  <si>
    <t xml:space="preserve">Kashmir et Safran</t>
  </si>
  <si>
    <t xml:space="preserve">05 61 63 69 45</t>
  </si>
  <si>
    <t xml:space="preserve">KAWOK</t>
  </si>
  <si>
    <t xml:space="preserve">https://kawok-toulouse.fr/</t>
  </si>
  <si>
    <t xml:space="preserve">Kimato Sushi</t>
  </si>
  <si>
    <t xml:space="preserve">King Fat</t>
  </si>
  <si>
    <t xml:space="preserve">https://www.kingfat.fr/</t>
  </si>
  <si>
    <t xml:space="preserve">Kiyoshi</t>
  </si>
  <si>
    <t xml:space="preserve">10 Rue Jean Palaprat</t>
  </si>
  <si>
    <t xml:space="preserve">06 65 92 89 26</t>
  </si>
  <si>
    <t xml:space="preserve">Koboon</t>
  </si>
  <si>
    <t xml:space="preserve">Thaïlandaise, Asiatique</t>
  </si>
  <si>
    <t xml:space="preserve">41 Boulevard André Netwiller</t>
  </si>
  <si>
    <t xml:space="preserve">05 61 07 10 05</t>
  </si>
  <si>
    <t xml:space="preserve">https://www.koboon-resto.fr/</t>
  </si>
  <si>
    <t xml:space="preserve">Kong-Bap</t>
  </si>
  <si>
    <t xml:space="preserve">06 50 70 69 57</t>
  </si>
  <si>
    <t xml:space="preserve">Kouang-Wa</t>
  </si>
  <si>
    <t xml:space="preserve">Tu-Su 09:30-13:00, Tu-Fr 16:30-19:30</t>
  </si>
  <si>
    <t xml:space="preserve">Kumo</t>
  </si>
  <si>
    <t xml:space="preserve">05 61 21 62 90</t>
  </si>
  <si>
    <t xml:space="preserve">L'Air de Famille</t>
  </si>
  <si>
    <t xml:space="preserve">6 Rue Jules Chalande</t>
  </si>
  <si>
    <t xml:space="preserve">05 67 06 54 08</t>
  </si>
  <si>
    <t xml:space="preserve">https://airdefamilletoulouse.fr/</t>
  </si>
  <si>
    <t xml:space="preserve">Tu-We 12:00-13:30; Th-Sa 12:00-13:30, 20:00-21:30</t>
  </si>
  <si>
    <t xml:space="preserve">L'Alouette</t>
  </si>
  <si>
    <t xml:space="preserve">05 62 89 13 96</t>
  </si>
  <si>
    <t xml:space="preserve">https://lalouette.metro.rest/</t>
  </si>
  <si>
    <t xml:space="preserve">We-Fr 12:00-14:00, 19:00-22:00; Sa 12:00-15:00, 19:00-22:00; Su 12:00-15:00</t>
  </si>
  <si>
    <t xml:space="preserve">L'Amoura Pizza</t>
  </si>
  <si>
    <t xml:space="preserve">05 61 49 01 01</t>
  </si>
  <si>
    <t xml:space="preserve">http://lamourapizza.fr/</t>
  </si>
  <si>
    <t xml:space="preserve">We-Sa 18:00-23:00; Su 18:00-23:50</t>
  </si>
  <si>
    <t xml:space="preserve">L'Annexe Café</t>
  </si>
  <si>
    <t xml:space="preserve">L'Annexe de la Braisière</t>
  </si>
  <si>
    <t xml:space="preserve">https://www.labraisiere.fr/annexe/</t>
  </si>
  <si>
    <t xml:space="preserve">L'Antica</t>
  </si>
  <si>
    <t xml:space="preserve">Pizza, Salades</t>
  </si>
  <si>
    <t xml:space="preserve">44 Rue du Général Jean Compans</t>
  </si>
  <si>
    <t xml:space="preserve">09 81 31 01 02</t>
  </si>
  <si>
    <t xml:space="preserve">https://lanticapizzeria.fr/</t>
  </si>
  <si>
    <t xml:space="preserve">Mo-Su 11:30-14:30,18:00-22:30; Fr 18:00-23:00</t>
  </si>
  <si>
    <t xml:space="preserve">L'Antica Pizzeria</t>
  </si>
  <si>
    <t xml:space="preserve">9 Avenue Maurice Bourgès-Maunoury</t>
  </si>
  <si>
    <t xml:space="preserve">09 83 43 20 81</t>
  </si>
  <si>
    <t xml:space="preserve">Mo-Su 11:30-14:00,18:00-23:00; Fr 18:00-00:00</t>
  </si>
  <si>
    <t xml:space="preserve">L'Aperozza</t>
  </si>
  <si>
    <t xml:space="preserve">L'Arbre à Sushi</t>
  </si>
  <si>
    <t xml:space="preserve">09 82 45 91 97</t>
  </si>
  <si>
    <t xml:space="preserve">https://larbreasushi.eatbu.com/</t>
  </si>
  <si>
    <t xml:space="preserve">Tu-Th 12:00-14:00,19:00-23:00;Fr 19:00-24:00;Sa 12:00-14:00;19:00-24:00;Su 19:00-23:00</t>
  </si>
  <si>
    <t xml:space="preserve">L'arrosoir</t>
  </si>
  <si>
    <t xml:space="preserve">Tu,We 18:00-01:00, Th,Fr 18:00-02:00, Sa 18:00-03:00</t>
  </si>
  <si>
    <t xml:space="preserve">L'Arum (restaurant universitaire)</t>
  </si>
  <si>
    <t xml:space="preserve">https://www.crous-toulouse.fr/restaurant/resto-u-arum/</t>
  </si>
  <si>
    <t xml:space="preserve">11:30-13:30</t>
  </si>
  <si>
    <t xml:space="preserve">L'Atelier de l'Écharpe</t>
  </si>
  <si>
    <t xml:space="preserve">8 Rue de l'Écharpe</t>
  </si>
  <si>
    <t xml:space="preserve">05 34 30 93 35</t>
  </si>
  <si>
    <t xml:space="preserve">http://www.latelierdelecharpe.fr/</t>
  </si>
  <si>
    <t xml:space="preserve">Mo-Fr 12:00-14:00,18:00-02:00; Sa 18:00-02:00</t>
  </si>
  <si>
    <t xml:space="preserve">L'atelier des Chefs</t>
  </si>
  <si>
    <t xml:space="preserve">https://www.atelierdeschefs.fr</t>
  </si>
  <si>
    <t xml:space="preserve">We-Sa 10:00-19:00; Su 09:00-17:00</t>
  </si>
  <si>
    <t xml:space="preserve">L'Atelier des Plats</t>
  </si>
  <si>
    <t xml:space="preserve">http://latelierdesplats.wixsite.com/restaurant</t>
  </si>
  <si>
    <t xml:space="preserve">L'Atelier du Pêcheur savoyard</t>
  </si>
  <si>
    <t xml:space="preserve">Fruits de mer, Fondue</t>
  </si>
  <si>
    <t xml:space="preserve">Mo-Fr 12:00-14:00,18:00-22:30</t>
  </si>
  <si>
    <t xml:space="preserve">L'Atrium Restaurant</t>
  </si>
  <si>
    <t xml:space="preserve">https://restaurantatrium.fr/</t>
  </si>
  <si>
    <t xml:space="preserve">L'auberge Nazareth</t>
  </si>
  <si>
    <t xml:space="preserve">L'Aubrac</t>
  </si>
  <si>
    <t xml:space="preserve">05 61 62 98 08</t>
  </si>
  <si>
    <t xml:space="preserve">https://www.restaurant-laubrac.fr/</t>
  </si>
  <si>
    <t xml:space="preserve">L'Emulation Nautique</t>
  </si>
  <si>
    <t xml:space="preserve">05 61 25 34 95</t>
  </si>
  <si>
    <t xml:space="preserve">https://www.emulation-nautique.com/</t>
  </si>
  <si>
    <t xml:space="preserve">Tu-Sa 12:00-14:00,19:30-22:00; Su 12:00-15:00</t>
  </si>
  <si>
    <t xml:space="preserve">L'Entrecôte</t>
  </si>
  <si>
    <t xml:space="preserve">05 61 21 87 18</t>
  </si>
  <si>
    <t xml:space="preserve">https://www.entrecote.fr/</t>
  </si>
  <si>
    <t xml:space="preserve">Mo-Su 12:00-14:00,19:00-22:15; PH off</t>
  </si>
  <si>
    <t xml:space="preserve">L'Ergot</t>
  </si>
  <si>
    <t xml:space="preserve">We-Su 11:30-14:30,19:30-22:00</t>
  </si>
  <si>
    <t xml:space="preserve">L'Esquina</t>
  </si>
  <si>
    <t xml:space="preserve">Argentine, Mexicaine, Péruvienne</t>
  </si>
  <si>
    <t xml:space="preserve">L'Impériale</t>
  </si>
  <si>
    <t xml:space="preserve">05 61 12 33 10</t>
  </si>
  <si>
    <t xml:space="preserve">https://limperiale-restaurant.fr/</t>
  </si>
  <si>
    <t xml:space="preserve">We,Th 12:00-14:30; Fr 12:00-14:30,19:30-22:30; Sa,Su 12:00-15:00</t>
  </si>
  <si>
    <t xml:space="preserve">L'Instinct</t>
  </si>
  <si>
    <t xml:space="preserve">L'Italien</t>
  </si>
  <si>
    <t xml:space="preserve">Italienne, Sandwicherie</t>
  </si>
  <si>
    <t xml:space="preserve">1 bis Rue du Pont Saint-Pierre</t>
  </si>
  <si>
    <t xml:space="preserve">09 88 00 02 61</t>
  </si>
  <si>
    <t xml:space="preserve">Tu-Fr 10:00-19:30</t>
  </si>
  <si>
    <t xml:space="preserve">L'Occitalie</t>
  </si>
  <si>
    <t xml:space="preserve">7 Place Sainte-Scarbes</t>
  </si>
  <si>
    <t xml:space="preserve">05 61 53 20 60</t>
  </si>
  <si>
    <t xml:space="preserve">Tu-Sa 12:00-14:00,19:00-22:00; Su-Mo off</t>
  </si>
  <si>
    <t xml:space="preserve">L'Os à Moëlle</t>
  </si>
  <si>
    <t xml:space="preserve">05 61 63 19 30</t>
  </si>
  <si>
    <t xml:space="preserve">https://www.losamoelletoulouse.com</t>
  </si>
  <si>
    <t xml:space="preserve">Tu-Sa 12:00-13:30,19:00-23:00; Mo 19:00-23:00</t>
  </si>
  <si>
    <t xml:space="preserve">L'Écluse</t>
  </si>
  <si>
    <t xml:space="preserve">06 07 77 96 72</t>
  </si>
  <si>
    <t xml:space="preserve">https://leclusetls.wixsite.com/lecluse-toulouse</t>
  </si>
  <si>
    <t xml:space="preserve">Jun-Sep 12:00-00:00; Oct-May off</t>
  </si>
  <si>
    <t xml:space="preserve">L'Écorce</t>
  </si>
  <si>
    <t xml:space="preserve">05 34 30 47 99</t>
  </si>
  <si>
    <t xml:space="preserve">https://www.lecorce.com/</t>
  </si>
  <si>
    <t xml:space="preserve">Tu, Th-Sa 12:00-13:30, 19:15-20:45</t>
  </si>
  <si>
    <t xml:space="preserve">L'Élite</t>
  </si>
  <si>
    <t xml:space="preserve">L'Émulsion</t>
  </si>
  <si>
    <t xml:space="preserve">05 61 53 11 15</t>
  </si>
  <si>
    <t xml:space="preserve">https://lemulsion.fr/</t>
  </si>
  <si>
    <t xml:space="preserve">We-Su 12:00-14:00,19:30-22:00</t>
  </si>
  <si>
    <t xml:space="preserve">L'étoile d'Oran</t>
  </si>
  <si>
    <t xml:space="preserve">Algérienne, Orientale</t>
  </si>
  <si>
    <t xml:space="preserve">07 51 02 79 35</t>
  </si>
  <si>
    <t xml:space="preserve">Mo-Th 11:30-14:00, 18:30-22:00; Fr, Sa 11:30-14:00, 18:30-23:00; Su 11:30-14:00, 18:30-22:00</t>
  </si>
  <si>
    <t xml:space="preserve">La Dalle Cultur’elle</t>
  </si>
  <si>
    <t xml:space="preserve">Cafétéria, Pâtisserie, Salon de thé</t>
  </si>
  <si>
    <t xml:space="preserve">La Belle Famille</t>
  </si>
  <si>
    <t xml:space="preserve">Mo-Fr 11:00-23:00; Sa,Su 09:00-21:00</t>
  </si>
  <si>
    <t xml:space="preserve">La Belle Saison</t>
  </si>
  <si>
    <t xml:space="preserve">05 61 23 26 87</t>
  </si>
  <si>
    <t xml:space="preserve">La Binocle</t>
  </si>
  <si>
    <t xml:space="preserve">10 Rue Alexandre Fourtanier</t>
  </si>
  <si>
    <t xml:space="preserve">05 61 29 84 21</t>
  </si>
  <si>
    <t xml:space="preserve">La Bonita</t>
  </si>
  <si>
    <t xml:space="preserve">https://www.labonita.fr/</t>
  </si>
  <si>
    <t xml:space="preserve">La Bouche Gourmande</t>
  </si>
  <si>
    <t xml:space="preserve">1 Rue Labouche</t>
  </si>
  <si>
    <t xml:space="preserve">La Braisière</t>
  </si>
  <si>
    <t xml:space="preserve">Française, Régionale / terroir, Poisson</t>
  </si>
  <si>
    <t xml:space="preserve">42 Rue Pharaon</t>
  </si>
  <si>
    <t xml:space="preserve">05 61 52 37 13</t>
  </si>
  <si>
    <t xml:space="preserve">https://www.labraisiere.fr/</t>
  </si>
  <si>
    <t xml:space="preserve">Su-Th 12:00-14:00,19:30-22:15; Fr-Sa 12:00-14:00,19:30-23:15</t>
  </si>
  <si>
    <t xml:space="preserve">La Brasserie de Jean</t>
  </si>
  <si>
    <t xml:space="preserve">La Bringuerie</t>
  </si>
  <si>
    <t xml:space="preserve">06 49 74 66 51</t>
  </si>
  <si>
    <t xml:space="preserve">La Cabane</t>
  </si>
  <si>
    <t xml:space="preserve">37 Avenue de Grande Bretagne</t>
  </si>
  <si>
    <t xml:space="preserve">05 61 15 53 56</t>
  </si>
  <si>
    <t xml:space="preserve">http://toulousefruitsdemer.fr/</t>
  </si>
  <si>
    <t xml:space="preserve">Mo-Su 11:00-14:30,18:00-22:30</t>
  </si>
  <si>
    <t xml:space="preserve">La Cabane M. Georges</t>
  </si>
  <si>
    <t xml:space="preserve">La Cantine d'Horace</t>
  </si>
  <si>
    <t xml:space="preserve">Barbecue</t>
  </si>
  <si>
    <t xml:space="preserve">39 Chemin de Virebent</t>
  </si>
  <si>
    <t xml:space="preserve">05 61 50 76 98</t>
  </si>
  <si>
    <t xml:space="preserve">La Cantine du Busca</t>
  </si>
  <si>
    <t xml:space="preserve">Mo-Sa 07:00-22:00</t>
  </si>
  <si>
    <t xml:space="preserve">La Cave se rebiffe</t>
  </si>
  <si>
    <t xml:space="preserve">07 69 64 50 99</t>
  </si>
  <si>
    <t xml:space="preserve">https://www.lacave-serebiffe.fr/</t>
  </si>
  <si>
    <t xml:space="preserve">Tu-Th 19:00-23:45, Fr 19:00-01:00, Sa 19:00-02:00</t>
  </si>
  <si>
    <t xml:space="preserve">La Cendrée</t>
  </si>
  <si>
    <t xml:space="preserve">05 61 25 76 97</t>
  </si>
  <si>
    <t xml:space="preserve">https://www.lacendree.com/</t>
  </si>
  <si>
    <t xml:space="preserve">Mo-Fr 12:00-14:00; 19:30-21:30; Sa 12:00-14:00; 19:30-22:00</t>
  </si>
  <si>
    <t xml:space="preserve">La Centrale</t>
  </si>
  <si>
    <t xml:space="preserve">05 61 73 82 31</t>
  </si>
  <si>
    <t xml:space="preserve">Jun-Aug Tu-Sa 18:30-01:00; Jun-Aug Su 12:00-01:00</t>
  </si>
  <si>
    <t xml:space="preserve">La Compagnie Française</t>
  </si>
  <si>
    <t xml:space="preserve">05 31 61 56 16</t>
  </si>
  <si>
    <t xml:space="preserve">https://www.la-compagnie-francaise.fr/</t>
  </si>
  <si>
    <t xml:space="preserve">Mo-Su 09:00-00:00</t>
  </si>
  <si>
    <t xml:space="preserve">La Conserverie</t>
  </si>
  <si>
    <t xml:space="preserve">05 61 53 32 08</t>
  </si>
  <si>
    <t xml:space="preserve">https://restaurantlaconserverie.com/</t>
  </si>
  <si>
    <t xml:space="preserve">Mo-Fr 19:30-23:00</t>
  </si>
  <si>
    <t xml:space="preserve">La Couleur du Renard</t>
  </si>
  <si>
    <t xml:space="preserve">10 Boulevard Riquet</t>
  </si>
  <si>
    <t xml:space="preserve">La Criée des Gourmands</t>
  </si>
  <si>
    <t xml:space="preserve">05 34 30 04 10</t>
  </si>
  <si>
    <t xml:space="preserve">https://www.la-criee-des-gourmands.fr/</t>
  </si>
  <si>
    <t xml:space="preserve">Tu-Sa 12:00-15:00,19:30-21:30;Su 12:00-15:00</t>
  </si>
  <si>
    <t xml:space="preserve">La cuisine de Jean</t>
  </si>
  <si>
    <t xml:space="preserve">18 Avenue Albert Bedouce</t>
  </si>
  <si>
    <t xml:space="preserve">05 61 25 90 76</t>
  </si>
  <si>
    <t xml:space="preserve">http://lacuisinedejean.fr/</t>
  </si>
  <si>
    <t xml:space="preserve">La Cuisine de Kiné</t>
  </si>
  <si>
    <t xml:space="preserve">Sénégalaise</t>
  </si>
  <si>
    <t xml:space="preserve">La Cuisine Vietnamienne</t>
  </si>
  <si>
    <t xml:space="preserve">2 Esplanade Jean Cassou</t>
  </si>
  <si>
    <t xml:space="preserve">06 99 65 67 89</t>
  </si>
  <si>
    <t xml:space="preserve">La Cuisine à Mémé</t>
  </si>
  <si>
    <t xml:space="preserve">https://www.lacuisineameme.fr/</t>
  </si>
  <si>
    <t xml:space="preserve">Tu-Su 12:00-14:00,19:00-02:00</t>
  </si>
  <si>
    <t xml:space="preserve">La Cuistoloc</t>
  </si>
  <si>
    <t xml:space="preserve">Familiale</t>
  </si>
  <si>
    <t xml:space="preserve">7 Boulevard Lascrosses</t>
  </si>
  <si>
    <t xml:space="preserve">24/7</t>
  </si>
  <si>
    <t xml:space="preserve">La Côte de Boeuf</t>
  </si>
  <si>
    <t xml:space="preserve">05 61 21 19 61</t>
  </si>
  <si>
    <t xml:space="preserve">https://lacotedeboeuftoulouse.fr/</t>
  </si>
  <si>
    <t xml:space="preserve">Mo,Sa 18:30-23:00;Tu-Fr 11:30-14:00,18:30-23:00;Su off</t>
  </si>
  <si>
    <t xml:space="preserve">La Fabric</t>
  </si>
  <si>
    <t xml:space="preserve">9 Place du Capitole</t>
  </si>
  <si>
    <t xml:space="preserve">05 61 38 40 62</t>
  </si>
  <si>
    <t xml:space="preserve">https://lafabrictoulousecptle.wordpress.com</t>
  </si>
  <si>
    <t xml:space="preserve">Mo-Su 10:00-22:30</t>
  </si>
  <si>
    <t xml:space="preserve">La Fabriq du Burger</t>
  </si>
  <si>
    <t xml:space="preserve">29 Avenue de Lavaur</t>
  </si>
  <si>
    <t xml:space="preserve">05 61 23 79 19</t>
  </si>
  <si>
    <t xml:space="preserve">https://fabriqduburger.com/</t>
  </si>
  <si>
    <t xml:space="preserve">Mo-Su 09:00-21:00</t>
  </si>
  <si>
    <t xml:space="preserve">La Faim des Haricots</t>
  </si>
  <si>
    <t xml:space="preserve">05 61 22 49 25</t>
  </si>
  <si>
    <t xml:space="preserve">http://www.lafaimdesharicots.fr/</t>
  </si>
  <si>
    <t xml:space="preserve">Mo-Su 12:00-22:00</t>
  </si>
  <si>
    <t xml:space="preserve">La Flambée</t>
  </si>
  <si>
    <t xml:space="preserve">La Fleur de Mai</t>
  </si>
  <si>
    <t xml:space="preserve">La Galinette</t>
  </si>
  <si>
    <t xml:space="preserve">https://www.galinette-rotisserie.fr</t>
  </si>
  <si>
    <t xml:space="preserve">La Gazette</t>
  </si>
  <si>
    <t xml:space="preserve">05 61 21 15 81</t>
  </si>
  <si>
    <t xml:space="preserve">Mo-Tu 09:30-14:30; We-Fr 09:30-14:30,18:30-22:30; Sa 09:30-14:30</t>
  </si>
  <si>
    <t xml:space="preserve">La Gaîté!</t>
  </si>
  <si>
    <t xml:space="preserve">31 Rue d'Embarthe</t>
  </si>
  <si>
    <t xml:space="preserve">http://www.la-gaite.com/</t>
  </si>
  <si>
    <t xml:space="preserve">La Gina Ristorante</t>
  </si>
  <si>
    <t xml:space="preserve">https://lagina-ristorante.fr/</t>
  </si>
  <si>
    <t xml:space="preserve">La Gouaille</t>
  </si>
  <si>
    <t xml:space="preserve">05 61 25 65 66</t>
  </si>
  <si>
    <t xml:space="preserve">https://www.la-gouaille-restaurant-toulouse.fr/</t>
  </si>
  <si>
    <t xml:space="preserve">Mo-Su 19:00-23:30</t>
  </si>
  <si>
    <t xml:space="preserve">La Gourmandine</t>
  </si>
  <si>
    <t xml:space="preserve">Régionale / terroir, Burger</t>
  </si>
  <si>
    <t xml:space="preserve">05 34 41 13 67</t>
  </si>
  <si>
    <t xml:space="preserve">https://lagourmandinecotecathedrale.fr/</t>
  </si>
  <si>
    <t xml:space="preserve">Tu-Sa 12:00-14:00,19:15-22:00</t>
  </si>
  <si>
    <t xml:space="preserve">05 61 22 78 84</t>
  </si>
  <si>
    <t xml:space="preserve">https://www.la-gourmandine.fr/</t>
  </si>
  <si>
    <t xml:space="preserve">Tu-Sa 12:00-23:00</t>
  </si>
  <si>
    <t xml:space="preserve">La Grange</t>
  </si>
  <si>
    <t xml:space="preserve">05 32 53 72 98</t>
  </si>
  <si>
    <t xml:space="preserve">https://www.facebook.com/La-Grange-31200-715638678509900/</t>
  </si>
  <si>
    <t xml:space="preserve">La Grilladele</t>
  </si>
  <si>
    <t xml:space="preserve">La Kasbah</t>
  </si>
  <si>
    <t xml:space="preserve">05 61 23 55 06</t>
  </si>
  <si>
    <t xml:space="preserve">https://www.lakasbah.fr</t>
  </si>
  <si>
    <t xml:space="preserve">Mo-Su 11:45-14:30,19:45-24:00; Th 19:45-24:00</t>
  </si>
  <si>
    <t xml:space="preserve">La Loge</t>
  </si>
  <si>
    <t xml:space="preserve">La Madeleine de Proust</t>
  </si>
  <si>
    <t xml:space="preserve">La Maison d'à côté</t>
  </si>
  <si>
    <t xml:space="preserve">Internationale, Française</t>
  </si>
  <si>
    <t xml:space="preserve">45 Rue Jean de Pins</t>
  </si>
  <si>
    <t xml:space="preserve">05 62 48 56 68</t>
  </si>
  <si>
    <t xml:space="preserve">https://www.facebook.com/Maison-d%C3%A0-c%C3%B4t%C3%A9-Toulouse-2346101538944605/</t>
  </si>
  <si>
    <t xml:space="preserve">Mo-Fr 12:00-13:30</t>
  </si>
  <si>
    <t xml:space="preserve">La Maison des Nems</t>
  </si>
  <si>
    <t xml:space="preserve">05 61 21 67 52</t>
  </si>
  <si>
    <t xml:space="preserve">Mo 12:00-15:00; Tu-Fr 12:00-15:00,19:00-21:30; Sa 12:00-15:00</t>
  </si>
  <si>
    <t xml:space="preserve">La Mare Aux Canards</t>
  </si>
  <si>
    <t xml:space="preserve">05 61 23 81 58</t>
  </si>
  <si>
    <t xml:space="preserve">http://www.mare-aux-canards.com/</t>
  </si>
  <si>
    <t xml:space="preserve">La Mariposa</t>
  </si>
  <si>
    <t xml:space="preserve">La Marmite</t>
  </si>
  <si>
    <t xml:space="preserve">35 Rue des Trente-Six Ponts</t>
  </si>
  <si>
    <t xml:space="preserve">La Mesa de Lola</t>
  </si>
  <si>
    <t xml:space="preserve">23 Rue du Général Jean Compans</t>
  </si>
  <si>
    <t xml:space="preserve">05 61 26 03 04</t>
  </si>
  <si>
    <t xml:space="preserve">https://lamesadelola.com/</t>
  </si>
  <si>
    <t xml:space="preserve">We-Sa 19:00-02:00, Tu-Fr 11:00-13:00</t>
  </si>
  <si>
    <t xml:space="preserve">La Meunière</t>
  </si>
  <si>
    <t xml:space="preserve">La Mignardise</t>
  </si>
  <si>
    <t xml:space="preserve">05 61 23 31 47</t>
  </si>
  <si>
    <t xml:space="preserve">https://www.restaurant-lamignardise.fr/</t>
  </si>
  <si>
    <t xml:space="preserve">Mo-We 12:00-14:00; Th-Sa 12:00-14:00,19:00-21:00</t>
  </si>
  <si>
    <t xml:space="preserve">La Milonga</t>
  </si>
  <si>
    <t xml:space="preserve">05 62 72 82 58</t>
  </si>
  <si>
    <t xml:space="preserve">http://www.lamilonga-toulouse.fr/</t>
  </si>
  <si>
    <t xml:space="preserve">Mo-Sa 12:00-14:00,19:00-23:00</t>
  </si>
  <si>
    <t xml:space="preserve">La Mounède</t>
  </si>
  <si>
    <t xml:space="preserve">1 Rue Claude-Marie Perroud</t>
  </si>
  <si>
    <t xml:space="preserve">05 32 11 19 08</t>
  </si>
  <si>
    <t xml:space="preserve">https://lesmonediers.fr/</t>
  </si>
  <si>
    <t xml:space="preserve">La Muraille d'Or</t>
  </si>
  <si>
    <t xml:space="preserve">05 61 21 15 52</t>
  </si>
  <si>
    <t xml:space="preserve">La Noria</t>
  </si>
  <si>
    <t xml:space="preserve">26 Avenue Maurice Bourgès-Maunoury</t>
  </si>
  <si>
    <t xml:space="preserve">09 51 96 09 18</t>
  </si>
  <si>
    <t xml:space="preserve">https://lanoria-toulouse.fr/</t>
  </si>
  <si>
    <t xml:space="preserve">Tu-Su 12:00-14:00</t>
  </si>
  <si>
    <t xml:space="preserve">La P'tite Gouaille</t>
  </si>
  <si>
    <t xml:space="preserve">05 61 23 91 90</t>
  </si>
  <si>
    <t xml:space="preserve">Mo-Fr 19:00-23:45; Sa 12:00-14:45,19:00-00:30,Su 12:00-14:45,19:00-23:45</t>
  </si>
  <si>
    <t xml:space="preserve">La Palmeraie</t>
  </si>
  <si>
    <t xml:space="preserve">1 Avenue de Fondeyre</t>
  </si>
  <si>
    <t xml:space="preserve">09 63 64 36 85</t>
  </si>
  <si>
    <t xml:space="preserve">https://www.hotel-restaurant-la-palmeraie.fr/</t>
  </si>
  <si>
    <t xml:space="preserve">La Paniolade</t>
  </si>
  <si>
    <t xml:space="preserve">146 Boulevard de Suisse</t>
  </si>
  <si>
    <t xml:space="preserve">05 61 13 00 72</t>
  </si>
  <si>
    <t xml:space="preserve">https://www.lapaniolade.fr/</t>
  </si>
  <si>
    <t xml:space="preserve">Mo-Fr 12:00-14:00, 19:00-22:30</t>
  </si>
  <si>
    <t xml:space="preserve">La Pastasciutta</t>
  </si>
  <si>
    <t xml:space="preserve">Pizza, Pâtes</t>
  </si>
  <si>
    <t xml:space="preserve">05 61 62 69 39</t>
  </si>
  <si>
    <t xml:space="preserve">https://lapastasciutta.fr/</t>
  </si>
  <si>
    <t xml:space="preserve">Tu-Fr 12:00-13:30,19:00-22:30; Sa 19:00-22:30</t>
  </si>
  <si>
    <t xml:space="preserve">La Pecora Nera</t>
  </si>
  <si>
    <t xml:space="preserve">4 Rue Valentina Terechkova</t>
  </si>
  <si>
    <t xml:space="preserve">05 61 73 42 41</t>
  </si>
  <si>
    <t xml:space="preserve">https://commande-en-ligne.laddition.com/commande-en-ligne/lapecoranera-click-and-collect</t>
  </si>
  <si>
    <t xml:space="preserve">Tu-Th 11:30-14:00,18:30-21:30; Fr,Sa 11:30-14:00,18:30-22:00; Su 18:30-22:00</t>
  </si>
  <si>
    <t xml:space="preserve">La Pergola</t>
  </si>
  <si>
    <t xml:space="preserve">05 61 49 29 10</t>
  </si>
  <si>
    <t xml:space="preserve">http://lacompagniedespergos.fr/</t>
  </si>
  <si>
    <t xml:space="preserve">Mo-Fr 12:00-14:15; Mo-Th 19:30-22:30; Fr-Sa 19:30-23:00</t>
  </si>
  <si>
    <t xml:space="preserve">La perle des Antilles</t>
  </si>
  <si>
    <t xml:space="preserve">La Perse Restaurant</t>
  </si>
  <si>
    <t xml:space="preserve">Persane</t>
  </si>
  <si>
    <t xml:space="preserve">4 Place Arnaud Bernard</t>
  </si>
  <si>
    <t xml:space="preserve">05 61 21 56 18</t>
  </si>
  <si>
    <t xml:space="preserve">https://la-perse-restaurant-toulouse.fr/</t>
  </si>
  <si>
    <t xml:space="preserve">08:30-14:30,18:30-22:30; Mo-Fr 08:30-15:30; Sa, Su 08:30-16:00; Mo-Su 18:30-22:30</t>
  </si>
  <si>
    <t xml:space="preserve">La petite cantine</t>
  </si>
  <si>
    <t xml:space="preserve">85 Rue Gabriel Péri</t>
  </si>
  <si>
    <t xml:space="preserve">La Petite Italie</t>
  </si>
  <si>
    <t xml:space="preserve">18 Avenue de la Gloire</t>
  </si>
  <si>
    <t xml:space="preserve">09 83 25 22 51</t>
  </si>
  <si>
    <t xml:space="preserve">https://petiteitalie.fr</t>
  </si>
  <si>
    <t xml:space="preserve">We-Su 18:00-22:00</t>
  </si>
  <si>
    <t xml:space="preserve">La Petite Robe Noire</t>
  </si>
  <si>
    <t xml:space="preserve">32 Rue Pierre Paul Riquet</t>
  </si>
  <si>
    <t xml:space="preserve">05 32 10 80 50</t>
  </si>
  <si>
    <t xml:space="preserve">https://la-petite-robe-noire.fr</t>
  </si>
  <si>
    <t xml:space="preserve">Mo-Fr 11:30-14:30; Su 10:00-13:00</t>
  </si>
  <si>
    <t xml:space="preserve">La Pizzeria</t>
  </si>
  <si>
    <t xml:space="preserve">05 62 16 06 60</t>
  </si>
  <si>
    <t xml:space="preserve">https://www.lapizzeria31.fr/</t>
  </si>
  <si>
    <t xml:space="preserve">Mo-Sa 11:00-14:00,18:00-23:00; Su,PH 18:00-23:00; Jul-Aug 18:00-00:00</t>
  </si>
  <si>
    <t xml:space="preserve">La raffinerie des copains</t>
  </si>
  <si>
    <t xml:space="preserve">Traditionnelle</t>
  </si>
  <si>
    <t xml:space="preserve">161 Avenue Jean Chaubet</t>
  </si>
  <si>
    <t xml:space="preserve">09 67 09 30 86</t>
  </si>
  <si>
    <t xml:space="preserve">La Rajasthani</t>
  </si>
  <si>
    <t xml:space="preserve">05 62 27 08 91</t>
  </si>
  <si>
    <t xml:space="preserve">https://www.larajasthani.fr/</t>
  </si>
  <si>
    <t xml:space="preserve">Mo-Su 12:00-14:00,19:00-22:30</t>
  </si>
  <si>
    <t xml:space="preserve">La Romantica</t>
  </si>
  <si>
    <t xml:space="preserve">05 61 47 79 79</t>
  </si>
  <si>
    <t xml:space="preserve">https://www.fratellirizzo.fr</t>
  </si>
  <si>
    <t xml:space="preserve">Tu-Fr 11:30-14:00,18:45-22:00; Sa 18:45-22:00</t>
  </si>
  <si>
    <t xml:space="preserve">La Romarine</t>
  </si>
  <si>
    <t xml:space="preserve">La Rosa Negra</t>
  </si>
  <si>
    <t xml:space="preserve">05 34 33 25 82</t>
  </si>
  <si>
    <t xml:space="preserve">https://victor-hugo.rosa-negra.fr/la-rosa-cote-victor-hugo</t>
  </si>
  <si>
    <t xml:space="preserve">Mo-Fr 16:00-02:00; Sa 12:00-03:00; Su 12:00-21:00</t>
  </si>
  <si>
    <t xml:space="preserve">La Rosa Negra "Côté Barcelone"</t>
  </si>
  <si>
    <t xml:space="preserve">05 61 22 19 62</t>
  </si>
  <si>
    <t xml:space="preserve">https://cote-barcelone.rosa-negra.fr/la-rosa-cote-barcelone</t>
  </si>
  <si>
    <t xml:space="preserve">Mo-Fr 17:00-02:00; Sa 17:00-03:00</t>
  </si>
  <si>
    <t xml:space="preserve">La rosa negra "côté Saint-Cyprien"</t>
  </si>
  <si>
    <t xml:space="preserve">5 Place Jean Diébold</t>
  </si>
  <si>
    <t xml:space="preserve">Tu-Fr 17:00-02:00, Sa 12:00-03:00</t>
  </si>
  <si>
    <t xml:space="preserve">La Rosa Negra côté Cancha</t>
  </si>
  <si>
    <t xml:space="preserve">05 34 42 13 02</t>
  </si>
  <si>
    <t xml:space="preserve">https://cote-cancha.rosa-negra.fr/la-rosa-cote-cancha</t>
  </si>
  <si>
    <t xml:space="preserve">La Réserve</t>
  </si>
  <si>
    <t xml:space="preserve">Pizza, Française</t>
  </si>
  <si>
    <t xml:space="preserve">05 61 21 84 00</t>
  </si>
  <si>
    <t xml:space="preserve">https://www.lareservetoulouse.fr/</t>
  </si>
  <si>
    <t xml:space="preserve">Mo-Sa 12:00-23:00; Su 11:00-23:00</t>
  </si>
  <si>
    <t xml:space="preserve">La Sandia</t>
  </si>
  <si>
    <t xml:space="preserve">Mexicaine</t>
  </si>
  <si>
    <t xml:space="preserve">8 Rue Jean Palaprat</t>
  </si>
  <si>
    <t xml:space="preserve">05 61 63 19 23</t>
  </si>
  <si>
    <t xml:space="preserve">Mo-Sa 20:00-24:00</t>
  </si>
  <si>
    <t xml:space="preserve">La Santine</t>
  </si>
  <si>
    <t xml:space="preserve">Régionale / terroir, Française</t>
  </si>
  <si>
    <t xml:space="preserve">05 61 21 86 18</t>
  </si>
  <si>
    <t xml:space="preserve">https://www.la-santine.com/</t>
  </si>
  <si>
    <t xml:space="preserve">La Sauterelle</t>
  </si>
  <si>
    <t xml:space="preserve">09 83 65 18 21</t>
  </si>
  <si>
    <t xml:space="preserve">https://sauterelletoulouse.wordpress.com</t>
  </si>
  <si>
    <t xml:space="preserve">Tu-Sa 12:00-14:00, 19:00-22:00</t>
  </si>
  <si>
    <t xml:space="preserve">La Sen</t>
  </si>
  <si>
    <t xml:space="preserve">We-Su 12:00-15:00, 19:00-22:00</t>
  </si>
  <si>
    <t xml:space="preserve">La soupe au caillou</t>
  </si>
  <si>
    <t xml:space="preserve">15 Rue Charles Gounod</t>
  </si>
  <si>
    <t xml:space="preserve">05 62 72 81 46</t>
  </si>
  <si>
    <t xml:space="preserve">http://lasoupeaucaillou.fr/</t>
  </si>
  <si>
    <t xml:space="preserve">Mo-Fr 08:00-14:30</t>
  </si>
  <si>
    <t xml:space="preserve">La Source du Nil</t>
  </si>
  <si>
    <t xml:space="preserve">La Table d'Ariane</t>
  </si>
  <si>
    <t xml:space="preserve">https://www.hotel-ariane-toulouse.fr/fr/page/la-table-d-ariane</t>
  </si>
  <si>
    <t xml:space="preserve">Mo-Th 12:00-14:00,19:00-23:00; Fr 12:00-14:00</t>
  </si>
  <si>
    <t xml:space="preserve">La Table d'Emile &amp; Fernand</t>
  </si>
  <si>
    <t xml:space="preserve">05 62 80 48 94</t>
  </si>
  <si>
    <t xml:space="preserve">https://www.latabledemiletoulouse.fr/</t>
  </si>
  <si>
    <t xml:space="preserve">La Tantina de la Playa</t>
  </si>
  <si>
    <t xml:space="preserve">59 Avenue Antoine de Saint-Exupéry</t>
  </si>
  <si>
    <t xml:space="preserve">05 61 54 59 59</t>
  </si>
  <si>
    <t xml:space="preserve">https://tantinadelaplaya.com/restaurant-poisson-toulouse/</t>
  </si>
  <si>
    <t xml:space="preserve">Mo-Fr 12:00-14:00, 19:30-22:00</t>
  </si>
  <si>
    <t xml:space="preserve">La Taqueria</t>
  </si>
  <si>
    <t xml:space="preserve">Mexicaine, Tapas</t>
  </si>
  <si>
    <t xml:space="preserve">05 34 43 81 13</t>
  </si>
  <si>
    <t xml:space="preserve">https://lataqueriatoulouse.fr</t>
  </si>
  <si>
    <t xml:space="preserve">La Taqueria Toulouse</t>
  </si>
  <si>
    <t xml:space="preserve">Mexicaine, Tacos</t>
  </si>
  <si>
    <t xml:space="preserve">06 19 04 36 05</t>
  </si>
  <si>
    <t xml:space="preserve">https://lataqueriatoulouse.fr/</t>
  </si>
  <si>
    <t xml:space="preserve">Tu-Sa 12:00-14:00,19:30-22:30</t>
  </si>
  <si>
    <t xml:space="preserve">La Toulousaine de Restauration</t>
  </si>
  <si>
    <t xml:space="preserve">Mo-Fr 11:30-13:45+</t>
  </si>
  <si>
    <t xml:space="preserve">La Verrière</t>
  </si>
  <si>
    <t xml:space="preserve">05 61 47 28 35</t>
  </si>
  <si>
    <t xml:space="preserve">https://www.laverriere-toulouse.fr</t>
  </si>
  <si>
    <t xml:space="preserve">Tu-Sa 12:00-14:00,19:30-21:30</t>
  </si>
  <si>
    <t xml:space="preserve">La Villa</t>
  </si>
  <si>
    <t xml:space="preserve">La Villa Clapotis</t>
  </si>
  <si>
    <t xml:space="preserve">Poisson</t>
  </si>
  <si>
    <t xml:space="preserve">05 61 75 86 58</t>
  </si>
  <si>
    <t xml:space="preserve">La Villa des Oliviers</t>
  </si>
  <si>
    <t xml:space="preserve">https://www.villadesoliviers.fr</t>
  </si>
  <si>
    <t xml:space="preserve">Lady Sushi</t>
  </si>
  <si>
    <t xml:space="preserve">https://lady-sushi.fr/</t>
  </si>
  <si>
    <t xml:space="preserve">Lamama</t>
  </si>
  <si>
    <t xml:space="preserve">Salon de thé, Salades, Brunch, Pâtisserie, Sandwicherie</t>
  </si>
  <si>
    <t xml:space="preserve">3 Rue Louise Weiss</t>
  </si>
  <si>
    <t xml:space="preserve">06 66 18 68 01</t>
  </si>
  <si>
    <t xml:space="preserve">Mo-Fr 08:00-22:00; Sa 09:00-23:00; Su 09:00-19:00</t>
  </si>
  <si>
    <t xml:space="preserve">Las Tapas Locas</t>
  </si>
  <si>
    <t xml:space="preserve">2 Rue des Trois Journées</t>
  </si>
  <si>
    <t xml:space="preserve">Tu-Sa 19:00-23:00</t>
  </si>
  <si>
    <t xml:space="preserve">Le 101</t>
  </si>
  <si>
    <t xml:space="preserve">101 Route d'Agde</t>
  </si>
  <si>
    <t xml:space="preserve">05 34 44 00 69</t>
  </si>
  <si>
    <t xml:space="preserve">https://www.complexe101.fr/</t>
  </si>
  <si>
    <t xml:space="preserve">Le 224</t>
  </si>
  <si>
    <t xml:space="preserve">Africaine, Grill / viandes</t>
  </si>
  <si>
    <t xml:space="preserve">06 05 62 62 18 / 07 67 71 67 61</t>
  </si>
  <si>
    <t xml:space="preserve">Le 4uatre</t>
  </si>
  <si>
    <t xml:space="preserve">4 Avenue Crampel</t>
  </si>
  <si>
    <t xml:space="preserve">05 61 14 15 92</t>
  </si>
  <si>
    <t xml:space="preserve">Mo-Sa 10:00-15:00</t>
  </si>
  <si>
    <t xml:space="preserve">Le Bangalore</t>
  </si>
  <si>
    <t xml:space="preserve">05 61 63 71 40 / 06 51 82 55 64</t>
  </si>
  <si>
    <t xml:space="preserve">PH,We-Mo 12:00-14:40, PH,Mo-Su 19:00-23:30</t>
  </si>
  <si>
    <t xml:space="preserve">Le Baratie</t>
  </si>
  <si>
    <t xml:space="preserve">39 Boulevard des Récollets</t>
  </si>
  <si>
    <t xml:space="preserve">05 67 06 32 34</t>
  </si>
  <si>
    <t xml:space="preserve">https://www.lebaratie.com</t>
  </si>
  <si>
    <t xml:space="preserve">Mo-Fr 11:45-14:00,18:30-22:30,Sa-Su 18:30-23:00</t>
  </si>
  <si>
    <t xml:space="preserve">Le Bateau Lavoir</t>
  </si>
  <si>
    <t xml:space="preserve">05 67 06 28 04</t>
  </si>
  <si>
    <t xml:space="preserve">We-Sa 19:30-23:30; Su 12:00-15:00; Mo-Tu off</t>
  </si>
  <si>
    <t xml:space="preserve">Le Bidule</t>
  </si>
  <si>
    <t xml:space="preserve">Burger, Tapas, Française</t>
  </si>
  <si>
    <t xml:space="preserve">30 Avenue Jean Dagnaux</t>
  </si>
  <si>
    <t xml:space="preserve">05 61 21 61 29</t>
  </si>
  <si>
    <t xml:space="preserve">https://brasserie-lebidule.com/</t>
  </si>
  <si>
    <t xml:space="preserve">Mo-Fr 09:00-22:00</t>
  </si>
  <si>
    <t xml:space="preserve">Le Biergarten Saint Michel</t>
  </si>
  <si>
    <t xml:space="preserve">Allemande</t>
  </si>
  <si>
    <t xml:space="preserve">05 61 73 83 77</t>
  </si>
  <si>
    <t xml:space="preserve">https://lebiergarten-saintmichel.fr/</t>
  </si>
  <si>
    <t xml:space="preserve">Tu-Sa 17:00-02:00; Mo 17:00-01:00; Su 17:00-00:00</t>
  </si>
  <si>
    <t xml:space="preserve">Le Bistronum</t>
  </si>
  <si>
    <t xml:space="preserve">Bistrot</t>
  </si>
  <si>
    <t xml:space="preserve">2 Rond-Point de Madame de Mondonville</t>
  </si>
  <si>
    <t xml:space="preserve">06 88 13 90 81</t>
  </si>
  <si>
    <t xml:space="preserve">https://lemetronum.fr/bistronum/</t>
  </si>
  <si>
    <t xml:space="preserve">Mo-Fr 12:00-14:00</t>
  </si>
  <si>
    <t xml:space="preserve">Le Bistroquet à la Une</t>
  </si>
  <si>
    <t xml:space="preserve">10 Rue Labéda</t>
  </si>
  <si>
    <t xml:space="preserve">https://alaunefamily.com/bistroquet-toulouse/</t>
  </si>
  <si>
    <t xml:space="preserve">Mo-Su 09:00-23:00</t>
  </si>
  <si>
    <t xml:space="preserve">Le bistrot d'Hercule</t>
  </si>
  <si>
    <t xml:space="preserve">05 61 23 12 20</t>
  </si>
  <si>
    <t xml:space="preserve">Le bistrot du Port</t>
  </si>
  <si>
    <t xml:space="preserve">Su-Th 09:00-21:30; Fr,Sa 09:00-22:00</t>
  </si>
  <si>
    <t xml:space="preserve">Le Bistrot Libanais</t>
  </si>
  <si>
    <t xml:space="preserve">05 31 54 30 17</t>
  </si>
  <si>
    <t xml:space="preserve">https://le-bistrot-libanais-toulouse.eatbu.com/</t>
  </si>
  <si>
    <t xml:space="preserve">Le Bombay</t>
  </si>
  <si>
    <t xml:space="preserve">05 61 23 06 90</t>
  </si>
  <si>
    <t xml:space="preserve">https://lebombaytoulouse.fr/</t>
  </si>
  <si>
    <t xml:space="preserve">Mo-Fr 11:30-14:30,18:30-23:00; Sa-Su 11:30-14:30,18:30-23:30</t>
  </si>
  <si>
    <t xml:space="preserve">Le Bon Saint-Simon</t>
  </si>
  <si>
    <t xml:space="preserve">Tu-Sa 18:30-22:00</t>
  </si>
  <si>
    <t xml:space="preserve">Le Bouillon Capitole</t>
  </si>
  <si>
    <t xml:space="preserve">05 61 21 37 03</t>
  </si>
  <si>
    <t xml:space="preserve">https://www.bouilloncapitole.fr/fr/</t>
  </si>
  <si>
    <t xml:space="preserve">Mo-Su 11:30-23:00</t>
  </si>
  <si>
    <t xml:space="preserve">Le Boulis</t>
  </si>
  <si>
    <t xml:space="preserve">142 Rue de Négreneys</t>
  </si>
  <si>
    <t xml:space="preserve">05 61 57 42 12</t>
  </si>
  <si>
    <t xml:space="preserve">https://restaurantleboulis.com/</t>
  </si>
  <si>
    <t xml:space="preserve">Le Bristol</t>
  </si>
  <si>
    <t xml:space="preserve">Mo-Su 06:30-23:00</t>
  </si>
  <si>
    <t xml:space="preserve">Le Buffet du Grand Marché</t>
  </si>
  <si>
    <t xml:space="preserve">Th 05:00-15:00,19:30-23:30; Fr 04:15-15:00,19:30-23:30; Mo,We 04:15-15:00; Tu 05:00-15:00; Sa 12:00-15:00,19:30-23:30; Su 12:00-15:00</t>
  </si>
  <si>
    <t xml:space="preserve">Le Bus 111</t>
  </si>
  <si>
    <t xml:space="preserve">111 Avenue de Lespinet</t>
  </si>
  <si>
    <t xml:space="preserve">09 80 34 21 05</t>
  </si>
  <si>
    <t xml:space="preserve">https://lebus111.fr/</t>
  </si>
  <si>
    <t xml:space="preserve">Tu-Sa 12:00-15:00, 20:00-23:30</t>
  </si>
  <si>
    <t xml:space="preserve">Le Cabanon</t>
  </si>
  <si>
    <t xml:space="preserve">05 61 23 64 71</t>
  </si>
  <si>
    <t xml:space="preserve">https://le-cabanon-toulouse.fr/</t>
  </si>
  <si>
    <t xml:space="preserve">Mo 17:00-24:00; Tu-Th 11:00-14:30,17:00-24:00; Fr-Su 11:00-24:00</t>
  </si>
  <si>
    <t xml:space="preserve">Le café du midi</t>
  </si>
  <si>
    <t xml:space="preserve">Le Cantou</t>
  </si>
  <si>
    <t xml:space="preserve">98 Rue Velasquez</t>
  </si>
  <si>
    <t xml:space="preserve">05 61 49 20 21</t>
  </si>
  <si>
    <t xml:space="preserve">https://www.cantou.fr/</t>
  </si>
  <si>
    <t xml:space="preserve">Mo-Fr 12:00-14:00,19:30-22:30</t>
  </si>
  <si>
    <t xml:space="preserve">Le Carré Gourmand</t>
  </si>
  <si>
    <t xml:space="preserve">05 61 11 48 72</t>
  </si>
  <si>
    <t xml:space="preserve">Le Chai Saint-Sauveur</t>
  </si>
  <si>
    <t xml:space="preserve">Le Chalet</t>
  </si>
  <si>
    <t xml:space="preserve">Le Chef du Burger</t>
  </si>
  <si>
    <t xml:space="preserve">Tu-Th 11:30-14:30, 18:30-23:00; Fr 19:00-00:00; Sa-Su 12:00-15:00, 19:00-00:00</t>
  </si>
  <si>
    <t xml:space="preserve">Le Chevillard</t>
  </si>
  <si>
    <t xml:space="preserve">Grill / viandes, Française, Coffee shop, Produits locaux, Friture, Bols de bœuf, Diner américain</t>
  </si>
  <si>
    <t xml:space="preserve">05 61 21 32 02</t>
  </si>
  <si>
    <t xml:space="preserve">https://lechevillard.fr/</t>
  </si>
  <si>
    <t xml:space="preserve">Tu-Fr 12:00-14:00, 20:00-23:00; Sa 20:00-23:00</t>
  </si>
  <si>
    <t xml:space="preserve">Le coin des producteurs</t>
  </si>
  <si>
    <t xml:space="preserve">Régionale / terroir, Produits locaux</t>
  </si>
  <si>
    <t xml:space="preserve">33 Avenue de Larrieu</t>
  </si>
  <si>
    <t xml:space="preserve">05 61 76 53 88</t>
  </si>
  <si>
    <t xml:space="preserve">Mo-Su 09:00-19:00; Sa 11:00-17:30</t>
  </si>
  <si>
    <t xml:space="preserve">Le Colombier</t>
  </si>
  <si>
    <t xml:space="preserve">Tu,We 12:00-13:30, Th,Sa 12:00-14:00, Fr 12:00-14:15, Mo-Sa 19:00-22:30</t>
  </si>
  <si>
    <t xml:space="preserve">Le Comptoir du Rex</t>
  </si>
  <si>
    <t xml:space="preserve">05 61 21 82 72</t>
  </si>
  <si>
    <t xml:space="preserve">http://www.lecomptoirdurex.com/fr/</t>
  </si>
  <si>
    <t xml:space="preserve">Mo-Th 12:00-14:00; Fr 12:00-14:00,19:00-02:00; Sa 19:00-02:00</t>
  </si>
  <si>
    <t xml:space="preserve">Le Comptoir Gourmand</t>
  </si>
  <si>
    <t xml:space="preserve">05 62 57 97 78</t>
  </si>
  <si>
    <t xml:space="preserve">https://www.lecomptoir-gourmand.com/</t>
  </si>
  <si>
    <t xml:space="preserve">Mo-Th 12:00-14:00,19:30-22:30; Fr-Sa 12:00-14:00,19:30-23:00</t>
  </si>
  <si>
    <t xml:space="preserve">Le Comptoir Italien</t>
  </si>
  <si>
    <t xml:space="preserve">05 32 02 54 67</t>
  </si>
  <si>
    <t xml:space="preserve">Le Comptoir à Pizzas</t>
  </si>
  <si>
    <t xml:space="preserve">05 62 86 24 94</t>
  </si>
  <si>
    <t xml:space="preserve">https://www.comptoirapizzas.com/</t>
  </si>
  <si>
    <t xml:space="preserve">Mo-Sa 11:30-14:00, Mo-Su 18:30-22:30</t>
  </si>
  <si>
    <t xml:space="preserve">Le Coq en Pâte</t>
  </si>
  <si>
    <t xml:space="preserve">05 32 02 43 39</t>
  </si>
  <si>
    <t xml:space="preserve">https://www.lecoqenpate-restaurant.fr/</t>
  </si>
  <si>
    <t xml:space="preserve">Mo-Fr 12:00-13:15; Th, Fr 19:30-21:15</t>
  </si>
  <si>
    <t xml:space="preserve">Le Coup de fourchette</t>
  </si>
  <si>
    <t xml:space="preserve">15 Avenue de Larrieu</t>
  </si>
  <si>
    <t xml:space="preserve">05 62 87 99 50</t>
  </si>
  <si>
    <t xml:space="preserve">http://www.le-coup-de-fourchette.fr/</t>
  </si>
  <si>
    <t xml:space="preserve">Le Court Circuit</t>
  </si>
  <si>
    <t xml:space="preserve">4 Rue Réclusane</t>
  </si>
  <si>
    <t xml:space="preserve">09 87 73 66 07</t>
  </si>
  <si>
    <t xml:space="preserve">Mo-Sa 12:00-13:30,19:30-21:30</t>
  </si>
  <si>
    <t xml:space="preserve">Le Cri de la Truffe</t>
  </si>
  <si>
    <t xml:space="preserve">05 61 14 25 35</t>
  </si>
  <si>
    <t xml:space="preserve">https://lecridelatruffe.com/</t>
  </si>
  <si>
    <t xml:space="preserve">Mo-Sa 12:00-22:30</t>
  </si>
  <si>
    <t xml:space="preserve">Le Cénacle</t>
  </si>
  <si>
    <t xml:space="preserve">46 Rue des Couteliers</t>
  </si>
  <si>
    <t xml:space="preserve">https://www.restaurant-lecenacle.com</t>
  </si>
  <si>
    <t xml:space="preserve">Tu-Fr 12:00-14:00, 19:30-22:00; Sa 19:30-21:00</t>
  </si>
  <si>
    <t xml:space="preserve">Le d'Artagnan</t>
  </si>
  <si>
    <t xml:space="preserve">60 Boulevard de Suisse</t>
  </si>
  <si>
    <t xml:space="preserve">05 61 13 42 37</t>
  </si>
  <si>
    <t xml:space="preserve">Le Dahu</t>
  </si>
  <si>
    <t xml:space="preserve">05 61 13 73 13</t>
  </si>
  <si>
    <t xml:space="preserve">Le Dakar</t>
  </si>
  <si>
    <t xml:space="preserve">Mo-Sa 12:00-17:00,18:00-24:00; Su 18:00-24:00</t>
  </si>
  <si>
    <t xml:space="preserve">Le Dynastie</t>
  </si>
  <si>
    <t xml:space="preserve">Chinoise, Japonaise, Asiatique, Sushi, Buffet</t>
  </si>
  <si>
    <t xml:space="preserve">05 61 48 21 46</t>
  </si>
  <si>
    <t xml:space="preserve">https://www.ledynastie-toulouse.fr</t>
  </si>
  <si>
    <t xml:space="preserve">Le Déclic</t>
  </si>
  <si>
    <t xml:space="preserve">Crêperie, Tapas</t>
  </si>
  <si>
    <t xml:space="preserve">09 75 66 36 97</t>
  </si>
  <si>
    <t xml:space="preserve">https://ledeclic.pub</t>
  </si>
  <si>
    <t xml:space="preserve">Le Faubourg</t>
  </si>
  <si>
    <t xml:space="preserve">17 Rue Paul Charrier</t>
  </si>
  <si>
    <t xml:space="preserve">http://www.lefaubourg.fr/</t>
  </si>
  <si>
    <t xml:space="preserve">Le Fifteen</t>
  </si>
  <si>
    <t xml:space="preserve">Le Galuchat</t>
  </si>
  <si>
    <t xml:space="preserve">40 Rue des Lois</t>
  </si>
  <si>
    <t xml:space="preserve">05 61 29 02 99</t>
  </si>
  <si>
    <t xml:space="preserve">https://www.legaluchat.club/</t>
  </si>
  <si>
    <t xml:space="preserve">Mo-Fr 09:00-17:00; Sa,Su off</t>
  </si>
  <si>
    <t xml:space="preserve">Le Gandhi</t>
  </si>
  <si>
    <t xml:space="preserve">06 43 01 46 77</t>
  </si>
  <si>
    <t xml:space="preserve">https://restaurantlegandhi.com/</t>
  </si>
  <si>
    <t xml:space="preserve">Mo-Su 11:30-14:30,18:30-22:30</t>
  </si>
  <si>
    <t xml:space="preserve">Le Genty Magre</t>
  </si>
  <si>
    <t xml:space="preserve">05 61 21 38 60</t>
  </si>
  <si>
    <t xml:space="preserve">https://www.legentymagre.com/</t>
  </si>
  <si>
    <t xml:space="preserve">Le Goût en Train</t>
  </si>
  <si>
    <t xml:space="preserve">05 62 30 08 08</t>
  </si>
  <si>
    <t xml:space="preserve">Mo-Fr 09:00-17:00</t>
  </si>
  <si>
    <t xml:space="preserve">Le Grand Café du Stade</t>
  </si>
  <si>
    <t xml:space="preserve">Le Grenier de Pépé</t>
  </si>
  <si>
    <t xml:space="preserve">Régionale / terroir, Crêperie</t>
  </si>
  <si>
    <t xml:space="preserve">05 61 20 07 45</t>
  </si>
  <si>
    <t xml:space="preserve">https://www.legrenierdepepe.com/</t>
  </si>
  <si>
    <t xml:space="preserve">Mo-Fr 12:00-14:00, 19:30-21:30; Su 19:30-21:30</t>
  </si>
  <si>
    <t xml:space="preserve">Le Gros Arbre</t>
  </si>
  <si>
    <t xml:space="preserve">07 65 87 29 34</t>
  </si>
  <si>
    <t xml:space="preserve">Mo-Su 12:00-23:45</t>
  </si>
  <si>
    <t xml:space="preserve">Le J'Go</t>
  </si>
  <si>
    <t xml:space="preserve">https://lejgo.com/lieux/le-jgo-toulouse/</t>
  </si>
  <si>
    <t xml:space="preserve">Le Jardin</t>
  </si>
  <si>
    <t xml:space="preserve">05 62 57 83 97</t>
  </si>
  <si>
    <t xml:space="preserve">https://www.lejardin-toulouse.fr/fr/</t>
  </si>
  <si>
    <t xml:space="preserve">Le King</t>
  </si>
  <si>
    <t xml:space="preserve">Vietnamienne, Chinoise</t>
  </si>
  <si>
    <t xml:space="preserve">05 61 53 28 25</t>
  </si>
  <si>
    <t xml:space="preserve">https://fr-fr.facebook.com/Le-KING-272600449490147/</t>
  </si>
  <si>
    <t xml:space="preserve">Tu-Sa 11:30-14:00, 18:30-22:30</t>
  </si>
  <si>
    <t xml:space="preserve">Le Kiosque de la Roseraie</t>
  </si>
  <si>
    <t xml:space="preserve">Tartines</t>
  </si>
  <si>
    <t xml:space="preserve">06 47 15 78 22</t>
  </si>
  <si>
    <t xml:space="preserve">https://lekiosquedelaroseraie.fr/</t>
  </si>
  <si>
    <t xml:space="preserve">Mo-Fr 08:00-14:00</t>
  </si>
  <si>
    <t xml:space="preserve">Le Ksar</t>
  </si>
  <si>
    <t xml:space="preserve">Marocaine, Méditerranéenne</t>
  </si>
  <si>
    <t xml:space="preserve">7 Rue Perchepinte</t>
  </si>
  <si>
    <t xml:space="preserve">05 61 53 72 20</t>
  </si>
  <si>
    <t xml:space="preserve">http://www.leksar.fr/</t>
  </si>
  <si>
    <t xml:space="preserve">Le Kyoto</t>
  </si>
  <si>
    <t xml:space="preserve">Le Louchebem</t>
  </si>
  <si>
    <t xml:space="preserve">05 67 00 51 75</t>
  </si>
  <si>
    <t xml:space="preserve">https://www.facebook.com/pages/Le-Louchebem/128704637179698</t>
  </si>
  <si>
    <t xml:space="preserve">Le Lusso</t>
  </si>
  <si>
    <t xml:space="preserve">Place du Docteur Joseph Baylac</t>
  </si>
  <si>
    <t xml:space="preserve">Mo-Fr 12:00-14:00, 19:30-21:30</t>
  </si>
  <si>
    <t xml:space="preserve">le M'BWAFOUÈ</t>
  </si>
  <si>
    <t xml:space="preserve">Le Magret</t>
  </si>
  <si>
    <t xml:space="preserve">05 61 23 21 32</t>
  </si>
  <si>
    <t xml:space="preserve">http://www.restaurant-lemagret.com/</t>
  </si>
  <si>
    <t xml:space="preserve">Tu-Fr 11:45-14:00; Sa,Su 11:45-15:00</t>
  </si>
  <si>
    <t xml:space="preserve">Le Maharaja</t>
  </si>
  <si>
    <t xml:space="preserve">05 34 30 50 12</t>
  </si>
  <si>
    <t xml:space="preserve">https://www.maharajatoulouse.fr/</t>
  </si>
  <si>
    <t xml:space="preserve">Su-Th 11:30-14:00,18:30-23:30; Fr 18:30-23:30</t>
  </si>
  <si>
    <t xml:space="preserve">Le Manel</t>
  </si>
  <si>
    <t xml:space="preserve">Le maraîcher dans son assiette</t>
  </si>
  <si>
    <t xml:space="preserve">05 82 74 34 05</t>
  </si>
  <si>
    <t xml:space="preserve">Mo-Fr 10:30-15:00</t>
  </si>
  <si>
    <t xml:space="preserve">Le Marocain</t>
  </si>
  <si>
    <t xml:space="preserve">05 61 53 28 01</t>
  </si>
  <si>
    <t xml:space="preserve">https://le-marocain.fr/</t>
  </si>
  <si>
    <t xml:space="preserve">Tu-Th 19:15-21:30, Sa,Su 12:00-14:00,19:30-22:00, Fr,Sa 19:15-22:00, Su 19:15-21:30</t>
  </si>
  <si>
    <t xml:space="preserve">Le Marsiglia</t>
  </si>
  <si>
    <t xml:space="preserve">Le Mas De Dardagna</t>
  </si>
  <si>
    <t xml:space="preserve">1 Chemin de Dardagna</t>
  </si>
  <si>
    <t xml:space="preserve">Mo-Fr 12:00-13:45,20:00-21:30</t>
  </si>
  <si>
    <t xml:space="preserve">Le Mastroquet</t>
  </si>
  <si>
    <t xml:space="preserve">29</t>
  </si>
  <si>
    <t xml:space="preserve">05 61 55 34 09</t>
  </si>
  <si>
    <t xml:space="preserve">Le May</t>
  </si>
  <si>
    <t xml:space="preserve">05 61 23 98 76</t>
  </si>
  <si>
    <t xml:space="preserve">http://lemay-toulouse.fr/</t>
  </si>
  <si>
    <t xml:space="preserve">Mo-Th 12:00-14:00,19:30-22:30; Fr-Sa 12:00-14:00,20:00-23:00; Su 19:30-22:30</t>
  </si>
  <si>
    <t xml:space="preserve">Le Mayombe</t>
  </si>
  <si>
    <t xml:space="preserve">Mo,Th-Sa 19:00-24:00</t>
  </si>
  <si>
    <t xml:space="preserve">Le Menhir</t>
  </si>
  <si>
    <t xml:space="preserve">Crêperie, Française</t>
  </si>
  <si>
    <t xml:space="preserve">05 61 80 57 72</t>
  </si>
  <si>
    <t xml:space="preserve">https://www.creperie-le-menhir-31.com</t>
  </si>
  <si>
    <t xml:space="preserve">We 19:00-22:00; Th-Sa 12:00-14:00,19:00-22:00</t>
  </si>
  <si>
    <t xml:space="preserve">Le Moaï</t>
  </si>
  <si>
    <t xml:space="preserve">35 Allées Jules Guesde</t>
  </si>
  <si>
    <t xml:space="preserve">05 34 31 67 85</t>
  </si>
  <si>
    <t xml:space="preserve">http://www.lemoai.com</t>
  </si>
  <si>
    <t xml:space="preserve">Tu-Su 10:00-18:00</t>
  </si>
  <si>
    <t xml:space="preserve">Le monde de jennah</t>
  </si>
  <si>
    <t xml:space="preserve">Marocaine, Burger</t>
  </si>
  <si>
    <t xml:space="preserve">39 Avenue des Minimes</t>
  </si>
  <si>
    <t xml:space="preserve">09 52 28 47 77</t>
  </si>
  <si>
    <t xml:space="preserve">https://au-monde-de-jennah.business.site/</t>
  </si>
  <si>
    <t xml:space="preserve">Tu-Th 10:00-19:00; Fr-Sa 10:00-23:00; Su 11:00-15:00</t>
  </si>
  <si>
    <t xml:space="preserve">Le monde est à nous</t>
  </si>
  <si>
    <t xml:space="preserve">Le Monica</t>
  </si>
  <si>
    <t xml:space="preserve">5 Rue Jacques Cujas</t>
  </si>
  <si>
    <t xml:space="preserve">05 61 12 10 22</t>
  </si>
  <si>
    <t xml:space="preserve">http://www.le-monica.com/</t>
  </si>
  <si>
    <t xml:space="preserve">Le Moulin de Toulouse</t>
  </si>
  <si>
    <t xml:space="preserve">Le Muang Thaï</t>
  </si>
  <si>
    <t xml:space="preserve">136 Rue Achille Viadieu</t>
  </si>
  <si>
    <t xml:space="preserve">09 79 29 33 63</t>
  </si>
  <si>
    <t xml:space="preserve">https://le-muang-thai.fr/</t>
  </si>
  <si>
    <t xml:space="preserve">Mo 12:00-14:00; Tu-Sa 12:00-14:00,19:00-22:00</t>
  </si>
  <si>
    <t xml:space="preserve">Le Mékong</t>
  </si>
  <si>
    <t xml:space="preserve">187 Route de Bayonne</t>
  </si>
  <si>
    <t xml:space="preserve">05 34 46 53 27</t>
  </si>
  <si>
    <t xml:space="preserve">https://lemekong-thaifood.fr</t>
  </si>
  <si>
    <t xml:space="preserve">Mo-We 11:30-14:00,18:30-21:30; Th-Fr 11:30-14:00,18:30-22:30</t>
  </si>
  <si>
    <t xml:space="preserve">Le New Goa</t>
  </si>
  <si>
    <t xml:space="preserve">https://restaurantindientoulouse.fr</t>
  </si>
  <si>
    <t xml:space="preserve">Mo-Su 12:00-15:00,18:45-23:45</t>
  </si>
  <si>
    <t xml:space="preserve">Le Nez Rouge</t>
  </si>
  <si>
    <t xml:space="preserve">05 61 25 83 42</t>
  </si>
  <si>
    <t xml:space="preserve">https://www.lenezrouge.fr/</t>
  </si>
  <si>
    <t xml:space="preserve">Tu-Th 12:00-14:00,19:00-22:00; Fr-Sa 12:00-14:00,19:00-23:00</t>
  </si>
  <si>
    <t xml:space="preserve">Le Noma</t>
  </si>
  <si>
    <t xml:space="preserve">05 61 47 30 40</t>
  </si>
  <si>
    <t xml:space="preserve">https://www.lenoma.fr/</t>
  </si>
  <si>
    <t xml:space="preserve">Mo 12:00-15:00;Tu-Sa 12:00-15:00,19:00-02:00</t>
  </si>
  <si>
    <t xml:space="preserve">Le P'tit Louis</t>
  </si>
  <si>
    <t xml:space="preserve">32 Rue de la République</t>
  </si>
  <si>
    <t xml:space="preserve">09 54 89 74 35</t>
  </si>
  <si>
    <t xml:space="preserve">https://leptitlouis.fr</t>
  </si>
  <si>
    <t xml:space="preserve">Mo-Fr 12:00-15:00; Th-Fr 19:00-21:30</t>
  </si>
  <si>
    <t xml:space="preserve">Le Pacific</t>
  </si>
  <si>
    <t xml:space="preserve">Le Panache</t>
  </si>
  <si>
    <t xml:space="preserve">Le Parisien</t>
  </si>
  <si>
    <t xml:space="preserve">05 61 21 54 12</t>
  </si>
  <si>
    <t xml:space="preserve">https://restaurantleparisien.com/</t>
  </si>
  <si>
    <t xml:space="preserve">Le Patio de Lalande</t>
  </si>
  <si>
    <t xml:space="preserve">Le Pavé des Minimes</t>
  </si>
  <si>
    <t xml:space="preserve">05 61 57 38 02</t>
  </si>
  <si>
    <t xml:space="preserve">https://lepavedesminimes.com/</t>
  </si>
  <si>
    <t xml:space="preserve">Le Perche Pinte</t>
  </si>
  <si>
    <t xml:space="preserve">05 61 53 51 71</t>
  </si>
  <si>
    <t xml:space="preserve">https://leperchepinte.eatbu.com/</t>
  </si>
  <si>
    <t xml:space="preserve">Mo-Tu 12:00-14:00; Th-Fr 12:00-14:00,19:30-21:30; Sa 19:30-21:30; Su off</t>
  </si>
  <si>
    <t xml:space="preserve">Le Petit Marais</t>
  </si>
  <si>
    <t xml:space="preserve">05 34 33 51 07</t>
  </si>
  <si>
    <t xml:space="preserve">Mo-Fr 18:00-24:00; Sa-Su 12:00-24:00</t>
  </si>
  <si>
    <t xml:space="preserve">Le petit Salin</t>
  </si>
  <si>
    <t xml:space="preserve">05 61 53 64 44</t>
  </si>
  <si>
    <t xml:space="preserve">https://www.lepetitsalin.fr/</t>
  </si>
  <si>
    <t xml:space="preserve">Mo-Fr 12:00-14:30, 18:30-22:00</t>
  </si>
  <si>
    <t xml:space="preserve">Le Petit San Seb</t>
  </si>
  <si>
    <t xml:space="preserve">Espagnole, Tapas</t>
  </si>
  <si>
    <t xml:space="preserve">05 61 62 00 01</t>
  </si>
  <si>
    <t xml:space="preserve">https://lepetitsanseb.com/</t>
  </si>
  <si>
    <t xml:space="preserve">Tu-Sa 12:00-14:30, 18:30-23:00</t>
  </si>
  <si>
    <t xml:space="preserve">Le Petit Victor</t>
  </si>
  <si>
    <t xml:space="preserve">https://www.lepetitvictor.fr</t>
  </si>
  <si>
    <t xml:space="preserve">Tu-Sa 08:00-21:00</t>
  </si>
  <si>
    <t xml:space="preserve">Le point d'Ogre</t>
  </si>
  <si>
    <t xml:space="preserve">05 61 25 53 54</t>
  </si>
  <si>
    <t xml:space="preserve">Tu-Sa 19:30-01:00</t>
  </si>
  <si>
    <t xml:space="preserve">Le Pyrénéen</t>
  </si>
  <si>
    <t xml:space="preserve">05 61 23 38 88</t>
  </si>
  <si>
    <t xml:space="preserve">https://www.facebook.com/LePyreneen</t>
  </si>
  <si>
    <t xml:space="preserve">Su-We 12:00-14:15,19:00-23:00; Th-Sa 12:00-14:15,19:00-24:00</t>
  </si>
  <si>
    <t xml:space="preserve">Le Père Léon</t>
  </si>
  <si>
    <t xml:space="preserve">05 61 23 90 95</t>
  </si>
  <si>
    <t xml:space="preserve">https://www.pere-leon.com/toulouse/restaurant/menu/carte</t>
  </si>
  <si>
    <t xml:space="preserve">Mo-Sa 07:00-19:30</t>
  </si>
  <si>
    <t xml:space="preserve">Le QG</t>
  </si>
  <si>
    <t xml:space="preserve">https://www.instagram.com/leqgtoulouse/</t>
  </si>
  <si>
    <t xml:space="preserve">Le Quartier Libre</t>
  </si>
  <si>
    <t xml:space="preserve">Tapas, Bistrot</t>
  </si>
  <si>
    <t xml:space="preserve">Le Rajnagar</t>
  </si>
  <si>
    <t xml:space="preserve">4 Rue Alexandre Fourtanier</t>
  </si>
  <si>
    <t xml:space="preserve">Le Refuge des Copains</t>
  </si>
  <si>
    <t xml:space="preserve">Le Refuge Saint Rome</t>
  </si>
  <si>
    <t xml:space="preserve">36 Rue Saint-Rome</t>
  </si>
  <si>
    <t xml:space="preserve">Le Restaurant</t>
  </si>
  <si>
    <t xml:space="preserve">05 67 52 22 68</t>
  </si>
  <si>
    <t xml:space="preserve">https://www.lerestauranttoulouse.fr/</t>
  </si>
  <si>
    <t xml:space="preserve">Tu-Sa 12:00-13:30, Tu-Th 20:00-21:30, Fr,Sa 20:00-22:00</t>
  </si>
  <si>
    <t xml:space="preserve">Le restaurant sans nom</t>
  </si>
  <si>
    <t xml:space="preserve">09 86 07 86 07</t>
  </si>
  <si>
    <t xml:space="preserve">Le Ripaille</t>
  </si>
  <si>
    <t xml:space="preserve">Mo-Th 12:00-14:30,19:00-22:00; Fr 12:00-14:30</t>
  </si>
  <si>
    <t xml:space="preserve">Le Rocher de la Vierge</t>
  </si>
  <si>
    <t xml:space="preserve">Le Rohtang Pass</t>
  </si>
  <si>
    <t xml:space="preserve">Mo-Su 12:00-14:00,19:00-23:00</t>
  </si>
  <si>
    <t xml:space="preserve">Le Rond de Serviette</t>
  </si>
  <si>
    <t xml:space="preserve">14 Place Olivier</t>
  </si>
  <si>
    <t xml:space="preserve">05 61 42 64 14</t>
  </si>
  <si>
    <t xml:space="preserve">https://www.leronddeserviette-rivegauche.fr/</t>
  </si>
  <si>
    <t xml:space="preserve">Mo-Fr 12:00-14:00,19:30-22:00; Sa-Su off</t>
  </si>
  <si>
    <t xml:space="preserve">Le RowingClub</t>
  </si>
  <si>
    <t xml:space="preserve">19 Allée Alfred Mayssonnié</t>
  </si>
  <si>
    <t xml:space="preserve">We-Sa 12:00-15:00,19:00-22:30; Su 12:00-14:30</t>
  </si>
  <si>
    <t xml:space="preserve">Le Safran</t>
  </si>
  <si>
    <t xml:space="preserve">05 62 27 14 10</t>
  </si>
  <si>
    <t xml:space="preserve">http://lahcen.idouakass.free.fr/</t>
  </si>
  <si>
    <t xml:space="preserve">Mo-Sa 12:00-19:00; Su,PH off</t>
  </si>
  <si>
    <t xml:space="preserve">Le Saint Honest</t>
  </si>
  <si>
    <t xml:space="preserve">05 34 65 94 13</t>
  </si>
  <si>
    <t xml:space="preserve">https://www.lesainthonest.fr/</t>
  </si>
  <si>
    <t xml:space="preserve">Mo-Fr 11:45-14:00; We-Sa 19:00-21:45</t>
  </si>
  <si>
    <t xml:space="preserve">Le Saint-Sauvage</t>
  </si>
  <si>
    <t xml:space="preserve">05 61 23 56 86</t>
  </si>
  <si>
    <t xml:space="preserve">Le Saint-Simon</t>
  </si>
  <si>
    <t xml:space="preserve">Française, Pizza</t>
  </si>
  <si>
    <t xml:space="preserve">05 34 28 01 32</t>
  </si>
  <si>
    <t xml:space="preserve">https://www.lesaintsimon.fr/</t>
  </si>
  <si>
    <t xml:space="preserve">Mo-Th 12:00-13:45; Fr 12:00-13:45,19:30-21:45; Sa 19:30-21:45</t>
  </si>
  <si>
    <t xml:space="preserve">Le Semiramis</t>
  </si>
  <si>
    <t xml:space="preserve">05 61 23 66 11</t>
  </si>
  <si>
    <t xml:space="preserve">https://restaurant-semiramis.com/</t>
  </si>
  <si>
    <t xml:space="preserve">Tu-Sa 12:00-15:00,18:00-23:00;Su 12:00-15:00</t>
  </si>
  <si>
    <t xml:space="preserve">Le Servant</t>
  </si>
  <si>
    <t xml:space="preserve">06 45 02 72 96</t>
  </si>
  <si>
    <t xml:space="preserve">https://www.le-servant.com/</t>
  </si>
  <si>
    <t xml:space="preserve">Tu-Fr 12:00-21:30; Mo 19:30-21:30</t>
  </si>
  <si>
    <t xml:space="preserve">Le Shahi Dhaba</t>
  </si>
  <si>
    <t xml:space="preserve">05 62 52 26 78</t>
  </si>
  <si>
    <t xml:space="preserve">https://leshahidhaba.com/</t>
  </si>
  <si>
    <t xml:space="preserve">Le Shahrazade</t>
  </si>
  <si>
    <t xml:space="preserve">Le Shaker</t>
  </si>
  <si>
    <t xml:space="preserve">1 Rue Jean Viollis</t>
  </si>
  <si>
    <t xml:space="preserve">05 32 59 20 42</t>
  </si>
  <si>
    <t xml:space="preserve">https://www.facebook.com/leshaker31/</t>
  </si>
  <si>
    <t xml:space="preserve">Le Shaman</t>
  </si>
  <si>
    <t xml:space="preserve">Le Sherpa</t>
  </si>
  <si>
    <t xml:space="preserve">Crêperie, Salon de thé</t>
  </si>
  <si>
    <t xml:space="preserve">05 61 23 89 29</t>
  </si>
  <si>
    <t xml:space="preserve">Mo 12:00-22:00; Tu-Su 12:00-23:00</t>
  </si>
  <si>
    <t xml:space="preserve">Le Soulier</t>
  </si>
  <si>
    <t xml:space="preserve">Le St-Exupéry</t>
  </si>
  <si>
    <t xml:space="preserve">Le Sud d'Asie</t>
  </si>
  <si>
    <t xml:space="preserve">Asiatique, Chinoise</t>
  </si>
  <si>
    <t xml:space="preserve">Mo-Su 11:45-14:00,18:15-21:30</t>
  </si>
  <si>
    <t xml:space="preserve">Le Sukhothaï</t>
  </si>
  <si>
    <t xml:space="preserve">05 61 62 84 70</t>
  </si>
  <si>
    <t xml:space="preserve">https://le-sukhothai-toulouse.com/</t>
  </si>
  <si>
    <t xml:space="preserve">Le Temps des Vendanges</t>
  </si>
  <si>
    <t xml:space="preserve">05 61 42 94 66</t>
  </si>
  <si>
    <t xml:space="preserve">Mo 10:00-19:00; Tu, We, Fr, Sa 10:00-20:00; Th 10:00-22:00; Su 10:00-13:00</t>
  </si>
  <si>
    <t xml:space="preserve">Le Toec</t>
  </si>
  <si>
    <t xml:space="preserve">05 61 23 33 41</t>
  </si>
  <si>
    <t xml:space="preserve">https://www.facebook.com/Le.Toec/</t>
  </si>
  <si>
    <t xml:space="preserve">Le Troquet Garonne</t>
  </si>
  <si>
    <t xml:space="preserve">05 34 53 32 98</t>
  </si>
  <si>
    <t xml:space="preserve">https://www.letroquetgaronne.fr/</t>
  </si>
  <si>
    <t xml:space="preserve">Tu-Fr 07:00-23:00; Sa 07:00-23:45; Su 10:00-16:00</t>
  </si>
  <si>
    <t xml:space="preserve">Le Vacarmes</t>
  </si>
  <si>
    <t xml:space="preserve">05 82 74 62 71</t>
  </si>
  <si>
    <t xml:space="preserve">Le Versant</t>
  </si>
  <si>
    <t xml:space="preserve">Le Vialou</t>
  </si>
  <si>
    <t xml:space="preserve">Le Victoria</t>
  </si>
  <si>
    <t xml:space="preserve">Le Viet Nam</t>
  </si>
  <si>
    <t xml:space="preserve">Le Zinc</t>
  </si>
  <si>
    <t xml:space="preserve">05 61 23 64 65</t>
  </si>
  <si>
    <t xml:space="preserve">http://lamanufacturetoulouse.fr/</t>
  </si>
  <si>
    <t xml:space="preserve">Mo-Sa 12:00-14:00,19:00-23:00; Su 19:00-23:00</t>
  </si>
  <si>
    <t xml:space="preserve">Lee In</t>
  </si>
  <si>
    <t xml:space="preserve">Leriche de Saveurs</t>
  </si>
  <si>
    <t xml:space="preserve">09 82 52 86 55</t>
  </si>
  <si>
    <t xml:space="preserve">https://www.lerichedesaveurs.com/</t>
  </si>
  <si>
    <t xml:space="preserve">Tu-We 12:00-14:00;Th-Fr 12:00-14:00,20:00-23:00;Sa 20:00-23:00</t>
  </si>
  <si>
    <t xml:space="preserve">Les 2 Font la Paire</t>
  </si>
  <si>
    <t xml:space="preserve">05 82 75 78 66</t>
  </si>
  <si>
    <t xml:space="preserve">https://www.restaurant-les2fontlapaire.fr/</t>
  </si>
  <si>
    <t xml:space="preserve">Mo-We 12:00-14:00;Th-Sa 12:00-14:00,19:30-22:00</t>
  </si>
  <si>
    <t xml:space="preserve">Les 4 petits cochons</t>
  </si>
  <si>
    <t xml:space="preserve">Avenue de Lardenne</t>
  </si>
  <si>
    <t xml:space="preserve">Les Arcades</t>
  </si>
  <si>
    <t xml:space="preserve">http://brasserie-arcades.com</t>
  </si>
  <si>
    <t xml:space="preserve">Les Brochettes</t>
  </si>
  <si>
    <t xml:space="preserve">Mo-Sa 12:00-14:00,19:45-23:00</t>
  </si>
  <si>
    <t xml:space="preserve">Les Burgers de Colette</t>
  </si>
  <si>
    <t xml:space="preserve">https://www.lesburgersdecolette.fr/</t>
  </si>
  <si>
    <t xml:space="preserve">Les Caves de la Maréchale</t>
  </si>
  <si>
    <t xml:space="preserve">05 61 23 89 88</t>
  </si>
  <si>
    <t xml:space="preserve">https://www.lescavesdelamarechale.com/</t>
  </si>
  <si>
    <t xml:space="preserve">Mo 20:00-22:00; Tu-Sa 12:00-14:00,20:00-22:00</t>
  </si>
  <si>
    <t xml:space="preserve">Les chimères</t>
  </si>
  <si>
    <t xml:space="preserve">Mo-Su 07:45-02:00</t>
  </si>
  <si>
    <t xml:space="preserve">Les copains d'abord</t>
  </si>
  <si>
    <t xml:space="preserve">05 40 25 15 44</t>
  </si>
  <si>
    <t xml:space="preserve">https://www.lescopains.fr/</t>
  </si>
  <si>
    <t xml:space="preserve">Tu-Su 12:00-14:00, 19:30-22:00</t>
  </si>
  <si>
    <t xml:space="preserve">Les Crêpes de Benoît</t>
  </si>
  <si>
    <t xml:space="preserve">05 61 55 33 56</t>
  </si>
  <si>
    <t xml:space="preserve">Mo-Sa 08:00-18:00; Su 11:00-17:00</t>
  </si>
  <si>
    <t xml:space="preserve">Les délices de Léna</t>
  </si>
  <si>
    <t xml:space="preserve">10 Avenue Octave Léry</t>
  </si>
  <si>
    <t xml:space="preserve">05 34 33 83 74</t>
  </si>
  <si>
    <t xml:space="preserve">https://www.chezlena.fr/</t>
  </si>
  <si>
    <t xml:space="preserve">Mo-Th 11:00-15:00,19:00-22:00; Fr-Sa 11:00-15:00,19:00-22:30; Su off</t>
  </si>
  <si>
    <t xml:space="preserve">Les Eaux Vives</t>
  </si>
  <si>
    <t xml:space="preserve">Fruits de mer, Gastronomique</t>
  </si>
  <si>
    <t xml:space="preserve">05 61 46 13 10</t>
  </si>
  <si>
    <t xml:space="preserve">Les Enfants Terribles...</t>
  </si>
  <si>
    <t xml:space="preserve">05 62 26 47 73</t>
  </si>
  <si>
    <t xml:space="preserve">Tu-Sa 12:00-14:00,19:30-23:00</t>
  </si>
  <si>
    <t xml:space="preserve">Les Etoiles d'Asie</t>
  </si>
  <si>
    <t xml:space="preserve">Avenue du Mirail</t>
  </si>
  <si>
    <t xml:space="preserve">Mo-Sa 08:30-20:00; Su 08:30-12:15</t>
  </si>
  <si>
    <t xml:space="preserve">Les filous</t>
  </si>
  <si>
    <t xml:space="preserve">Grecque</t>
  </si>
  <si>
    <t xml:space="preserve">18 Rue d'Aubuisson</t>
  </si>
  <si>
    <t xml:space="preserve">05 34 66 86 57</t>
  </si>
  <si>
    <t xml:space="preserve">https://les-filous.fr/</t>
  </si>
  <si>
    <t xml:space="preserve">Mo-Su 11:30-14:00, 19:00-23:00</t>
  </si>
  <si>
    <t xml:space="preserve">Les Fines Gueules</t>
  </si>
  <si>
    <t xml:space="preserve">Tu-Sa 11:00-15:00,18:00-02:00</t>
  </si>
  <si>
    <t xml:space="preserve">Les Folles Saisons</t>
  </si>
  <si>
    <t xml:space="preserve">Les Fondues de la Daurade</t>
  </si>
  <si>
    <t xml:space="preserve">05 61 12 04 04</t>
  </si>
  <si>
    <t xml:space="preserve">Les Galopins</t>
  </si>
  <si>
    <t xml:space="preserve">05 62 26 27 14</t>
  </si>
  <si>
    <t xml:space="preserve">https://les-galopins-restaurant.eatbu.com/</t>
  </si>
  <si>
    <t xml:space="preserve">We-Sa 12:00-14:30,19:30-23:30</t>
  </si>
  <si>
    <t xml:space="preserve">Les Halles d'Adrien</t>
  </si>
  <si>
    <t xml:space="preserve">05 34 56 59 46</t>
  </si>
  <si>
    <t xml:space="preserve">https://www.leshallesdadrien.fr/</t>
  </si>
  <si>
    <t xml:space="preserve">Mo-We 10:00-16:00; Th 10:00-22:00; Fr 10:00-23:00; Sa,Su,PH off</t>
  </si>
  <si>
    <t xml:space="preserve">Les Halles de la Cité</t>
  </si>
  <si>
    <t xml:space="preserve">http://www.hallesdelacite.com/</t>
  </si>
  <si>
    <t xml:space="preserve">Tu-Fr 19:00-01:30, Sa 19:00-02:30; Su,Mo off</t>
  </si>
  <si>
    <t xml:space="preserve">Les Halles de la Transition</t>
  </si>
  <si>
    <t xml:space="preserve">https://www.leshallesdelatransition.com/</t>
  </si>
  <si>
    <t xml:space="preserve">Mo 12:00- 14:30; Tu-Fr 12:00-23:00; Sa-Su 12:00-16:00</t>
  </si>
  <si>
    <t xml:space="preserve">Les Illustres</t>
  </si>
  <si>
    <t xml:space="preserve">9</t>
  </si>
  <si>
    <t xml:space="preserve">https://www.les-illustres.fr/</t>
  </si>
  <si>
    <t xml:space="preserve">Les Impulsifs</t>
  </si>
  <si>
    <t xml:space="preserve">09 87 37 74 92</t>
  </si>
  <si>
    <t xml:space="preserve">https://les-impulsifs-toulouse.eatbu.com/</t>
  </si>
  <si>
    <t xml:space="preserve">Mo-Fr 12:00-14:00,19:30-21:45</t>
  </si>
  <si>
    <t xml:space="preserve">Les Jardins d'Elyssa</t>
  </si>
  <si>
    <t xml:space="preserve">Tunisienne</t>
  </si>
  <si>
    <t xml:space="preserve">http://www.lesjardinsdelyssa.fr/</t>
  </si>
  <si>
    <t xml:space="preserve">Mo-Sa 12:00-14:00,19:30-23:00</t>
  </si>
  <si>
    <t xml:space="preserve">Les Jardins de Candie</t>
  </si>
  <si>
    <t xml:space="preserve">05 61 30 51 40</t>
  </si>
  <si>
    <t xml:space="preserve">https://lesjardinsdecandie.com/</t>
  </si>
  <si>
    <t xml:space="preserve">Jun-Aug Tu-Sa 12:00-14:00, 17:00-01:00</t>
  </si>
  <si>
    <t xml:space="preserve">Les Jardins de l'Olympe</t>
  </si>
  <si>
    <t xml:space="preserve">200 Route de Blagnac</t>
  </si>
  <si>
    <t xml:space="preserve">05 61 57 02 86</t>
  </si>
  <si>
    <t xml:space="preserve">https://www.lesjardinsdelolympe.com/</t>
  </si>
  <si>
    <t xml:space="preserve">Les Jardins de l'Opéra</t>
  </si>
  <si>
    <t xml:space="preserve">05 61 23 07 76</t>
  </si>
  <si>
    <t xml:space="preserve">https://www.lesjardinsdelopera.fr</t>
  </si>
  <si>
    <t xml:space="preserve">Tu-Sa 12:00-13:45,20:00-21:45</t>
  </si>
  <si>
    <t xml:space="preserve">Les Jardins de la Cépière</t>
  </si>
  <si>
    <t xml:space="preserve">30 Chemin des Courses</t>
  </si>
  <si>
    <t xml:space="preserve">09 80 75 39 29</t>
  </si>
  <si>
    <t xml:space="preserve">https://www.lesjardinsdelacepiere.fr/</t>
  </si>
  <si>
    <t xml:space="preserve">Les Marronniers</t>
  </si>
  <si>
    <t xml:space="preserve">Les Mascareignes</t>
  </si>
  <si>
    <t xml:space="preserve">Antillaise, Créole, Réunionnaise</t>
  </si>
  <si>
    <t xml:space="preserve">05 61 22 60 12</t>
  </si>
  <si>
    <t xml:space="preserve">https://kouadiopatrice.site-solocal.com/</t>
  </si>
  <si>
    <t xml:space="preserve">Mo-Sa 12:00-14:00,19:30-22:00; Mo "call us"</t>
  </si>
  <si>
    <t xml:space="preserve">Les Munitionnettes</t>
  </si>
  <si>
    <t xml:space="preserve">169 Avenue de Grande Bretagne</t>
  </si>
  <si>
    <t xml:space="preserve">09 71 39 25 15</t>
  </si>
  <si>
    <t xml:space="preserve">https://www.les-munitionnettes.fr/</t>
  </si>
  <si>
    <t xml:space="preserve">We-Sa 08:00-24:00, Su 08:00-17:00</t>
  </si>
  <si>
    <t xml:space="preserve">Les Passionnés</t>
  </si>
  <si>
    <t xml:space="preserve">31B Allée de Brienne</t>
  </si>
  <si>
    <t xml:space="preserve">05 61 13 99 06</t>
  </si>
  <si>
    <t xml:space="preserve">https://www.lespassionnes-toulouse.fr</t>
  </si>
  <si>
    <t xml:space="preserve">Tu-Su 12:00-15:00+,19:00-21:00+</t>
  </si>
  <si>
    <t xml:space="preserve">Les petites marguerites</t>
  </si>
  <si>
    <t xml:space="preserve">Mo-Fr 11:30-14:30, We-Fr 19:45-22:15</t>
  </si>
  <si>
    <t xml:space="preserve">Les Petits Crus</t>
  </si>
  <si>
    <t xml:space="preserve">17 Rue des Couteliers</t>
  </si>
  <si>
    <t xml:space="preserve">09 87 73 58 59</t>
  </si>
  <si>
    <t xml:space="preserve">https://www.lespetitscrus.com/</t>
  </si>
  <si>
    <t xml:space="preserve">Mo-Sa 18:00-24:00</t>
  </si>
  <si>
    <t xml:space="preserve">Les Planeurs</t>
  </si>
  <si>
    <t xml:space="preserve">Japonaise, Française</t>
  </si>
  <si>
    <t xml:space="preserve">09 86 51 56 95</t>
  </si>
  <si>
    <t xml:space="preserve">https://lesplaneurs.com/</t>
  </si>
  <si>
    <t xml:space="preserve">Les Quatre Saisons</t>
  </si>
  <si>
    <t xml:space="preserve">05 61 52 33 62</t>
  </si>
  <si>
    <t xml:space="preserve">http://www.restaurant-4-saisons.com/</t>
  </si>
  <si>
    <t xml:space="preserve">Les Saveurs De L'inde</t>
  </si>
  <si>
    <t xml:space="preserve">Les Thermes</t>
  </si>
  <si>
    <t xml:space="preserve">09 54 52 48 19</t>
  </si>
  <si>
    <t xml:space="preserve">https://lesthermes-toulouse.fr</t>
  </si>
  <si>
    <t xml:space="preserve">07:00-02:00; Sa 07:00-03:00</t>
  </si>
  <si>
    <t xml:space="preserve">Les Thermes Kongfu</t>
  </si>
  <si>
    <t xml:space="preserve">Nouilles, Chinoise</t>
  </si>
  <si>
    <t xml:space="preserve">Les Tilleuls</t>
  </si>
  <si>
    <t xml:space="preserve">Burger, Tapas</t>
  </si>
  <si>
    <t xml:space="preserve">34 Avenue du Cimetière</t>
  </si>
  <si>
    <t xml:space="preserve">Mo-Fr 08:00-02:00, Sa 09:00-03:00, Su 09:00-02:00</t>
  </si>
  <si>
    <t xml:space="preserve">Les Tontons Flingueuses</t>
  </si>
  <si>
    <t xml:space="preserve">05 61 32 02 19</t>
  </si>
  <si>
    <t xml:space="preserve">https://www.instagram.com/les_tontons_flingueuses/</t>
  </si>
  <si>
    <t xml:space="preserve">Les Trois Soupes</t>
  </si>
  <si>
    <t xml:space="preserve">Française, Traditionnelle, Soupes</t>
  </si>
  <si>
    <t xml:space="preserve">05 62 17 53 01</t>
  </si>
  <si>
    <t xml:space="preserve">https://lestroissoupes.fr/</t>
  </si>
  <si>
    <t xml:space="preserve">Tu-Sa 12:00-14:00; Th-Fr 20:00-22:00</t>
  </si>
  <si>
    <t xml:space="preserve">Les Turres</t>
  </si>
  <si>
    <t xml:space="preserve">Les Têtes d'Ail</t>
  </si>
  <si>
    <t xml:space="preserve">05 61 13 40 41</t>
  </si>
  <si>
    <t xml:space="preserve">Tu-Sa 12:00-14:30,20:00-22:00</t>
  </si>
  <si>
    <t xml:space="preserve">Lhasa Cafe</t>
  </si>
  <si>
    <t xml:space="preserve">Tibétaine</t>
  </si>
  <si>
    <t xml:space="preserve">Su-Fr 07:00-15:00</t>
  </si>
  <si>
    <t xml:space="preserve">Ligot</t>
  </si>
  <si>
    <t xml:space="preserve">Liquides-resto à boire</t>
  </si>
  <si>
    <t xml:space="preserve">Tu-Th 18:00-24:00, Fr,Sa 18:00-01:00</t>
  </si>
  <si>
    <t xml:space="preserve">Little New-York</t>
  </si>
  <si>
    <t xml:space="preserve">Llum</t>
  </si>
  <si>
    <t xml:space="preserve">7 Rue Saint-Léon</t>
  </si>
  <si>
    <t xml:space="preserve">05 61 53 81 51</t>
  </si>
  <si>
    <t xml:space="preserve">https://www.llum-toulouse.fr/</t>
  </si>
  <si>
    <t xml:space="preserve">Tu-Sa 12:00-13:30, 19:30-21:30</t>
  </si>
  <si>
    <t xml:space="preserve">Lo Stivale</t>
  </si>
  <si>
    <t xml:space="preserve">10 Rue des Moulins</t>
  </si>
  <si>
    <t xml:space="preserve">05 62 26 28 19</t>
  </si>
  <si>
    <t xml:space="preserve">https://restaurantlostivale.com/</t>
  </si>
  <si>
    <t xml:space="preserve">Tu-Sa 12:00-13:45,19:30-21:45</t>
  </si>
  <si>
    <t xml:space="preserve">Loge 24</t>
  </si>
  <si>
    <t xml:space="preserve">05 61 14 10 07</t>
  </si>
  <si>
    <t xml:space="preserve">https://www.facebook.com/Loge-24-restaurant-2526960850671366/</t>
  </si>
  <si>
    <t xml:space="preserve">Long Quan</t>
  </si>
  <si>
    <t xml:space="preserve">09 54 31 56 64</t>
  </si>
  <si>
    <t xml:space="preserve">https://www.long-quan.fr/</t>
  </si>
  <si>
    <t xml:space="preserve">Tu-Sa 12:00-14:30,19:00-22:00</t>
  </si>
  <si>
    <t xml:space="preserve">Lotus</t>
  </si>
  <si>
    <t xml:space="preserve">L’Assemblée Gourmande</t>
  </si>
  <si>
    <t xml:space="preserve">8 Rue Louis Courtois de Viçose</t>
  </si>
  <si>
    <t xml:space="preserve">05 61 72 69 19</t>
  </si>
  <si>
    <t xml:space="preserve">https://www.restaurant-ag-toulouse.fr/</t>
  </si>
  <si>
    <t xml:space="preserve">L’Hippi’curien</t>
  </si>
  <si>
    <t xml:space="preserve">62 Chemin des Courses</t>
  </si>
  <si>
    <t xml:space="preserve">Mo-Fr 12:00-14:00; We-Fr 18:30-23:30</t>
  </si>
  <si>
    <t xml:space="preserve">M by Mo Bachir</t>
  </si>
  <si>
    <t xml:space="preserve">09 86 48 97 75</t>
  </si>
  <si>
    <t xml:space="preserve">https://m-by-mo-bachir.business.site/</t>
  </si>
  <si>
    <t xml:space="preserve">Tu-Sa 12:00-14:30,20:00-23:00</t>
  </si>
  <si>
    <t xml:space="preserve">M&amp;S Pizzeria</t>
  </si>
  <si>
    <t xml:space="preserve">7 Place Commerciale de Jolimont</t>
  </si>
  <si>
    <t xml:space="preserve">05 61 38 11 78</t>
  </si>
  <si>
    <t xml:space="preserve">http://mets-pizzeria.fr/</t>
  </si>
  <si>
    <t xml:space="preserve">11:00-15:00,18:00-24:00; Fr 18:00-24:00</t>
  </si>
  <si>
    <t xml:space="preserve">M. Georges</t>
  </si>
  <si>
    <t xml:space="preserve">09 74 64 09 94</t>
  </si>
  <si>
    <t xml:space="preserve">https://www.monsieurgeorges.fr/</t>
  </si>
  <si>
    <t xml:space="preserve">M03 Restaurant Galaxy</t>
  </si>
  <si>
    <t xml:space="preserve">M04 Beluga</t>
  </si>
  <si>
    <t xml:space="preserve">Mo-Fr 07:00-21:00</t>
  </si>
  <si>
    <t xml:space="preserve">M21 Concorde</t>
  </si>
  <si>
    <t xml:space="preserve">Ma Biche Sur Le Toit</t>
  </si>
  <si>
    <t xml:space="preserve">4 Rue du Lieutenant-Colonel Pélissier</t>
  </si>
  <si>
    <t xml:space="preserve">05 31 61 56 19</t>
  </si>
  <si>
    <t xml:space="preserve">https://www.mabichesurletoit.com/</t>
  </si>
  <si>
    <t xml:space="preserve">Ma-Ma Sushi</t>
  </si>
  <si>
    <t xml:space="preserve">05 32 97 81 15</t>
  </si>
  <si>
    <t xml:space="preserve">https://www.mamasushi.fr/</t>
  </si>
  <si>
    <t xml:space="preserve">Mo-Sa 11:30-14:30,18:00-22:00; Su 18:00-22:00</t>
  </si>
  <si>
    <t xml:space="preserve">05 32 59 46 71</t>
  </si>
  <si>
    <t xml:space="preserve">Mo-Su 11:30-15:00,19:00-22:30</t>
  </si>
  <si>
    <t xml:space="preserve">Macarèl</t>
  </si>
  <si>
    <t xml:space="preserve">Madame Baudruche</t>
  </si>
  <si>
    <t xml:space="preserve">06 82 39 99 32</t>
  </si>
  <si>
    <t xml:space="preserve">https://madamebaudruche.fr/</t>
  </si>
  <si>
    <t xml:space="preserve">Tu-Fr 08:00-02:00; Sa 18:00-03:00</t>
  </si>
  <si>
    <t xml:space="preserve">Mado</t>
  </si>
  <si>
    <t xml:space="preserve">06 14 62 04 47</t>
  </si>
  <si>
    <t xml:space="preserve">https://restaurantmado.fr/</t>
  </si>
  <si>
    <t xml:space="preserve">Mo-Su 12:00-14:00, 19:45-22:00</t>
  </si>
  <si>
    <t xml:space="preserve">Magnum</t>
  </si>
  <si>
    <t xml:space="preserve">5 Rue Perchepinte</t>
  </si>
  <si>
    <t xml:space="preserve">05 62 17 95 48</t>
  </si>
  <si>
    <t xml:space="preserve">https://magnum-caveamanger-toulouse.eatbu.com/</t>
  </si>
  <si>
    <t xml:space="preserve">We-Su 19:30-22:30; Th-Su 12:00-14:00</t>
  </si>
  <si>
    <t xml:space="preserve">Maison Chaya</t>
  </si>
  <si>
    <t xml:space="preserve">Bretonne, Japonaise, Crêperie</t>
  </si>
  <si>
    <t xml:space="preserve">51 Rue des Filatiers</t>
  </si>
  <si>
    <t xml:space="preserve">09 56 14 07 07</t>
  </si>
  <si>
    <t xml:space="preserve">https://maisonchaya.fr</t>
  </si>
  <si>
    <t xml:space="preserve">Tu-Sa 12:00-14:00, 19:00-23:00</t>
  </si>
  <si>
    <t xml:space="preserve">Maison du Cassoulet</t>
  </si>
  <si>
    <t xml:space="preserve">Cassoulet, Française, Régionale / terroir</t>
  </si>
  <si>
    <t xml:space="preserve">05 34 31 68 22</t>
  </si>
  <si>
    <t xml:space="preserve">https://maisonducassoulet.com/</t>
  </si>
  <si>
    <t xml:space="preserve">Maison du Curry</t>
  </si>
  <si>
    <t xml:space="preserve">Tu-Th 14:30-18:00, Fr-Su 11:30-15:00, Tu-Sa 19:00-22:30, Su 18:30-22:30</t>
  </si>
  <si>
    <t xml:space="preserve">Maison Samaran</t>
  </si>
  <si>
    <t xml:space="preserve">05 61 21 26 91</t>
  </si>
  <si>
    <t xml:space="preserve">https://maisonsamaran.fr/points-de-vente/victor-hugo-toulouse/#la-cantine</t>
  </si>
  <si>
    <t xml:space="preserve">Tu-Fr 12:00-14:00; Sa-Su 12:00-14:30</t>
  </si>
  <si>
    <t xml:space="preserve">Maison Sarment</t>
  </si>
  <si>
    <t xml:space="preserve">05 61 47 99 64</t>
  </si>
  <si>
    <t xml:space="preserve">https://maison-sarment.jimdosite.com/</t>
  </si>
  <si>
    <t xml:space="preserve">Th-Sa 11:00-14:30,18:00-23:00; Tu,We 18:00-23:00</t>
  </si>
  <si>
    <t xml:space="preserve">Make Sushi</t>
  </si>
  <si>
    <t xml:space="preserve">05 61 47 40 28</t>
  </si>
  <si>
    <t xml:space="preserve">https://www.makesushi31000.fr/</t>
  </si>
  <si>
    <t xml:space="preserve">Tu-Fr 11:00-14:00, 18:00-22:00; Sa, Su 18:00-22:00</t>
  </si>
  <si>
    <t xml:space="preserve">Malayu</t>
  </si>
  <si>
    <t xml:space="preserve">Mo-Fr 12:00-14:00,19:00-22:00; Sa 19:00-22:00</t>
  </si>
  <si>
    <t xml:space="preserve">Mama Giorgia</t>
  </si>
  <si>
    <t xml:space="preserve">Mo-We 12:00-14:30,19:00-22:30; Th,Fr 12:00-14:30,19:00-23:00; Sa 12:00-15:00,19:00-23:00; Su 12:00-15:00,19:00-22:30</t>
  </si>
  <si>
    <t xml:space="preserve">Mama Shelter</t>
  </si>
  <si>
    <t xml:space="preserve">05 31 50 50 00</t>
  </si>
  <si>
    <t xml:space="preserve">https://mamashelter.com/toulouse/</t>
  </si>
  <si>
    <t xml:space="preserve">Mamagayo</t>
  </si>
  <si>
    <t xml:space="preserve">05 61 21 50 71</t>
  </si>
  <si>
    <t xml:space="preserve">Mo 09:00-22:30, Tu,We 09:00-23:30, Th,Fr 09:00-02:00, Sa 16:30-03:00</t>
  </si>
  <si>
    <t xml:space="preserve">Mami-Wata</t>
  </si>
  <si>
    <t xml:space="preserve">Africaine, Antillaise</t>
  </si>
  <si>
    <t xml:space="preserve">25 Rue Héliot</t>
  </si>
  <si>
    <t xml:space="preserve">05 61 62 77 04</t>
  </si>
  <si>
    <t xml:space="preserve">https://mami-wata.com/</t>
  </si>
  <si>
    <t xml:space="preserve">Mo-Th 19:30-00:30, Fr-Sa 19:30-01:00</t>
  </si>
  <si>
    <t xml:space="preserve">Mammouth</t>
  </si>
  <si>
    <t xml:space="preserve">05 61 75 73 27</t>
  </si>
  <si>
    <t xml:space="preserve">Mo-Sa 12:00-14:00; Th-Sa 19:30-22:00; Su 11:30-15:00</t>
  </si>
  <si>
    <t xml:space="preserve">Manara</t>
  </si>
  <si>
    <t xml:space="preserve">Manding'Art</t>
  </si>
  <si>
    <t xml:space="preserve">1 Rue du Docteur Paul Pujos</t>
  </si>
  <si>
    <t xml:space="preserve">Manger Autrement</t>
  </si>
  <si>
    <t xml:space="preserve">05 61 32 68 41</t>
  </si>
  <si>
    <t xml:space="preserve">http://manger-autrement.com</t>
  </si>
  <si>
    <t xml:space="preserve">Tu-Sa 12:00-14:00; Tu-Sa 19:30-22:00</t>
  </si>
  <si>
    <t xml:space="preserve">Mantesino</t>
  </si>
  <si>
    <t xml:space="preserve">05 31 54 13 29</t>
  </si>
  <si>
    <t xml:space="preserve">https://mantesino.fr</t>
  </si>
  <si>
    <t xml:space="preserve">Tu-Fr 12:00-13:30; We-Fr 19:30-21:30</t>
  </si>
  <si>
    <t xml:space="preserve">Marcello</t>
  </si>
  <si>
    <t xml:space="preserve">05 67 33 80 19</t>
  </si>
  <si>
    <t xml:space="preserve">https://www.marcello.pizza/</t>
  </si>
  <si>
    <t xml:space="preserve">05 32 60 43 03</t>
  </si>
  <si>
    <t xml:space="preserve">https://www.marcello.pizza</t>
  </si>
  <si>
    <t xml:space="preserve">Mo-Fr 10:00-14:30,18:30-22:00; Sa 06:00-15:00,18:30-22:00; Su 07:00-15:00,18:30-22:00</t>
  </si>
  <si>
    <t xml:space="preserve">Marcello Saint-Georges</t>
  </si>
  <si>
    <t xml:space="preserve">05 62 89 41 14</t>
  </si>
  <si>
    <t xml:space="preserve">https://restaurant-marcello.com</t>
  </si>
  <si>
    <t xml:space="preserve">Mo-Fr,Su 12:00-14:30,19:00-22:30; Sa 12:00-22:30</t>
  </si>
  <si>
    <t xml:space="preserve">Marinade &amp; limonade</t>
  </si>
  <si>
    <t xml:space="preserve">Mo 11:45-14:00; Tu-Fr 11:45-14:00,19:00-22:00</t>
  </si>
  <si>
    <t xml:space="preserve">Marmites des îles</t>
  </si>
  <si>
    <t xml:space="preserve">Marrakech</t>
  </si>
  <si>
    <t xml:space="preserve">05 61 23 82 52</t>
  </si>
  <si>
    <t xml:space="preserve">https://www.marrakech-restaurant.fr/</t>
  </si>
  <si>
    <t xml:space="preserve">Matsuya</t>
  </si>
  <si>
    <t xml:space="preserve">05 34 65 71 24</t>
  </si>
  <si>
    <t xml:space="preserve">Mauna Loa</t>
  </si>
  <si>
    <t xml:space="preserve">Curry, Française</t>
  </si>
  <si>
    <t xml:space="preserve">05 32 59 22 69</t>
  </si>
  <si>
    <t xml:space="preserve">Mo 11:45-14:30; Tu-Sa 11:45-14:30,18:30-22:00</t>
  </si>
  <si>
    <t xml:space="preserve">Maya Bay</t>
  </si>
  <si>
    <t xml:space="preserve">05 32 58 19 50</t>
  </si>
  <si>
    <t xml:space="preserve">Mo-Sa 09:30-20:00</t>
  </si>
  <si>
    <t xml:space="preserve">Mayumi</t>
  </si>
  <si>
    <t xml:space="preserve">Japonaise, Sushi, Livraison, Izakaya</t>
  </si>
  <si>
    <t xml:space="preserve">05 61 31 58 81</t>
  </si>
  <si>
    <t xml:space="preserve">https://mayumi-toulouse.com/</t>
  </si>
  <si>
    <t xml:space="preserve">Mazzolina</t>
  </si>
  <si>
    <t xml:space="preserve">Pizza, Sandwicherie, Italienne, Pâtes</t>
  </si>
  <si>
    <t xml:space="preserve">05 61 46 89 24</t>
  </si>
  <si>
    <t xml:space="preserve">https://mazzolina.fr</t>
  </si>
  <si>
    <t xml:space="preserve">Mo-Sa 12:00-14:00,19:00-23:00 open "Resto" || Mo-Fr 11:30-14:00,18:30-23:00; Sa,Su 12:00-14:00,18:30-23:00 open "Pizzeria"</t>
  </si>
  <si>
    <t xml:space="preserve">Maître Ramen</t>
  </si>
  <si>
    <t xml:space="preserve">Ramen</t>
  </si>
  <si>
    <t xml:space="preserve">Meet The Meat</t>
  </si>
  <si>
    <t xml:space="preserve">05 61 48 50 59</t>
  </si>
  <si>
    <t xml:space="preserve">https://www.meetthemeat.fr/</t>
  </si>
  <si>
    <t xml:space="preserve">Mo-Su 12:00-14:30, Mo-Th 19:00-23:30</t>
  </si>
  <si>
    <t xml:space="preserve">Memphis</t>
  </si>
  <si>
    <t xml:space="preserve">Américaine</t>
  </si>
  <si>
    <t xml:space="preserve">Metrhotel</t>
  </si>
  <si>
    <t xml:space="preserve">Mexcal</t>
  </si>
  <si>
    <t xml:space="preserve">Tapas, Produits locaux, Coffee shop</t>
  </si>
  <si>
    <t xml:space="preserve">6 Rue Saint-Charles</t>
  </si>
  <si>
    <t xml:space="preserve">09 73 69 29 52</t>
  </si>
  <si>
    <t xml:space="preserve">Mo-Fr 12:00-14:30,19:00-21:30</t>
  </si>
  <si>
    <t xml:space="preserve">Miam Mian</t>
  </si>
  <si>
    <t xml:space="preserve">Japonaise, Ramen, Salon de thé</t>
  </si>
  <si>
    <t xml:space="preserve">https://miam-miam-toulouse.eatbu.com</t>
  </si>
  <si>
    <t xml:space="preserve">Mo 19:00-22:30; Tu-Sa 12:00-14:00,19:00-22:00; Su 12:00-14:30,19:00-22:30</t>
  </si>
  <si>
    <t xml:space="preserve">Michel Sarran</t>
  </si>
  <si>
    <t xml:space="preserve">05 61 12 32 32</t>
  </si>
  <si>
    <t xml:space="preserve">http://www.michel-sarran.com</t>
  </si>
  <si>
    <t xml:space="preserve">Tu,Th-Fr 12:00-13:45; Mo-Fr 20:00-21:45</t>
  </si>
  <si>
    <t xml:space="preserve">Midi Minuit</t>
  </si>
  <si>
    <t xml:space="preserve">05 61 21 80 70</t>
  </si>
  <si>
    <t xml:space="preserve">https://www.facebook.com/midiminuittoulouse/</t>
  </si>
  <si>
    <t xml:space="preserve">Mille et une Pâtes</t>
  </si>
  <si>
    <t xml:space="preserve">05 61 21 97 83</t>
  </si>
  <si>
    <t xml:space="preserve">https://www.1001-pates.com/</t>
  </si>
  <si>
    <t xml:space="preserve">Mo-Fr 12:00-14:00,19:00-22:00; Sa 12:00-14:30,19:00-22:30</t>
  </si>
  <si>
    <t xml:space="preserve">Ming Ming</t>
  </si>
  <si>
    <t xml:space="preserve">148 Boulevard de Suisse</t>
  </si>
  <si>
    <t xml:space="preserve">Minimum</t>
  </si>
  <si>
    <t xml:space="preserve">05 64 72 09 19</t>
  </si>
  <si>
    <t xml:space="preserve">Ministry of Crabs</t>
  </si>
  <si>
    <t xml:space="preserve">Miss Fish</t>
  </si>
  <si>
    <t xml:space="preserve">Poulet, Poisson, Fish &amp; chips</t>
  </si>
  <si>
    <t xml:space="preserve">05 61 25 49 49</t>
  </si>
  <si>
    <t xml:space="preserve">https://www.miss-fish.fr/</t>
  </si>
  <si>
    <t xml:space="preserve">Mix food</t>
  </si>
  <si>
    <t xml:space="preserve">09 50 38 49 59</t>
  </si>
  <si>
    <t xml:space="preserve">Miya Fondue</t>
  </si>
  <si>
    <t xml:space="preserve">https://eater.space/miya-fondue</t>
  </si>
  <si>
    <t xml:space="preserve">12:00-14:00,19:00-22:00; We off</t>
  </si>
  <si>
    <t xml:space="preserve">Miyama</t>
  </si>
  <si>
    <t xml:space="preserve">Japonaise, Sushi, Ramen</t>
  </si>
  <si>
    <t xml:space="preserve">https://miyama.byclickeat.fr/</t>
  </si>
  <si>
    <t xml:space="preserve">Mo 19:00-22:00; Tu-Sa 12:00-14:00,19:00-22:00</t>
  </si>
  <si>
    <t xml:space="preserve">Mizuki Ramen</t>
  </si>
  <si>
    <t xml:space="preserve">09 81 44 59 12</t>
  </si>
  <si>
    <t xml:space="preserve">https://mizuki-toulouse.fr/</t>
  </si>
  <si>
    <t xml:space="preserve">Su-Th 11:30-14:30,18:00-22:00; Fr-Sa 11:30-14:30,18:30-22:30</t>
  </si>
  <si>
    <t xml:space="preserve">Mme Pompette</t>
  </si>
  <si>
    <t xml:space="preserve">29 Route de Blagnac</t>
  </si>
  <si>
    <t xml:space="preserve">06 08 76 92 07</t>
  </si>
  <si>
    <t xml:space="preserve">https://www.mmepompette.com/</t>
  </si>
  <si>
    <t xml:space="preserve">Mo-Fr 12:00-14:00; We-Fr 19:00-21:00</t>
  </si>
  <si>
    <t xml:space="preserve">Moji</t>
  </si>
  <si>
    <t xml:space="preserve">06 11 71 29 30</t>
  </si>
  <si>
    <t xml:space="preserve">https://mojifusionfood.com/</t>
  </si>
  <si>
    <t xml:space="preserve">Mo-Sa 09:30-21:00</t>
  </si>
  <si>
    <t xml:space="preserve">Molette</t>
  </si>
  <si>
    <t xml:space="preserve">05 61 23 81 12</t>
  </si>
  <si>
    <t xml:space="preserve">https://www.molette-restaurant.fr/</t>
  </si>
  <si>
    <t xml:space="preserve">We-Su 19:30-23:00</t>
  </si>
  <si>
    <t xml:space="preserve">Momone</t>
  </si>
  <si>
    <t xml:space="preserve">2 Boulevard Lascrosses</t>
  </si>
  <si>
    <t xml:space="preserve">05 32 53 68 57</t>
  </si>
  <si>
    <t xml:space="preserve">https://www.momone-toulouse.fr</t>
  </si>
  <si>
    <t xml:space="preserve">Mo 09:30-24:00; Tu-Fr 00:00-02:00,09:30-24:00; Sa 00:00-02:00,16:30-24:00; Su 00:00-03:00</t>
  </si>
  <si>
    <t xml:space="preserve">Mon petit plaisir gourmet</t>
  </si>
  <si>
    <t xml:space="preserve">Mona Pizza</t>
  </si>
  <si>
    <t xml:space="preserve">9 Rue Louise Weiss</t>
  </si>
  <si>
    <t xml:space="preserve">05 31 51 05 09</t>
  </si>
  <si>
    <t xml:space="preserve">https://www.monapizza.fr/</t>
  </si>
  <si>
    <t xml:space="preserve">Mo-Su 11:45-14:00,18:15-22:00</t>
  </si>
  <si>
    <t xml:space="preserve">Muay Thaï</t>
  </si>
  <si>
    <t xml:space="preserve">Mo-Fr 12:00-14:30,18:30-22:00; Sa 18:30-22:30</t>
  </si>
  <si>
    <t xml:space="preserve">Museau Musette</t>
  </si>
  <si>
    <t xml:space="preserve">88 Boulevard Pierre Semard</t>
  </si>
  <si>
    <t xml:space="preserve">05 61 83 35 12</t>
  </si>
  <si>
    <t xml:space="preserve">https://www.museaumusette.fr/</t>
  </si>
  <si>
    <t xml:space="preserve">Mo-Fr 09:00-24:00; Sa 00:00-02:00,16:00-24:00; Su 00:00-02:00</t>
  </si>
  <si>
    <t xml:space="preserve">My Kebab</t>
  </si>
  <si>
    <t xml:space="preserve">10 Avenue de Muret</t>
  </si>
  <si>
    <t xml:space="preserve">Mère Grand</t>
  </si>
  <si>
    <t xml:space="preserve">05 81 60 11 27</t>
  </si>
  <si>
    <t xml:space="preserve">https://www.mere-grand-restaurant-toulouse.fr/</t>
  </si>
  <si>
    <t xml:space="preserve">Món Việt</t>
  </si>
  <si>
    <t xml:space="preserve">40 Rue du Général Jean Compans</t>
  </si>
  <si>
    <t xml:space="preserve">05 61 11 98 57</t>
  </si>
  <si>
    <t xml:space="preserve">https://www.monviet31500.fr/</t>
  </si>
  <si>
    <t xml:space="preserve">Mo-Su 12:00-14:00, 19:00-22:00</t>
  </si>
  <si>
    <t xml:space="preserve">N88dles</t>
  </si>
  <si>
    <t xml:space="preserve">Nouilles</t>
  </si>
  <si>
    <t xml:space="preserve">34 Rue de la Colombette</t>
  </si>
  <si>
    <t xml:space="preserve">09 87 07 16 88</t>
  </si>
  <si>
    <t xml:space="preserve">https://n88dles.fr/</t>
  </si>
  <si>
    <t xml:space="preserve">N88dles Capitole</t>
  </si>
  <si>
    <t xml:space="preserve">6 Rue Léon Gambetta</t>
  </si>
  <si>
    <t xml:space="preserve">Nakama Gyudon</t>
  </si>
  <si>
    <t xml:space="preserve">05 34 52 69 59</t>
  </si>
  <si>
    <t xml:space="preserve">https://nakamagyudon.fr/</t>
  </si>
  <si>
    <t xml:space="preserve">Namaste</t>
  </si>
  <si>
    <t xml:space="preserve">05 61 45 46 21</t>
  </si>
  <si>
    <t xml:space="preserve">https://restaurantindientoulouse.com/</t>
  </si>
  <si>
    <t xml:space="preserve">Sa-Th 08:00-14:00,19:00-23:00; Fr 19:00-23:00</t>
  </si>
  <si>
    <t xml:space="preserve">Naraï Thaï</t>
  </si>
  <si>
    <t xml:space="preserve">05 61 21 30 75</t>
  </si>
  <si>
    <t xml:space="preserve">https://www.naraithai.fr/</t>
  </si>
  <si>
    <t xml:space="preserve">Native Canteen</t>
  </si>
  <si>
    <t xml:space="preserve">Neo Samouraï</t>
  </si>
  <si>
    <t xml:space="preserve">158 Avenue Jean Chaubet</t>
  </si>
  <si>
    <t xml:space="preserve">09 53 70 69 76</t>
  </si>
  <si>
    <t xml:space="preserve">New Dehli</t>
  </si>
  <si>
    <t xml:space="preserve">https://newdelhi-toulouse.com/</t>
  </si>
  <si>
    <t xml:space="preserve">New Delhi Palace</t>
  </si>
  <si>
    <t xml:space="preserve">05 62 80 95 29</t>
  </si>
  <si>
    <t xml:space="preserve">http://newdelhi-palace.com/</t>
  </si>
  <si>
    <t xml:space="preserve">Su-Th 12:00-24:00, Sa 12:00-03:00, Fr 12:00-02:00</t>
  </si>
  <si>
    <t xml:space="preserve">Nice Time</t>
  </si>
  <si>
    <t xml:space="preserve">Noodles Spot</t>
  </si>
  <si>
    <t xml:space="preserve">Japonaise, Chinoise</t>
  </si>
  <si>
    <t xml:space="preserve">09 60 38 15 30</t>
  </si>
  <si>
    <t xml:space="preserve">Mo 11:30-15:00,18:30-22:30; Tu-Su 11:30-15:00,18:30-23:00</t>
  </si>
  <si>
    <t xml:space="preserve">Noshi Sushi</t>
  </si>
  <si>
    <t xml:space="preserve">Noumi's Grill</t>
  </si>
  <si>
    <t xml:space="preserve">Burger, Grill / viandes</t>
  </si>
  <si>
    <t xml:space="preserve">Mo-Sa 12:00-15:00,18:00-23:00; Su 18:00-23:00</t>
  </si>
  <si>
    <t xml:space="preserve">O'bâoli</t>
  </si>
  <si>
    <t xml:space="preserve">Mo-Sa 12:00-16:00, Mo-Su 18:30-23:30</t>
  </si>
  <si>
    <t xml:space="preserve">Odom</t>
  </si>
  <si>
    <t xml:space="preserve">05 34 59 38 22</t>
  </si>
  <si>
    <t xml:space="preserve">https://odomtoulouse.com/</t>
  </si>
  <si>
    <t xml:space="preserve">We-Su 12:00-14:00, 19:00-21:30</t>
  </si>
  <si>
    <t xml:space="preserve">Officina Gusto</t>
  </si>
  <si>
    <t xml:space="preserve">05 64 28 59 86</t>
  </si>
  <si>
    <t xml:space="preserve">https://www.officinagusto.fr/</t>
  </si>
  <si>
    <t xml:space="preserve">Mo-Tu 08:30-18:00; We-Th 08:30-00:00; Fr-Sa 08:30-01:00</t>
  </si>
  <si>
    <t xml:space="preserve">Oh Fada</t>
  </si>
  <si>
    <t xml:space="preserve">Oh la vache !</t>
  </si>
  <si>
    <t xml:space="preserve">09 86 24 60 18</t>
  </si>
  <si>
    <t xml:space="preserve">https://ohlavache.fr/</t>
  </si>
  <si>
    <t xml:space="preserve">Tu-Th 12:00-14:30,19:00-22:30;Fr-Sa 12:00-14:30,19:00-23:00</t>
  </si>
  <si>
    <t xml:space="preserve">Oishi Ramen</t>
  </si>
  <si>
    <t xml:space="preserve">Ramen, Japonaise, Vietnamienne</t>
  </si>
  <si>
    <t xml:space="preserve">Okaeri</t>
  </si>
  <si>
    <t xml:space="preserve">Th-Mo 12:00-14:00,19:30-21:45</t>
  </si>
  <si>
    <t xml:space="preserve">On'Nador</t>
  </si>
  <si>
    <t xml:space="preserve">Oppa food</t>
  </si>
  <si>
    <t xml:space="preserve">Osaka Fusion Food</t>
  </si>
  <si>
    <t xml:space="preserve">Mo-Fr 10:30-15:00,17:30-24:00; Sa,Su 10:30-24:00</t>
  </si>
  <si>
    <t xml:space="preserve">Osmoz'</t>
  </si>
  <si>
    <t xml:space="preserve">Tu-Sa 12:00-14:00,19:00-23:00</t>
  </si>
  <si>
    <t xml:space="preserve">Otoya sushi</t>
  </si>
  <si>
    <t xml:space="preserve">05 62 27 25 41</t>
  </si>
  <si>
    <t xml:space="preserve">Tu-Su 12:00-14:30,19:00-23:00</t>
  </si>
  <si>
    <t xml:space="preserve">Pachinee Thaï Street Food</t>
  </si>
  <si>
    <t xml:space="preserve">07 81 41 97 79</t>
  </si>
  <si>
    <t xml:space="preserve">https://www.facebook.com/Pachinee.Thai.Street.Food</t>
  </si>
  <si>
    <t xml:space="preserve">Papi</t>
  </si>
  <si>
    <t xml:space="preserve">9 Rue du Pont Saint-Pierre</t>
  </si>
  <si>
    <t xml:space="preserve">Mo-Fr 12:00-14:00,19:30-21:30</t>
  </si>
  <si>
    <t xml:space="preserve">Papilles</t>
  </si>
  <si>
    <t xml:space="preserve">Tu-Sa 12:00-14:00,20:00-22:00</t>
  </si>
  <si>
    <t xml:space="preserve">Pastel et Sarrasin</t>
  </si>
  <si>
    <t xml:space="preserve">05 61 23 90 19</t>
  </si>
  <si>
    <t xml:space="preserve">http://pasteletsarrasin.fr/</t>
  </si>
  <si>
    <t xml:space="preserve">Mo-We 12:00-14:00, 18:45-21:30; Th-Fr 12:00-14:00, 18:45-22:30; Sa 12:00-22:30; Su 12:00-21:30</t>
  </si>
  <si>
    <t xml:space="preserve">Pat &amp; Pizz</t>
  </si>
  <si>
    <t xml:space="preserve">05 61 34 98 80</t>
  </si>
  <si>
    <t xml:space="preserve">http://www.patetpizz.fr</t>
  </si>
  <si>
    <t xml:space="preserve">Mo-Th 09:00-14:30,17:00-21:15; Sa 17:00-21:15; Su 09:00-14:00</t>
  </si>
  <si>
    <t xml:space="preserve">Peppino</t>
  </si>
  <si>
    <t xml:space="preserve">170 Avenue Jean Rieux</t>
  </si>
  <si>
    <t xml:space="preserve">05 34 43 40 47</t>
  </si>
  <si>
    <t xml:space="preserve">https://peppinotoulouse.com</t>
  </si>
  <si>
    <t xml:space="preserve">Mo-Su 11:00-15:00; Tu-Sa 17:30-22:00</t>
  </si>
  <si>
    <t xml:space="preserve">Pepponita</t>
  </si>
  <si>
    <t xml:space="preserve">65 Allées Charles de Fitte</t>
  </si>
  <si>
    <t xml:space="preserve">05 61 59 77 11</t>
  </si>
  <si>
    <t xml:space="preserve">Mo-Sa 12:00-14:30, 19:00-22:30; Su 12:00-14:00</t>
  </si>
  <si>
    <t xml:space="preserve">Pho Quyên</t>
  </si>
  <si>
    <t xml:space="preserve">05 61 52 69 06</t>
  </si>
  <si>
    <t xml:space="preserve">http://www.phoquyên.com/</t>
  </si>
  <si>
    <t xml:space="preserve">Mo-Sa 11:30-14:30,18:30-22:30</t>
  </si>
  <si>
    <t xml:space="preserve">Phở Lộc Phát</t>
  </si>
  <si>
    <t xml:space="preserve">05 61 47 83 87</t>
  </si>
  <si>
    <t xml:space="preserve">Pitaya</t>
  </si>
  <si>
    <t xml:space="preserve">3</t>
  </si>
  <si>
    <t xml:space="preserve">09 70 18 86 14</t>
  </si>
  <si>
    <t xml:space="preserve">https://pitaya-thaistreetfood.com/r/pitaya-toulouse-montaudran</t>
  </si>
  <si>
    <t xml:space="preserve">Fr-Sa 11:00-00:00; Su-Th 11:00-23:00</t>
  </si>
  <si>
    <t xml:space="preserve">Pititto</t>
  </si>
  <si>
    <t xml:space="preserve">https://pititto-toulouse.eatbu.com</t>
  </si>
  <si>
    <t xml:space="preserve">Tu,We 11:00-14:00; Th-Sa 11:00-14:00,19:00-21:00</t>
  </si>
  <si>
    <t xml:space="preserve">Pizz'Art</t>
  </si>
  <si>
    <t xml:space="preserve">05 61 48 07 86</t>
  </si>
  <si>
    <t xml:space="preserve">https://pizz-art.net/</t>
  </si>
  <si>
    <t xml:space="preserve">Tu-Sa 11:30-14:00,18:30-22:00</t>
  </si>
  <si>
    <t xml:space="preserve">Pizz@ Luce</t>
  </si>
  <si>
    <t xml:space="preserve">7 Rue des Trente-Six Ponts</t>
  </si>
  <si>
    <t xml:space="preserve">Pizza Arlequin</t>
  </si>
  <si>
    <t xml:space="preserve">09 62 36 38 97</t>
  </si>
  <si>
    <t xml:space="preserve">https://www.pizza-arlequin.com/</t>
  </si>
  <si>
    <t xml:space="preserve">Su,Mo 17:00-22:00; Tu-Sa 11:00-14:00,18:00-22:00</t>
  </si>
  <si>
    <t xml:space="preserve">Pizza di Mama</t>
  </si>
  <si>
    <t xml:space="preserve">27 Boulevard Pierre et Marie Curie</t>
  </si>
  <si>
    <t xml:space="preserve">05 32 53 78 68</t>
  </si>
  <si>
    <t xml:space="preserve">https://www.pizzadimama.fr/</t>
  </si>
  <si>
    <t xml:space="preserve">Mo-Fr 18:00-24:00; Sa-Su 11:30-14:30, 18:00-24:00</t>
  </si>
  <si>
    <t xml:space="preserve">Pizza du Faubourg</t>
  </si>
  <si>
    <t xml:space="preserve">44 Rue du Faubourg Bonnefoy</t>
  </si>
  <si>
    <t xml:space="preserve">05 61 26 00 00</t>
  </si>
  <si>
    <t xml:space="preserve">Pizza Hut</t>
  </si>
  <si>
    <t xml:space="preserve">Place Roquelaine</t>
  </si>
  <si>
    <t xml:space="preserve">05 61 20 82 08</t>
  </si>
  <si>
    <t xml:space="preserve">https://www.pizzahut.fr/huts/toulouse-jeanne-darc-205/</t>
  </si>
  <si>
    <t xml:space="preserve">Mo-We 11:00-02:00, Th-Su 11:00-03:00</t>
  </si>
  <si>
    <t xml:space="preserve">05 61 14 14 14</t>
  </si>
  <si>
    <t xml:space="preserve">https://www.pizzahut.fr/huts/toulouse-minimes-172/</t>
  </si>
  <si>
    <t xml:space="preserve">Mo 11:00-02:00; Tu 05:00-09:00,11:00-02:00; We-Th 11:00-02:00; Fr 05:00-09:00,11:00-02:00; Sa 11:30-03:00; Su 11:00-02:00</t>
  </si>
  <si>
    <t xml:space="preserve">Pizza Luna Rossa</t>
  </si>
  <si>
    <t xml:space="preserve">06 88 21 51 66</t>
  </si>
  <si>
    <t xml:space="preserve">Pizza Mongelli</t>
  </si>
  <si>
    <t xml:space="preserve">2 Place Auguste-Albert</t>
  </si>
  <si>
    <t xml:space="preserve">05 31 61 48 40</t>
  </si>
  <si>
    <t xml:space="preserve">https://www.pizza-mongelli.com/</t>
  </si>
  <si>
    <t xml:space="preserve">Pizza Nostra</t>
  </si>
  <si>
    <t xml:space="preserve">Mo-Fr 11:00-14:00, 18:00-23:00; Sa 11:00-14:00, 18:00-00:00; Su 18:00-23:00</t>
  </si>
  <si>
    <t xml:space="preserve">Pizza Zio</t>
  </si>
  <si>
    <t xml:space="preserve">05 62 21 17 00</t>
  </si>
  <si>
    <t xml:space="preserve">Mo-Sa 12:00-14:00,19:30-21:45</t>
  </si>
  <si>
    <t xml:space="preserve">Pizzaliano</t>
  </si>
  <si>
    <t xml:space="preserve">05 32 59 15 61</t>
  </si>
  <si>
    <t xml:space="preserve">Mo-Th 11:30-14:30,18:30-22:30; Fr-Su 18:00-22:30</t>
  </si>
  <si>
    <t xml:space="preserve">Pizzas à emporter</t>
  </si>
  <si>
    <t xml:space="preserve">05 82 06 18 13</t>
  </si>
  <si>
    <t xml:space="preserve">Pizze e Basta Cosi</t>
  </si>
  <si>
    <t xml:space="preserve">17 Rue Caraman</t>
  </si>
  <si>
    <t xml:space="preserve">05 62 80 99 31</t>
  </si>
  <si>
    <t xml:space="preserve">https://www.pizzeebasta.com/</t>
  </si>
  <si>
    <t xml:space="preserve">Mo 11:30-14:00; Tu,We 11:30-14:00,18:30-21:30; Th,Fr 11:30-14:00,18:30-22:00; Sa 18:30-22:00; Su off</t>
  </si>
  <si>
    <t xml:space="preserve">Pizzeria Bambino</t>
  </si>
  <si>
    <t xml:space="preserve">05 61 22 91 60</t>
  </si>
  <si>
    <t xml:space="preserve">https://www.pizzeria-bambino-toulouse.com/</t>
  </si>
  <si>
    <t xml:space="preserve">Tu-Sa 12:00-14:00,19:00-22:30</t>
  </si>
  <si>
    <t xml:space="preserve">Pizzeria d'Alexis</t>
  </si>
  <si>
    <t xml:space="preserve">09 53 90 36 55</t>
  </si>
  <si>
    <t xml:space="preserve">http://www.pizzeria-alexis.fr/</t>
  </si>
  <si>
    <t xml:space="preserve">Tu-Fr 12:00-14:00,19:00-22:30; Sa-Su 19:00-22:30</t>
  </si>
  <si>
    <t xml:space="preserve">Pizzeria Di Nando</t>
  </si>
  <si>
    <t xml:space="preserve">05 61 62 21 91 / 06 26 88 39 02</t>
  </si>
  <si>
    <t xml:space="preserve">Tu-Th 11:00-14:00, 18:00-22:00; Fr 11:00-14:00, 18:00-23:00; Sa-Su 18:00-23:00</t>
  </si>
  <si>
    <t xml:space="preserve">Pizzéria Belfort</t>
  </si>
  <si>
    <t xml:space="preserve">PL Pizza Léo</t>
  </si>
  <si>
    <t xml:space="preserve">Mo 12:00-14:00, Tu-Fr 12:00-14:30, Mo-Fr 19:00-22:00</t>
  </si>
  <si>
    <t xml:space="preserve">Plat'O Gourmand</t>
  </si>
  <si>
    <t xml:space="preserve">Burger, Française, Sandwicherie</t>
  </si>
  <si>
    <t xml:space="preserve">6 Allée Paul Harris</t>
  </si>
  <si>
    <t xml:space="preserve">05 61 99 91 19</t>
  </si>
  <si>
    <t xml:space="preserve">https://platogourmand.fr/</t>
  </si>
  <si>
    <t xml:space="preserve">Poketeria</t>
  </si>
  <si>
    <t xml:space="preserve">Poké</t>
  </si>
  <si>
    <t xml:space="preserve">05 61 57 31 01</t>
  </si>
  <si>
    <t xml:space="preserve">https://www.poketeria.fr/</t>
  </si>
  <si>
    <t xml:space="preserve">Mo-Su 11:30-22:30</t>
  </si>
  <si>
    <t xml:space="preserve">Poké Lab</t>
  </si>
  <si>
    <t xml:space="preserve">Hawaïenne, Poké</t>
  </si>
  <si>
    <t xml:space="preserve">05 61 39 29 58</t>
  </si>
  <si>
    <t xml:space="preserve">https://www.pokelab.fr/</t>
  </si>
  <si>
    <t xml:space="preserve">Potiche</t>
  </si>
  <si>
    <t xml:space="preserve">Française, Grill / viandes</t>
  </si>
  <si>
    <t xml:space="preserve">50 Avenue d'Italie</t>
  </si>
  <si>
    <t xml:space="preserve">05 34 51 57 20</t>
  </si>
  <si>
    <t xml:space="preserve">https://www.privateaser.com/lieu/63483-potiche</t>
  </si>
  <si>
    <t xml:space="preserve">Prima bonheur</t>
  </si>
  <si>
    <t xml:space="preserve">Prima Circus</t>
  </si>
  <si>
    <t xml:space="preserve">05 61 41 08 19</t>
  </si>
  <si>
    <t xml:space="preserve">https://circus.primafamily.fr/</t>
  </si>
  <si>
    <t xml:space="preserve">Mo-Th 12:00-14:00,19:00-22:30; Fr 12:00-15:00,19:00-02:00; Sa 12:00-15:00,19:00-03:00; Su 12:00-15:00,19:00-22:30</t>
  </si>
  <si>
    <t xml:space="preserve">Prima Fabbrica</t>
  </si>
  <si>
    <t xml:space="preserve">05 31 48 61 28</t>
  </si>
  <si>
    <t xml:space="preserve">https://www.primafabbrica.fr/</t>
  </si>
  <si>
    <t xml:space="preserve">12:00-15:00,19:00-23:00</t>
  </si>
  <si>
    <t xml:space="preserve">Prima Lova</t>
  </si>
  <si>
    <t xml:space="preserve">05 67 68 77 19</t>
  </si>
  <si>
    <t xml:space="preserve">https://lova.primafamily.fr/</t>
  </si>
  <si>
    <t xml:space="preserve">Mo-Su 12:00-15:00, 19:00-23:00</t>
  </si>
  <si>
    <t xml:space="preserve">Proteine Eat</t>
  </si>
  <si>
    <t xml:space="preserve">14 Rue Marie-Louise Dissard</t>
  </si>
  <si>
    <t xml:space="preserve">05 61 11 87 99</t>
  </si>
  <si>
    <t xml:space="preserve">https://linktr.ee/proteine.eat</t>
  </si>
  <si>
    <t xml:space="preserve">Tu-Th 11:45-14:00,18:45-21:00; Fr 11:45-14:00,18:45-21:30; Sa 12:00-14:30,19:00-21:30</t>
  </si>
  <si>
    <t xml:space="preserve">Protéine Eat</t>
  </si>
  <si>
    <t xml:space="preserve">Burger, Pizza, Crêperie</t>
  </si>
  <si>
    <t xml:space="preserve">PY-R</t>
  </si>
  <si>
    <t xml:space="preserve">05 61 25 51 52</t>
  </si>
  <si>
    <t xml:space="preserve">https://www.py-r.com</t>
  </si>
  <si>
    <t xml:space="preserve">Mo-Fr 20:00-22:00, Tu,We,Fr 12:00-14:00</t>
  </si>
  <si>
    <t xml:space="preserve">Pépère</t>
  </si>
  <si>
    <t xml:space="preserve">05 61 12 34 91</t>
  </si>
  <si>
    <t xml:space="preserve">https://www.pepere-restaurant.fr/</t>
  </si>
  <si>
    <t xml:space="preserve">Mo-Fr 12:00-13:30, 19:30-21:30</t>
  </si>
  <si>
    <t xml:space="preserve">Quán Phở 83</t>
  </si>
  <si>
    <t xml:space="preserve">07 82 09 92 68</t>
  </si>
  <si>
    <t xml:space="preserve">Mo-Sa 11:30-22:30; Su 11:30-15:00</t>
  </si>
  <si>
    <t xml:space="preserve">Rajasthan Villa</t>
  </si>
  <si>
    <t xml:space="preserve">4 Rue de l'Esquile</t>
  </si>
  <si>
    <t xml:space="preserve">05 34 44 91 91</t>
  </si>
  <si>
    <t xml:space="preserve">https://www.lerajasthanvilla.com/</t>
  </si>
  <si>
    <t xml:space="preserve">Mo-Su 12:00-14:00, 19:00-23:00</t>
  </si>
  <si>
    <t xml:space="preserve">Ramones</t>
  </si>
  <si>
    <t xml:space="preserve">Bistrot, Tapas</t>
  </si>
  <si>
    <t xml:space="preserve">https://ramonesramones.netlify.app/</t>
  </si>
  <si>
    <t xml:space="preserve">Tu-Fr 12:00-14:00, 18:30-21:30</t>
  </si>
  <si>
    <t xml:space="preserve">Ravigote</t>
  </si>
  <si>
    <t xml:space="preserve">09 52 24 36 97</t>
  </si>
  <si>
    <t xml:space="preserve">http://www.ravigote.fr/</t>
  </si>
  <si>
    <t xml:space="preserve">Mo-Fr 12:00-14:30</t>
  </si>
  <si>
    <t xml:space="preserve">Redstar Pizza</t>
  </si>
  <si>
    <t xml:space="preserve">Mo-Fr 11:00-14:00,18:00-22:30; Su,PH 18:00-22:30</t>
  </si>
  <si>
    <t xml:space="preserve">Reflets</t>
  </si>
  <si>
    <t xml:space="preserve">06 20 87 36 57</t>
  </si>
  <si>
    <t xml:space="preserve">https://www.reflets-toulouse.com/</t>
  </si>
  <si>
    <t xml:space="preserve">Tu-Sa 10:00-15:00,19:00-23:00; We 19:00-23:00</t>
  </si>
  <si>
    <t xml:space="preserve">Restaurant Chez Nicole</t>
  </si>
  <si>
    <t xml:space="preserve">Africaine, Française</t>
  </si>
  <si>
    <t xml:space="preserve">05 34 53 23 02</t>
  </si>
  <si>
    <t xml:space="preserve">https://www.saveursmusiquesdumonde.com/</t>
  </si>
  <si>
    <t xml:space="preserve">Tu-Th 12:00-23:00; Fr-Sa 12:00-23:55; Mo 12:00-14:30; Su 12:00-22:30</t>
  </si>
  <si>
    <t xml:space="preserve">Restaurant CNRS</t>
  </si>
  <si>
    <t xml:space="preserve">Restaurant de l'Ayguette</t>
  </si>
  <si>
    <t xml:space="preserve">Chemin de la Fronde</t>
  </si>
  <si>
    <t xml:space="preserve">Restaurant L'Hémicycle</t>
  </si>
  <si>
    <t xml:space="preserve">We-Su 12:00-18:00</t>
  </si>
  <si>
    <t xml:space="preserve">Restaurant Loubnane</t>
  </si>
  <si>
    <t xml:space="preserve">Su-Th 11:00-22:30; Fr,Sa 11:00-23:00</t>
  </si>
  <si>
    <t xml:space="preserve">Restaurant Mordus</t>
  </si>
  <si>
    <t xml:space="preserve">90 Rue Saint-Roch</t>
  </si>
  <si>
    <t xml:space="preserve">05 67 33 34 99</t>
  </si>
  <si>
    <t xml:space="preserve">https://www.mordus-resto.fr/</t>
  </si>
  <si>
    <t xml:space="preserve">Restaurant Papillons</t>
  </si>
  <si>
    <t xml:space="preserve">Asiatique, Sushi</t>
  </si>
  <si>
    <t xml:space="preserve">33 Route de Bayonne</t>
  </si>
  <si>
    <t xml:space="preserve">05 61 61 23 23</t>
  </si>
  <si>
    <t xml:space="preserve">Mo-Su 11:45-14:00,18:45-22:00</t>
  </si>
  <si>
    <t xml:space="preserve">Restaurant Universitaire de l'Arsenal</t>
  </si>
  <si>
    <t xml:space="preserve">Mo-Fr 11:15-14:00,18:30-21:00; Sa-Su 11:30-13:30,18:30-20:15</t>
  </si>
  <si>
    <t xml:space="preserve">Restaurant Universitaire ENSEEIHT</t>
  </si>
  <si>
    <t xml:space="preserve">Restaurant Émile</t>
  </si>
  <si>
    <t xml:space="preserve">Régionale / terroir, Bistrot</t>
  </si>
  <si>
    <t xml:space="preserve">13 Place Saint-Georges</t>
  </si>
  <si>
    <t xml:space="preserve">05 61 21 05 56</t>
  </si>
  <si>
    <t xml:space="preserve">https://www.restaurant-emile.com/</t>
  </si>
  <si>
    <t xml:space="preserve">Tu-Sa 12:00-13:30,19:30-21:30</t>
  </si>
  <si>
    <t xml:space="preserve">Resto U' Envt</t>
  </si>
  <si>
    <t xml:space="preserve">23 Chemin des Capelles</t>
  </si>
  <si>
    <t xml:space="preserve">05 34 39 06 13</t>
  </si>
  <si>
    <t xml:space="preserve">https://www.crous-toulouse.fr/restaurant/resto-u-envt/</t>
  </si>
  <si>
    <t xml:space="preserve">Mo-Fr 11:30-13:30</t>
  </si>
  <si>
    <t xml:space="preserve">Resto U' Insa</t>
  </si>
  <si>
    <t xml:space="preserve">https://www.crous-toulouse.fr/restaurant/resto-u-insa/</t>
  </si>
  <si>
    <t xml:space="preserve">Mo-Fr 11:30-13:15</t>
  </si>
  <si>
    <t xml:space="preserve">Resto U' Le Canal</t>
  </si>
  <si>
    <t xml:space="preserve">585 Cours Rosalind Franklin</t>
  </si>
  <si>
    <t xml:space="preserve">31077</t>
  </si>
  <si>
    <t xml:space="preserve">05 62 25 62 19</t>
  </si>
  <si>
    <t xml:space="preserve">https://www.crous-toulouse.fr/restaurant/resto-u-le-canal-2/</t>
  </si>
  <si>
    <t xml:space="preserve">Resto U' Le Théorème</t>
  </si>
  <si>
    <t xml:space="preserve">05 62 25 62 09</t>
  </si>
  <si>
    <t xml:space="preserve">https://www.crous-toulouse.fr/restaurant/resto-u-le-theoreme/</t>
  </si>
  <si>
    <t xml:space="preserve">Mo-Fr 11:15-13:30,18:30-21:00</t>
  </si>
  <si>
    <t xml:space="preserve">Resto U' Médecine</t>
  </si>
  <si>
    <t xml:space="preserve">Riviera Tolosa</t>
  </si>
  <si>
    <t xml:space="preserve">12 Place de la Daurade</t>
  </si>
  <si>
    <t xml:space="preserve">Roll &amp; Bowl</t>
  </si>
  <si>
    <t xml:space="preserve">Royal Buffet</t>
  </si>
  <si>
    <t xml:space="preserve">Asiatique, Wok, Japonaise, Chinoise, Régionale / terroir</t>
  </si>
  <si>
    <t xml:space="preserve">2 Avenue d'Atlanta</t>
  </si>
  <si>
    <t xml:space="preserve">https://royalbuffet.fr/toulouse-atlanta/</t>
  </si>
  <si>
    <t xml:space="preserve">Fr-Sa 12:00-14:30,19:00-23:30</t>
  </si>
  <si>
    <t xml:space="preserve">312 Avenue des États-Unis</t>
  </si>
  <si>
    <t xml:space="preserve">05 62 26 58 58</t>
  </si>
  <si>
    <t xml:space="preserve">https://www.royal-buffet-toulouse.com/</t>
  </si>
  <si>
    <t xml:space="preserve">Su-Th 12:00-14:30,19:00-22:30; Fr,Sa 12:00-14:30,19:00-23:30</t>
  </si>
  <si>
    <t xml:space="preserve">Asiatique, Française</t>
  </si>
  <si>
    <t xml:space="preserve">281 Route d'Espagne</t>
  </si>
  <si>
    <t xml:space="preserve">05 62 48 24 50</t>
  </si>
  <si>
    <t xml:space="preserve">https://www.royalbuffet.fr/</t>
  </si>
  <si>
    <t xml:space="preserve">Rue de Vietnam</t>
  </si>
  <si>
    <t xml:space="preserve">15 Avenue de la Gloire</t>
  </si>
  <si>
    <t xml:space="preserve">Tu-Su 12:00-15:00,18:00-22:30</t>
  </si>
  <si>
    <t xml:space="preserve">Sagué</t>
  </si>
  <si>
    <t xml:space="preserve">Mo-Sa 19:00-22:30, Mo-Fr 12:00-14:00</t>
  </si>
  <si>
    <t xml:space="preserve">Saignant</t>
  </si>
  <si>
    <t xml:space="preserve">05 34 57 46 91</t>
  </si>
  <si>
    <t xml:space="preserve">Th-Mo 12:00-14:00,19:00-23:00</t>
  </si>
  <si>
    <t xml:space="preserve">SAJ &amp; Co.</t>
  </si>
  <si>
    <t xml:space="preserve">Mo-Sa 12:00-15:00,19:00-22:00; Su 12:00-15:00</t>
  </si>
  <si>
    <t xml:space="preserve">Sakuraya</t>
  </si>
  <si>
    <t xml:space="preserve">05 61 99 25 28</t>
  </si>
  <si>
    <t xml:space="preserve">https://www.sakuraya.fr/</t>
  </si>
  <si>
    <t xml:space="preserve">Tu-Su 12:00-14:00,19:00-22:00</t>
  </si>
  <si>
    <t xml:space="preserve">Santosha</t>
  </si>
  <si>
    <t xml:space="preserve">09 87 19 79 86</t>
  </si>
  <si>
    <t xml:space="preserve">https://santosha-streetfood.com/fr/etablissement/santosha-toulouse-6445</t>
  </si>
  <si>
    <t xml:space="preserve">Mo-Fr 12:00-14:30,19:00-23:00; Sa 12:00-15:00,19:00-23:00; Su 12:00-15:00,19:00-22:30</t>
  </si>
  <si>
    <t xml:space="preserve">Sapiens</t>
  </si>
  <si>
    <t xml:space="preserve">07 68 28 91 69</t>
  </si>
  <si>
    <t xml:space="preserve">https://www.restaurants-sapiens.com/</t>
  </si>
  <si>
    <t xml:space="preserve">Mo-Fr 08:00-22:30</t>
  </si>
  <si>
    <t xml:space="preserve">Sapori di italia</t>
  </si>
  <si>
    <t xml:space="preserve">https://www.ubereats.com/fr/store/pizzeria-sapori-di-italia/Vr8DDbI2RF6rSkNAbRQPvA?diningMode=PICKUP</t>
  </si>
  <si>
    <t xml:space="preserve">Tu-Sa 11:30-14:30, 18:00-01:00; Su 18:00-00:00</t>
  </si>
  <si>
    <t xml:space="preserve">Sarbacane</t>
  </si>
  <si>
    <t xml:space="preserve">06 49 52 94 93</t>
  </si>
  <si>
    <t xml:space="preserve">https://restaurant-sarbacane.fr/</t>
  </si>
  <si>
    <t xml:space="preserve">Tu-Sa 12:00-14:00, 19:00-22:30</t>
  </si>
  <si>
    <t xml:space="preserve">Sashimi Food</t>
  </si>
  <si>
    <t xml:space="preserve">Japonaise, Sushi</t>
  </si>
  <si>
    <t xml:space="preserve">06 28 23 98 10</t>
  </si>
  <si>
    <t xml:space="preserve">https://sashimifood.my.canva.site/</t>
  </si>
  <si>
    <t xml:space="preserve">Saveur d'Asie Express</t>
  </si>
  <si>
    <t xml:space="preserve">4 Rue de la République</t>
  </si>
  <si>
    <t xml:space="preserve">05 61 42 66 41</t>
  </si>
  <si>
    <t xml:space="preserve">Mo-Fr 11:00-19:30</t>
  </si>
  <si>
    <t xml:space="preserve">Saveurs Basilic</t>
  </si>
  <si>
    <t xml:space="preserve">https://www.saveursbasilic.com/</t>
  </si>
  <si>
    <t xml:space="preserve">Mo-Sa 12:00-14:00,19:00-22:00; Su 19:00-22:00; Tu off</t>
  </si>
  <si>
    <t xml:space="preserve">Saveurs de l'Everest</t>
  </si>
  <si>
    <t xml:space="preserve">Saveurs du Mékong</t>
  </si>
  <si>
    <t xml:space="preserve">Sept</t>
  </si>
  <si>
    <t xml:space="preserve">https://www.restaurant-sept.fr</t>
  </si>
  <si>
    <t xml:space="preserve">Tu-Sa 20:00-21:00; Fr-Sa 12:00-13:00</t>
  </si>
  <si>
    <t xml:space="preserve">Seven Bistro</t>
  </si>
  <si>
    <t xml:space="preserve">334 Avenue de Grande Bretagne</t>
  </si>
  <si>
    <t xml:space="preserve">05 82 95 15 55</t>
  </si>
  <si>
    <t xml:space="preserve">https://www.sevenline.fr/bar-restaurant/</t>
  </si>
  <si>
    <t xml:space="preserve">Mo-Fr 06:30-10:00,12:00-14:00,19:00-21:30; Sa 07:00-10:30,19:00-21:30; Su,PH 07:00-10:30</t>
  </si>
  <si>
    <t xml:space="preserve">Shalizar</t>
  </si>
  <si>
    <t xml:space="preserve">100 Rue Achille Viadieu</t>
  </si>
  <si>
    <t xml:space="preserve">05 61 32 69 55</t>
  </si>
  <si>
    <t xml:space="preserve">https://restaurant-shalizar.com/</t>
  </si>
  <si>
    <t xml:space="preserve">Sham</t>
  </si>
  <si>
    <t xml:space="preserve">Libanaise, Orientale</t>
  </si>
  <si>
    <t xml:space="preserve">https://sham-restaurant-toulouse.eatbu.com</t>
  </si>
  <si>
    <t xml:space="preserve">Tu-Fr 10:00-20:30</t>
  </si>
  <si>
    <t xml:space="preserve">shin ya ramen</t>
  </si>
  <si>
    <t xml:space="preserve">Vacant (fermé ?)</t>
  </si>
  <si>
    <t xml:space="preserve">Shin-Ya Ramen</t>
  </si>
  <si>
    <t xml:space="preserve">68 Rue Lancefoc</t>
  </si>
  <si>
    <t xml:space="preserve">https://shinyaramen.fr/</t>
  </si>
  <si>
    <t xml:space="preserve">Tu,We 11:30-14:30; Th,Fr 11:30-14:30,19:00-21:30; Sa 12:00-14:30,19:00-21:30</t>
  </si>
  <si>
    <t xml:space="preserve">Si ma cantine m'était contée</t>
  </si>
  <si>
    <t xml:space="preserve">2 Chemin des Izards</t>
  </si>
  <si>
    <t xml:space="preserve">Mo-Fr 09:00-18:00</t>
  </si>
  <si>
    <t xml:space="preserve">Signorizza</t>
  </si>
  <si>
    <t xml:space="preserve">2 Avenue Hermes</t>
  </si>
  <si>
    <t xml:space="preserve">31770</t>
  </si>
  <si>
    <t xml:space="preserve">06 75 10 84 51</t>
  </si>
  <si>
    <t xml:space="preserve">https://www.signorizza.com</t>
  </si>
  <si>
    <t xml:space="preserve">Su-Th 11:45-14:00,18:30-22:00; Fr,Sa 11:45-14:00,18:30-23:00</t>
  </si>
  <si>
    <t xml:space="preserve">Silex &amp; Fourchette</t>
  </si>
  <si>
    <t xml:space="preserve">Paléo</t>
  </si>
  <si>
    <t xml:space="preserve">07 61 25 65 72</t>
  </si>
  <si>
    <t xml:space="preserve">https://www.silexetfourchette.com/</t>
  </si>
  <si>
    <t xml:space="preserve">Mo-Sa 10:30-17:30</t>
  </si>
  <si>
    <t xml:space="preserve">Sixta</t>
  </si>
  <si>
    <t xml:space="preserve">09 54 52 92 67</t>
  </si>
  <si>
    <t xml:space="preserve">https://sixta-toulouse.fr/</t>
  </si>
  <si>
    <t xml:space="preserve">Tu-Sa 12:00-19:00</t>
  </si>
  <si>
    <t xml:space="preserve">Sixty Two</t>
  </si>
  <si>
    <t xml:space="preserve">05 34 25 28 82</t>
  </si>
  <si>
    <t xml:space="preserve">https://www.sixty-2.fr/fr</t>
  </si>
  <si>
    <t xml:space="preserve">We-Sa 12:00-14:00,19:30-21:30; Mo-Tu off</t>
  </si>
  <si>
    <t xml:space="preserve">So Delice</t>
  </si>
  <si>
    <t xml:space="preserve">So'Salad</t>
  </si>
  <si>
    <t xml:space="preserve">Sodexo</t>
  </si>
  <si>
    <t xml:space="preserve">105 Avenue du Général Eisenhower</t>
  </si>
  <si>
    <t xml:space="preserve">Soleil d'Istanbul</t>
  </si>
  <si>
    <t xml:space="preserve">Mo 11:00-15:00; Tu 11:00-23:00; We-Su 11:30-23:00</t>
  </si>
  <si>
    <t xml:space="preserve">Solides</t>
  </si>
  <si>
    <t xml:space="preserve">05 61 53 34 88</t>
  </si>
  <si>
    <t xml:space="preserve">https://www.solides.fr/</t>
  </si>
  <si>
    <t xml:space="preserve">We-Sa 19:30-22:30</t>
  </si>
  <si>
    <t xml:space="preserve">Solyles</t>
  </si>
  <si>
    <t xml:space="preserve">1 Place Pierre Mendes France</t>
  </si>
  <si>
    <t xml:space="preserve">Mo-Sa 11:00-14:30, 17:30-22:00; Su 11:00-22:00</t>
  </si>
  <si>
    <t xml:space="preserve">Sorami Burger</t>
  </si>
  <si>
    <t xml:space="preserve">05 67 68 74 79</t>
  </si>
  <si>
    <t xml:space="preserve">https://www.sorami-burger.fr</t>
  </si>
  <si>
    <t xml:space="preserve">Mo-Fr 11:00-14:00,18:00-22:30; Sa,Su 18:00-22:30</t>
  </si>
  <si>
    <t xml:space="preserve">Soul Kitchen</t>
  </si>
  <si>
    <t xml:space="preserve">59 Avenue Maurice Bourgès-Maunoury</t>
  </si>
  <si>
    <t xml:space="preserve">07 52 08 14 49</t>
  </si>
  <si>
    <t xml:space="preserve">https://soulkitchen-resto.fr/</t>
  </si>
  <si>
    <t xml:space="preserve">Tu-Su 11:00-21:30; Fr 11:00-22:30; Sa 14:30-22:30</t>
  </si>
  <si>
    <t xml:space="preserve">Source</t>
  </si>
  <si>
    <t xml:space="preserve">64 Avenue Antoine de Saint-Exupéry</t>
  </si>
  <si>
    <t xml:space="preserve">05 34 42 10 68</t>
  </si>
  <si>
    <t xml:space="preserve">https://www.restaurantsourcetlse.com/</t>
  </si>
  <si>
    <t xml:space="preserve">Tu-Fr 20:00-23:00</t>
  </si>
  <si>
    <t xml:space="preserve">Spicchizzi</t>
  </si>
  <si>
    <t xml:space="preserve">Spice Palatte</t>
  </si>
  <si>
    <t xml:space="preserve">Tu-Th 12:00-14:00, 18:30-22:00; Fr-Sa 12:00-14:00, 18:30-22:15; Su 12:00-14:30, 18:30-21:30</t>
  </si>
  <si>
    <t xml:space="preserve">Spritzza</t>
  </si>
  <si>
    <t xml:space="preserve">05 82 75 49 91</t>
  </si>
  <si>
    <t xml:space="preserve">Standard</t>
  </si>
  <si>
    <t xml:space="preserve">Supernova</t>
  </si>
  <si>
    <t xml:space="preserve">10 Bertrand de Born</t>
  </si>
  <si>
    <t xml:space="preserve">Mo-Sa 10:00-17:30</t>
  </si>
  <si>
    <t xml:space="preserve">Susanoo</t>
  </si>
  <si>
    <t xml:space="preserve">4 Rue Charles de Rémusat</t>
  </si>
  <si>
    <t xml:space="preserve">05 62 27 03 14</t>
  </si>
  <si>
    <t xml:space="preserve">https://www.susanoofrance.com</t>
  </si>
  <si>
    <t xml:space="preserve">Mo-Th 12:00-14:30,19:00-22:00; Fr,Sa 12:00-15:00,19:00-22:30; PH off</t>
  </si>
  <si>
    <t xml:space="preserve">Sushi Avenue</t>
  </si>
  <si>
    <t xml:space="preserve">Sushi Kare House</t>
  </si>
  <si>
    <t xml:space="preserve">07 82 76 33 07</t>
  </si>
  <si>
    <t xml:space="preserve">https://sushikarehouse.com/</t>
  </si>
  <si>
    <t xml:space="preserve">Tu-Sa 11:30-14:00,18:30-21:00</t>
  </si>
  <si>
    <t xml:space="preserve">Sushi Kinjo</t>
  </si>
  <si>
    <t xml:space="preserve">Sushi N Wok</t>
  </si>
  <si>
    <t xml:space="preserve">Asiatique, Japonaise</t>
  </si>
  <si>
    <t xml:space="preserve">Mo-Sa 11:45-14:30,18:45-22:30</t>
  </si>
  <si>
    <t xml:space="preserve">SushiYaki</t>
  </si>
  <si>
    <t xml:space="preserve">05 61 12 00 60</t>
  </si>
  <si>
    <t xml:space="preserve">https://www.sushiyaki.net/</t>
  </si>
  <si>
    <t xml:space="preserve">S com Saj</t>
  </si>
  <si>
    <t xml:space="preserve">http://scomsaj.com/</t>
  </si>
  <si>
    <t xml:space="preserve">Mo-Sa 11:00-23:00</t>
  </si>
  <si>
    <t xml:space="preserve">Séoul</t>
  </si>
  <si>
    <t xml:space="preserve">05 62 16 10 88</t>
  </si>
  <si>
    <t xml:space="preserve">http://seoulrestaurantcoreen.com/</t>
  </si>
  <si>
    <t xml:space="preserve">Tante Margit</t>
  </si>
  <si>
    <t xml:space="preserve">Norvégienne</t>
  </si>
  <si>
    <t xml:space="preserve">05 61 55 01 25</t>
  </si>
  <si>
    <t xml:space="preserve">https://tantemargit.eatbu.com/?lang=fr</t>
  </si>
  <si>
    <t xml:space="preserve">Tempête</t>
  </si>
  <si>
    <t xml:space="preserve">Tu-Fr 12:00-14:00, Tu,We 19:00-24:00, Th,Fr 19:00-02:00, Sa 19:00-03:00</t>
  </si>
  <si>
    <t xml:space="preserve">Terra Tolosa</t>
  </si>
  <si>
    <t xml:space="preserve">2 Rue Tolosane</t>
  </si>
  <si>
    <t xml:space="preserve">05 62 26 39 64</t>
  </si>
  <si>
    <t xml:space="preserve">https://www.terra-tolosa.fr/</t>
  </si>
  <si>
    <t xml:space="preserve">Tu-Sa 12:00-13:30,19:30-21:00</t>
  </si>
  <si>
    <t xml:space="preserve">Thai-Thai Sushi</t>
  </si>
  <si>
    <t xml:space="preserve">Sushi, Thaïlandaise</t>
  </si>
  <si>
    <t xml:space="preserve">05 62 86 79 38</t>
  </si>
  <si>
    <t xml:space="preserve">https://thaithaisushi.wordpress.com/</t>
  </si>
  <si>
    <t xml:space="preserve">Mo-Sa 12:00-15:00,19:00-22:30</t>
  </si>
  <si>
    <t xml:space="preserve">Thaï Food</t>
  </si>
  <si>
    <t xml:space="preserve">The Fusion bar</t>
  </si>
  <si>
    <t xml:space="preserve">Népalaise</t>
  </si>
  <si>
    <t xml:space="preserve">09 83 87 52 70</t>
  </si>
  <si>
    <t xml:space="preserve">https://fusionbar.fr</t>
  </si>
  <si>
    <t xml:space="preserve">Mo-We 10:00-24:00; Th-Sa 10:00-02:00; Su,PH off</t>
  </si>
  <si>
    <t xml:space="preserve">The Green Tiger</t>
  </si>
  <si>
    <t xml:space="preserve">05 34 33 75 53</t>
  </si>
  <si>
    <t xml:space="preserve">Mo-Sa 12:00-14:30, 19:00-23:00</t>
  </si>
  <si>
    <t xml:space="preserve">The Kanteen Restaurant</t>
  </si>
  <si>
    <t xml:space="preserve">05 61 62 39 00</t>
  </si>
  <si>
    <t xml:space="preserve">https://www.thekanteen.fr/</t>
  </si>
  <si>
    <t xml:space="preserve">Mo-Th 12:00-14:30, 19:00-23:30; Fr-Su 12:00-14:30, 19:00-00:00</t>
  </si>
  <si>
    <t xml:space="preserve">The Roof</t>
  </si>
  <si>
    <t xml:space="preserve">Tinos Pizza</t>
  </si>
  <si>
    <t xml:space="preserve">27 Rue de la République</t>
  </si>
  <si>
    <t xml:space="preserve">05 61 59 15 04</t>
  </si>
  <si>
    <t xml:space="preserve">https://tinospizza.eatbu.com/</t>
  </si>
  <si>
    <t xml:space="preserve">Mo-Sa 18:45-22:30; Su 18:45-22:00</t>
  </si>
  <si>
    <t xml:space="preserve">Tokyo Bento</t>
  </si>
  <si>
    <t xml:space="preserve">Asiatique, Japonaise, Chinoise</t>
  </si>
  <si>
    <t xml:space="preserve">06 63 34 71 93</t>
  </si>
  <si>
    <t xml:space="preserve">https://www.tokyobento.fr/</t>
  </si>
  <si>
    <t xml:space="preserve">Tu-Sa 11:30-18:30</t>
  </si>
  <si>
    <t xml:space="preserve">Tolosa Cooking</t>
  </si>
  <si>
    <t xml:space="preserve">109 Avenue du Général Eisenhower</t>
  </si>
  <si>
    <t xml:space="preserve">Tommy's City Diner</t>
  </si>
  <si>
    <t xml:space="preserve">Américaine, Burger, Brunch</t>
  </si>
  <si>
    <t xml:space="preserve">https://www.tommys-cafe.com/news-tommys-city-diner-toulouse/</t>
  </si>
  <si>
    <t xml:space="preserve">Toroya</t>
  </si>
  <si>
    <t xml:space="preserve">05 61 23 67 92</t>
  </si>
  <si>
    <t xml:space="preserve">https://toroya.fr/</t>
  </si>
  <si>
    <t xml:space="preserve">Mo-Sa 12:00-14:30,19:00-22:00; Su 19:00-22:00</t>
  </si>
  <si>
    <t xml:space="preserve">Toulouse Pasta Club</t>
  </si>
  <si>
    <t xml:space="preserve">Pâtes, Italienne</t>
  </si>
  <si>
    <t xml:space="preserve">https://toulousepastaclub.com/</t>
  </si>
  <si>
    <t xml:space="preserve">Tu-Sa 12:00-13:30</t>
  </si>
  <si>
    <t xml:space="preserve">Tourneflam</t>
  </si>
  <si>
    <t xml:space="preserve">05 61 40 50 07</t>
  </si>
  <si>
    <t xml:space="preserve">https://tourneflam.wordpress.com/</t>
  </si>
  <si>
    <t xml:space="preserve">Troika Royale</t>
  </si>
  <si>
    <t xml:space="preserve">Russe</t>
  </si>
  <si>
    <t xml:space="preserve">09 86 38 28 63</t>
  </si>
  <si>
    <t xml:space="preserve">https://www.troika-royale.fr/</t>
  </si>
  <si>
    <t xml:space="preserve">We,Th 10:30-19:30; Fr 10:30-23:30; Sa 11:00-23:30</t>
  </si>
  <si>
    <t xml:space="preserve">Trois Sœurs Là Suite</t>
  </si>
  <si>
    <t xml:space="preserve">Tu-Su 09:00-17:00</t>
  </si>
  <si>
    <t xml:space="preserve">Tsing Tao Île Verte</t>
  </si>
  <si>
    <t xml:space="preserve">Mo-Sa 11:45-14:15,18:45-23:00</t>
  </si>
  <si>
    <t xml:space="preserve">Turbine Bazacle</t>
  </si>
  <si>
    <t xml:space="preserve">06 02 44 08 66</t>
  </si>
  <si>
    <t xml:space="preserve">https://turbine-bazacle.fr/</t>
  </si>
  <si>
    <t xml:space="preserve">Jun-Sep Mo-Su 11:00-00:00</t>
  </si>
  <si>
    <t xml:space="preserve">Tête en l’air</t>
  </si>
  <si>
    <t xml:space="preserve">09 88 39 40 26</t>
  </si>
  <si>
    <t xml:space="preserve">https://restaurant-tetenlair.com/</t>
  </si>
  <si>
    <t xml:space="preserve">Mo-We 12:00-14:00; Th-Fr 12:00-14:00,19:30-24:00</t>
  </si>
  <si>
    <t xml:space="preserve">Tôt ou tard - De la mer</t>
  </si>
  <si>
    <t xml:space="preserve">Une Table à Deux</t>
  </si>
  <si>
    <t xml:space="preserve">10 Rue de la Pleau</t>
  </si>
  <si>
    <t xml:space="preserve">05 61 25 03 51</t>
  </si>
  <si>
    <t xml:space="preserve">https://www.unetableadeux.fr/</t>
  </si>
  <si>
    <t xml:space="preserve">Mo-Tu 12:00-13:45, 19:30-21:30; We 19:30-21:30; Th-Fr 12:00-13:45, 19:30-21:30</t>
  </si>
  <si>
    <t xml:space="preserve">Unica</t>
  </si>
  <si>
    <t xml:space="preserve">Mo-Th 12:00-14:00,18:00-23:00; Sa 12:00-14:00,18:00-23:00; Fr,Su 18:00-23:00</t>
  </si>
  <si>
    <t xml:space="preserve">Upsidum</t>
  </si>
  <si>
    <t xml:space="preserve">655 Cours des Sciences</t>
  </si>
  <si>
    <t xml:space="preserve">Va Fanciullo !</t>
  </si>
  <si>
    <t xml:space="preserve">45 Rue Gabriel Péri</t>
  </si>
  <si>
    <t xml:space="preserve">05 62 80 92 84</t>
  </si>
  <si>
    <t xml:space="preserve">https://www.va-fanciullo.fr/fr/</t>
  </si>
  <si>
    <t xml:space="preserve">Tu-Fr 12:00-14:00, 19:00-23:00; Sa 19:00-23:00</t>
  </si>
  <si>
    <t xml:space="preserve">Valentina</t>
  </si>
  <si>
    <t xml:space="preserve">09 83 45 28 24</t>
  </si>
  <si>
    <t xml:space="preserve">https://www.leclandesmamma.com/valentina-toulouse/</t>
  </si>
  <si>
    <t xml:space="preserve">Tu-Th 19:30-22:00; Fr 12:00-14:00, 19:30-23:00; Sa-Su 12:00-14:30, 19:30-23:00</t>
  </si>
  <si>
    <t xml:space="preserve">Valentino</t>
  </si>
  <si>
    <t xml:space="preserve">Burger, Hot-dog</t>
  </si>
  <si>
    <t xml:space="preserve">https://valentinosmashhouse.fr/</t>
  </si>
  <si>
    <t xml:space="preserve">Mo-Sa 11:30-14:00,18:00-24:00</t>
  </si>
  <si>
    <t xml:space="preserve">Van Lôc</t>
  </si>
  <si>
    <t xml:space="preserve">05 62 30 93 46</t>
  </si>
  <si>
    <t xml:space="preserve">Mo-Sa 12:00-14:00,19:00-22:00; Su off</t>
  </si>
  <si>
    <t xml:space="preserve">Vasinicò</t>
  </si>
  <si>
    <t xml:space="preserve">9 Rue Marius Tercé</t>
  </si>
  <si>
    <t xml:space="preserve">https://m.facebook.com/VasinicoToulouse/?locale=fr_FR&amp;_rdr</t>
  </si>
  <si>
    <t xml:space="preserve">Vaudeville</t>
  </si>
  <si>
    <t xml:space="preserve">Mo-Th, Su 11:45-14:00, 19:00-22:30; Fr, Sa 11:45-14:00, 19:00-23:00</t>
  </si>
  <si>
    <t xml:space="preserve">Vents d'Est</t>
  </si>
  <si>
    <t xml:space="preserve">Régionale / terroir, Alsacienne</t>
  </si>
  <si>
    <t xml:space="preserve">05 61 62 31 44</t>
  </si>
  <si>
    <t xml:space="preserve">https://www.restaurant-ventsdest.fr/</t>
  </si>
  <si>
    <t xml:space="preserve">Th-Su 12:00-13:30, Th-Tu 19:30-22:30, We off</t>
  </si>
  <si>
    <t xml:space="preserve">Vesubio</t>
  </si>
  <si>
    <t xml:space="preserve">05 34 66 67 34</t>
  </si>
  <si>
    <t xml:space="preserve">https://www.vesubio.fr/</t>
  </si>
  <si>
    <t xml:space="preserve">Mo-Su 12:00-14:00,19:00-22:00</t>
  </si>
  <si>
    <t xml:space="preserve">Viet-An</t>
  </si>
  <si>
    <t xml:space="preserve">17 Impasse Didier Daurat</t>
  </si>
  <si>
    <t xml:space="preserve">05 61 54 89 12</t>
  </si>
  <si>
    <t xml:space="preserve">https://restaurant-viet-an.com/</t>
  </si>
  <si>
    <t xml:space="preserve">Mo,Fr 11:00-15:00,18:00-22:30; Tu-Th 11:00-15:00; Sa-Su 18:00-22:30</t>
  </si>
  <si>
    <t xml:space="preserve">Vietnam delices</t>
  </si>
  <si>
    <t xml:space="preserve">50 Avenue de Lardenne</t>
  </si>
  <si>
    <t xml:space="preserve">Mo-Su 12:00-14:00, Mo-Su 19:00-22:00</t>
  </si>
  <si>
    <t xml:space="preserve">Viko House</t>
  </si>
  <si>
    <t xml:space="preserve">71 Rue de la Pomme</t>
  </si>
  <si>
    <t xml:space="preserve">09 67 08 01 94</t>
  </si>
  <si>
    <t xml:space="preserve">Su-Tu 12:00-17:00; We,Sa 12:00-22:30</t>
  </si>
  <si>
    <t xml:space="preserve">Vitano Pizzeria</t>
  </si>
  <si>
    <t xml:space="preserve">254 Avenue de Muret</t>
  </si>
  <si>
    <t xml:space="preserve">05 34 36 90 48</t>
  </si>
  <si>
    <t xml:space="preserve">https://pizzeria-vitano.fr/</t>
  </si>
  <si>
    <t xml:space="preserve">Mo-Sa 11:30-14:00,18:30-21:30; Su 18:30-21:30</t>
  </si>
  <si>
    <t xml:space="preserve">Vivants</t>
  </si>
  <si>
    <t xml:space="preserve">07 56 86 81 87</t>
  </si>
  <si>
    <t xml:space="preserve">https://vivants-toulouse.com/</t>
  </si>
  <si>
    <t xml:space="preserve">Tu-Sa 11:00-14:00,17:00-19:00</t>
  </si>
  <si>
    <t xml:space="preserve">Voila by Mo Bachir</t>
  </si>
  <si>
    <t xml:space="preserve">12 Rue Perchepinte</t>
  </si>
  <si>
    <t xml:space="preserve">09 83 33 74 85</t>
  </si>
  <si>
    <t xml:space="preserve">Volfoni</t>
  </si>
  <si>
    <t xml:space="preserve">05 62 27 93 20</t>
  </si>
  <si>
    <t xml:space="preserve">https://www.volfoni.fr/nos-restaurants/volfoni-toulouse</t>
  </si>
  <si>
    <t xml:space="preserve">Mo-Su 08:30-23:00; Fr,Sa 08:30-24:00</t>
  </si>
  <si>
    <t xml:space="preserve">Wagyuya</t>
  </si>
  <si>
    <t xml:space="preserve">Barbecue, Japonaise</t>
  </si>
  <si>
    <t xml:space="preserve">07 45 02 80 03</t>
  </si>
  <si>
    <t xml:space="preserve">https://wagyuya.fr/</t>
  </si>
  <si>
    <t xml:space="preserve">Tu-Su 11:45-14:30, 18:45-22:30</t>
  </si>
  <si>
    <t xml:space="preserve">Wok &amp; Poké</t>
  </si>
  <si>
    <t xml:space="preserve">Woézon</t>
  </si>
  <si>
    <t xml:space="preserve">38 Avenue Léon Blum</t>
  </si>
  <si>
    <t xml:space="preserve">06 37 93 89 60 / 06 45 81 35 58</t>
  </si>
  <si>
    <t xml:space="preserve">Yaba</t>
  </si>
  <si>
    <t xml:space="preserve">18 Place des Pradettes</t>
  </si>
  <si>
    <t xml:space="preserve">07 75 77 59 29</t>
  </si>
  <si>
    <t xml:space="preserve">Mo-Th 11:00-14:00; Fr-Sa 11:30-14:00,19:00-22:00; Su off</t>
  </si>
  <si>
    <t xml:space="preserve">Yankee Grill</t>
  </si>
  <si>
    <t xml:space="preserve">Yaz cantine</t>
  </si>
  <si>
    <t xml:space="preserve">07 81 43 04 68</t>
  </si>
  <si>
    <t xml:space="preserve">https://www.yazcantine.com</t>
  </si>
  <si>
    <t xml:space="preserve">Mo-Fr 12:00-17:30</t>
  </si>
  <si>
    <t xml:space="preserve">Yeti</t>
  </si>
  <si>
    <t xml:space="preserve">05 61 62 80 22</t>
  </si>
  <si>
    <t xml:space="preserve">http://www.restoyeti.com/</t>
  </si>
  <si>
    <t xml:space="preserve">Tu-Su 11:30-14:00; Tu-Sa 19:00-22:00</t>
  </si>
  <si>
    <t xml:space="preserve">Yoko Sushi</t>
  </si>
  <si>
    <t xml:space="preserve">05 62 30 80 14</t>
  </si>
  <si>
    <t xml:space="preserve">https://www.yokosushi.fr/#/</t>
  </si>
  <si>
    <t xml:space="preserve">Mo-Fr 11:30-14:00, 18:30-22:00; Sa-Su 18:30-22:00</t>
  </si>
  <si>
    <t xml:space="preserve">YokoSushi</t>
  </si>
  <si>
    <t xml:space="preserve">https://www.yokosushi.fr</t>
  </si>
  <si>
    <t xml:space="preserve">Mo-Th 11:30-14:00,18:30-22:00; Fr,Sa 11:30-14:00,18:30-22:30; Su 18:30-22:00</t>
  </si>
  <si>
    <t xml:space="preserve">Yoshi</t>
  </si>
  <si>
    <t xml:space="preserve">05 61 23 00 26</t>
  </si>
  <si>
    <t xml:space="preserve">http://www.sushiyoshi.fr/</t>
  </si>
  <si>
    <t xml:space="preserve">Youco</t>
  </si>
  <si>
    <t xml:space="preserve">05 31 61 46 46</t>
  </si>
  <si>
    <t xml:space="preserve">https://youco-toulouse.eatbu.com/</t>
  </si>
  <si>
    <t xml:space="preserve">Mo-Sa 07:30-21:00</t>
  </si>
  <si>
    <t xml:space="preserve">Ytaing - fast food - spécialités asiatiques</t>
  </si>
  <si>
    <t xml:space="preserve">14 Avenue Étienne Billières</t>
  </si>
  <si>
    <t xml:space="preserve">Mo-Sa 11:00-15:00,18:00-21:00</t>
  </si>
  <si>
    <t xml:space="preserve">Yujo Ramen Saint-Cyprien</t>
  </si>
  <si>
    <t xml:space="preserve">05 61 11 48 19</t>
  </si>
  <si>
    <t xml:space="preserve">https://yujoramen.com/</t>
  </si>
  <si>
    <t xml:space="preserve">Su-Fr 11:30-22:00; Sa 11:30-22:30</t>
  </si>
  <si>
    <t xml:space="preserve">Yukiko</t>
  </si>
  <si>
    <t xml:space="preserve">06 03 52 83 52</t>
  </si>
  <si>
    <t xml:space="preserve">https://yukikorestaurant.wixsite.com/yukiko</t>
  </si>
  <si>
    <t xml:space="preserve">Tu-Su 11:45-15:30; Th-Sa 11:45-15:30,19:00-22:30</t>
  </si>
  <si>
    <t xml:space="preserve">Yūjō Ramen</t>
  </si>
  <si>
    <t xml:space="preserve">https://www.yujoramen.com/</t>
  </si>
  <si>
    <t xml:space="preserve">Tu-Sa 10:30-14:00,14:30-18:00</t>
  </si>
  <si>
    <t xml:space="preserve">Zen-Saï</t>
  </si>
  <si>
    <t xml:space="preserve">05 61 12 00 00</t>
  </si>
  <si>
    <t xml:space="preserve">https://www.zen-sai.com/</t>
  </si>
  <si>
    <t xml:space="preserve">Mo-Fr 11:45-17:30,18:45-22:00; Sa-Su 11:45-17:30,18:45-22:30</t>
  </si>
  <si>
    <t xml:space="preserve">Zenasia</t>
  </si>
  <si>
    <t xml:space="preserve">05 61 34 97 70</t>
  </si>
  <si>
    <t xml:space="preserve">https://www.zenazia.com/</t>
  </si>
  <si>
    <t xml:space="preserve">Zokwezo</t>
  </si>
  <si>
    <t xml:space="preserve">https://traverseesafricaines.com/annuaires/liste-artistes/gastronomes/item/zokwezo.html</t>
  </si>
  <si>
    <t xml:space="preserve">Zorkot</t>
  </si>
  <si>
    <t xml:space="preserve">Tu-Fr 08:00-15:00, We-Sa 18:00-21:00, Sa,Su 10:00-15:00</t>
  </si>
  <si>
    <t xml:space="preserve">Élie Caraïbes</t>
  </si>
  <si>
    <t xml:space="preserve">Mo-Su 11:00-14:30,18:45-22:30</t>
  </si>
  <si>
    <t xml:space="preserve">Épicerie Musicale</t>
  </si>
  <si>
    <t xml:space="preserve">07 71 66 06 56</t>
  </si>
  <si>
    <t xml:space="preserve">Tu-Th 19:00-23:30;Fr-Sa 19:00-01:00</t>
  </si>
  <si>
    <t xml:space="preserve">Étoile d'orient - Épicerie orientale, patisserie, salon de thé &amp; restauration</t>
  </si>
  <si>
    <t xml:space="preserve">149 Grande Rue Saint-Michel</t>
  </si>
  <si>
    <t xml:space="preserve">Ô Bali</t>
  </si>
  <si>
    <t xml:space="preserve">Indonésienne</t>
  </si>
  <si>
    <t xml:space="preserve">05 34 43 51 34</t>
  </si>
  <si>
    <t xml:space="preserve">https://obali.fr/</t>
  </si>
  <si>
    <t xml:space="preserve">Ô Bro'chette</t>
  </si>
  <si>
    <t xml:space="preserve">397 Route de Saint-Simon</t>
  </si>
  <si>
    <t xml:space="preserve">07 43 57 92 22</t>
  </si>
  <si>
    <t xml:space="preserve">We,Th 17:00-00:00; Fr,Sa 17:00-01:00; Su 17:00-23:30</t>
  </si>
  <si>
    <t xml:space="preserve">Ô Cent Couverts</t>
  </si>
  <si>
    <t xml:space="preserve">Traditionnelle, Française</t>
  </si>
  <si>
    <t xml:space="preserve">2 Rue Maurice Caunes</t>
  </si>
  <si>
    <t xml:space="preserve">05 61 59 02 42</t>
  </si>
  <si>
    <t xml:space="preserve">Mo-Su 11:30-14:00, 19:00-22:00</t>
  </si>
  <si>
    <t xml:space="preserve">Ô Cuiz'In</t>
  </si>
  <si>
    <t xml:space="preserve">05 62 16 18 18</t>
  </si>
  <si>
    <t xml:space="preserve">https://www.ocuizin.fr/</t>
  </si>
  <si>
    <t xml:space="preserve">Ô Jardin Gourmand</t>
  </si>
  <si>
    <t xml:space="preserve">05 61 57 83 64</t>
  </si>
  <si>
    <t xml:space="preserve">https://www.ojardingourmand.com</t>
  </si>
  <si>
    <t xml:space="preserve">Ô Mana</t>
  </si>
  <si>
    <t xml:space="preserve">05 34 33 26 06</t>
  </si>
  <si>
    <t xml:space="preserve">https://brasserie-o-mana.fr</t>
  </si>
  <si>
    <t xml:space="preserve">06:00-20:00</t>
  </si>
  <si>
    <t xml:space="preserve">Ô p'tit LOL</t>
  </si>
  <si>
    <t xml:space="preserve">Ô p'tit zinc</t>
  </si>
  <si>
    <t xml:space="preserve">Ô Saveurs Dorées</t>
  </si>
  <si>
    <t xml:space="preserve">Française, Portugaise</t>
  </si>
  <si>
    <t xml:space="preserve">05 34 66 99 96</t>
  </si>
  <si>
    <t xml:space="preserve">https://osaveursdorees.eatbu.com</t>
  </si>
  <si>
    <t xml:space="preserve">Ô Zen</t>
  </si>
  <si>
    <t xml:space="preserve">06 61 00 92 26</t>
  </si>
  <si>
    <t xml:space="preserve">https://www.ozenasianfood.fr/</t>
  </si>
  <si>
    <t xml:space="preserve">Mo-Sa 11:30-15:00,18:00-23:00; Su 18:00-23:00</t>
  </si>
  <si>
    <t xml:space="preserve">Asian Orchidée</t>
  </si>
  <si>
    <t xml:space="preserve">3 Rue Rivals</t>
  </si>
  <si>
    <t xml:space="preserve">Colomiers</t>
  </si>
  <si>
    <t xml:space="preserve">05 61 16 60 97</t>
  </si>
  <si>
    <t xml:space="preserve">https://www.asian-orchidee.fr/</t>
  </si>
  <si>
    <t xml:space="preserve">Mo-Sa 12:00-13:30,19:00-21:30</t>
  </si>
  <si>
    <t xml:space="preserve">Beyrouth</t>
  </si>
  <si>
    <t xml:space="preserve">Bistrot l'Esplanade</t>
  </si>
  <si>
    <t xml:space="preserve">4 Esplanade François Mitterrand</t>
  </si>
  <si>
    <t xml:space="preserve">Bistrot Véo</t>
  </si>
  <si>
    <t xml:space="preserve">05 32 09 62 80</t>
  </si>
  <si>
    <t xml:space="preserve">https://colomiers.veocinemas.fr/bistrot-veo/</t>
  </si>
  <si>
    <t xml:space="preserve">Tu-Sa 10:30-21:00; Su 10:30-15:00</t>
  </si>
  <si>
    <t xml:space="preserve">Brasserie de L'Armurier</t>
  </si>
  <si>
    <t xml:space="preserve">C06</t>
  </si>
  <si>
    <t xml:space="preserve">Mo-Fr 11:00-13:30+; Mo-Th 19:00-20:30</t>
  </si>
  <si>
    <t xml:space="preserve">C75</t>
  </si>
  <si>
    <t xml:space="preserve">Café Sadourny</t>
  </si>
  <si>
    <t xml:space="preserve">Cappadoce Grillades</t>
  </si>
  <si>
    <t xml:space="preserve">Turque, Barbecue</t>
  </si>
  <si>
    <t xml:space="preserve">1 Avenue Georges Guynemer</t>
  </si>
  <si>
    <t xml:space="preserve">Mo-Fr 11:30-14:00, 18:30-22:00; Sa 19:00-22:00</t>
  </si>
  <si>
    <t xml:space="preserve">Cosy</t>
  </si>
  <si>
    <t xml:space="preserve">3 Allée du Rouergue</t>
  </si>
  <si>
    <t xml:space="preserve">Friendly Auberge</t>
  </si>
  <si>
    <t xml:space="preserve">http://friendsauberge.com/friendlyauberge2.html</t>
  </si>
  <si>
    <t xml:space="preserve">Gin Dalle</t>
  </si>
  <si>
    <t xml:space="preserve">Japonaise, Coréenne</t>
  </si>
  <si>
    <t xml:space="preserve">5 Allée de la Corrèze</t>
  </si>
  <si>
    <t xml:space="preserve">05 61 15 79 21</t>
  </si>
  <si>
    <t xml:space="preserve">http://www.gindalle.fr</t>
  </si>
  <si>
    <t xml:space="preserve">Indian Colors</t>
  </si>
  <si>
    <t xml:space="preserve">L'authentique</t>
  </si>
  <si>
    <t xml:space="preserve">05 61 26 85 57</t>
  </si>
  <si>
    <t xml:space="preserve">La Brasserie du Carré Vert</t>
  </si>
  <si>
    <t xml:space="preserve">05 61 84 52 04</t>
  </si>
  <si>
    <t xml:space="preserve">https://www.brasserie-du-carre-vert.fr/</t>
  </si>
  <si>
    <t xml:space="preserve">Mo 12:00-14:30;Tu-Sa 12:00-14:30, 19:30-22:00</t>
  </si>
  <si>
    <t xml:space="preserve">La Prolongation by Moustache</t>
  </si>
  <si>
    <t xml:space="preserve">Le Canard sur le Toit</t>
  </si>
  <si>
    <t xml:space="preserve">58 Chemin de la Salvetat</t>
  </si>
  <si>
    <t xml:space="preserve">05 61 30 37 83</t>
  </si>
  <si>
    <t xml:space="preserve">https://www.canardsurletoit.com/</t>
  </si>
  <si>
    <t xml:space="preserve">Mo-Sa 12:00-14:00,19:00-21:30; Su 12:00-14:00</t>
  </si>
  <si>
    <t xml:space="preserve">Le Florence</t>
  </si>
  <si>
    <t xml:space="preserve">Le Goût des Otres</t>
  </si>
  <si>
    <t xml:space="preserve">05 56 71 15 37</t>
  </si>
  <si>
    <t xml:space="preserve">Mo-Fr 12:00+; Th-Fr 19:00+</t>
  </si>
  <si>
    <t xml:space="preserve">Le Grand Gourmand</t>
  </si>
  <si>
    <t xml:space="preserve">Le Menthe à l'eau</t>
  </si>
  <si>
    <t xml:space="preserve">Place des Fêtes</t>
  </si>
  <si>
    <t xml:space="preserve">09 82 23 54 38</t>
  </si>
  <si>
    <t xml:space="preserve">Mo-Su 09:00-18:00</t>
  </si>
  <si>
    <t xml:space="preserve">Les Aviateurs</t>
  </si>
  <si>
    <t xml:space="preserve">12 Avenue Jean Monnet</t>
  </si>
  <si>
    <t xml:space="preserve">Les Oies Sauvages</t>
  </si>
  <si>
    <t xml:space="preserve">14 Allée de la Fontaine</t>
  </si>
  <si>
    <t xml:space="preserve">Les VI Nations</t>
  </si>
  <si>
    <t xml:space="preserve">Little Saigon</t>
  </si>
  <si>
    <t xml:space="preserve">09 52 72 29 90</t>
  </si>
  <si>
    <t xml:space="preserve">Maison Pellestor Veyrier</t>
  </si>
  <si>
    <t xml:space="preserve">05 61 15 55 55</t>
  </si>
  <si>
    <t xml:space="preserve">https://maisonpellestorveyrier.com/</t>
  </si>
  <si>
    <t xml:space="preserve">Tu-Sa 12:00-13:30, 19:30-21:00</t>
  </si>
  <si>
    <t xml:space="preserve">Merveilles d'Afrik</t>
  </si>
  <si>
    <t xml:space="preserve">06 44 84 14 15</t>
  </si>
  <si>
    <t xml:space="preserve">Minjat!</t>
  </si>
  <si>
    <t xml:space="preserve">2/4 Avenue André Marie Ampère</t>
  </si>
  <si>
    <t xml:space="preserve">05 82 08 30 73</t>
  </si>
  <si>
    <t xml:space="preserve">https://www.minjat.com</t>
  </si>
  <si>
    <t xml:space="preserve">O Sel Fou</t>
  </si>
  <si>
    <t xml:space="preserve">4 Rue Antoine Lavoisier</t>
  </si>
  <si>
    <t xml:space="preserve">05 34 52 60 97</t>
  </si>
  <si>
    <t xml:space="preserve">https://restaurantoselfou.fr/</t>
  </si>
  <si>
    <t xml:space="preserve">Mo-Tu 12:00-14:00; We-Fr 12:00-14:00,19:00-21:00; Sa 19:00-21:00</t>
  </si>
  <si>
    <t xml:space="preserve">Pizza Sud</t>
  </si>
  <si>
    <t xml:space="preserve">Prima Repubblica</t>
  </si>
  <si>
    <t xml:space="preserve">Pizza, Pâtes, Salades, Italienne</t>
  </si>
  <si>
    <t xml:space="preserve">6 Boulevard de l'Europe</t>
  </si>
  <si>
    <t xml:space="preserve">05 61 99 05 71</t>
  </si>
  <si>
    <t xml:space="preserve">https://repubblica.primafamily.fr/</t>
  </si>
  <si>
    <t xml:space="preserve">Mo-Th 12:00-14:30,19:00-22:30; Fr 12:00-14:30,19:00-23:00; Sa 12:00-15:00,19:00-23:00; Su 12:00-15:00,19:00-22:30</t>
  </si>
  <si>
    <t xml:space="preserve">Restaurant d'entreprise Airbus</t>
  </si>
  <si>
    <t xml:space="preserve">Restaurant Shimi</t>
  </si>
  <si>
    <t xml:space="preserve">2 Allée de Naurouze</t>
  </si>
  <si>
    <t xml:space="preserve">05 61 78 62 29</t>
  </si>
  <si>
    <t xml:space="preserve">Sushi Tokoro</t>
  </si>
  <si>
    <t xml:space="preserve">2 Allée d'Occitanie</t>
  </si>
  <si>
    <t xml:space="preserve">05 61 15 45 76</t>
  </si>
  <si>
    <t xml:space="preserve">http://sushitokoro.fr/</t>
  </si>
  <si>
    <t xml:space="preserve">Sushi Wok 31</t>
  </si>
  <si>
    <t xml:space="preserve">Japonaise, Sushi, Wok</t>
  </si>
  <si>
    <t xml:space="preserve">6 Passage de la Margeride</t>
  </si>
  <si>
    <t xml:space="preserve">Viva Mexico</t>
  </si>
  <si>
    <t xml:space="preserve">3 Allée de la Corrèze</t>
  </si>
  <si>
    <t xml:space="preserve">05 34 57 58 90</t>
  </si>
  <si>
    <t xml:space="preserve">https://www.vivamexico-colomiers.com</t>
  </si>
  <si>
    <t xml:space="preserve">Woke &amp; Sushis</t>
  </si>
  <si>
    <t xml:space="preserve">Asiatique, Sushi, Wok, Poké</t>
  </si>
  <si>
    <t xml:space="preserve">1 Place des Monts Doré</t>
  </si>
  <si>
    <t xml:space="preserve">YMCAfet'</t>
  </si>
  <si>
    <t xml:space="preserve">Mo-Fr 11:30-13:30; Sa-Su off</t>
  </si>
  <si>
    <t xml:space="preserve">Battambang</t>
  </si>
  <si>
    <t xml:space="preserve">Tournefeuille</t>
  </si>
  <si>
    <t xml:space="preserve">05 62 85 63 85</t>
  </si>
  <si>
    <t xml:space="preserve">Tu-Su 12:00-14:00,18:00-22:00</t>
  </si>
  <si>
    <t xml:space="preserve">Bistrot Marcel-André</t>
  </si>
  <si>
    <t xml:space="preserve">44 Rue Gaston Doumergue</t>
  </si>
  <si>
    <t xml:space="preserve">31170</t>
  </si>
  <si>
    <t xml:space="preserve">05 36 89 57 59</t>
  </si>
  <si>
    <t xml:space="preserve">https://www.bistrotmarcelandre.fr/</t>
  </si>
  <si>
    <t xml:space="preserve">Mo-Su 08:00-24:00</t>
  </si>
  <si>
    <t xml:space="preserve">Brut</t>
  </si>
  <si>
    <t xml:space="preserve">279 Chemin du Ramelet Moundi</t>
  </si>
  <si>
    <t xml:space="preserve">Cépage Gourmand</t>
  </si>
  <si>
    <t xml:space="preserve">4 Rue Hector Berlioz</t>
  </si>
  <si>
    <t xml:space="preserve">05 61 86 35 31</t>
  </si>
  <si>
    <t xml:space="preserve">https://www.cepagegourmand.fr</t>
  </si>
  <si>
    <t xml:space="preserve">Food'Korner 31</t>
  </si>
  <si>
    <t xml:space="preserve">Burger, Tacos</t>
  </si>
  <si>
    <t xml:space="preserve">Kitchen Bowl</t>
  </si>
  <si>
    <t xml:space="preserve">45 Boulevard Vincent Auriol</t>
  </si>
  <si>
    <t xml:space="preserve">L'esquisse</t>
  </si>
  <si>
    <t xml:space="preserve">117 Rue Gaston Doumergue</t>
  </si>
  <si>
    <t xml:space="preserve">05 61 78 39 28</t>
  </si>
  <si>
    <t xml:space="preserve">La Brasserie des Pins</t>
  </si>
  <si>
    <t xml:space="preserve">La Duchesse</t>
  </si>
  <si>
    <t xml:space="preserve">3 Boulevard Vincent Auriol</t>
  </si>
  <si>
    <t xml:space="preserve">https://lady-sushi.fr/restaurants/tournefeuille/</t>
  </si>
  <si>
    <t xml:space="preserve">Le Bistrot de l'Escale</t>
  </si>
  <si>
    <t xml:space="preserve">1 Place de la Mairie</t>
  </si>
  <si>
    <t xml:space="preserve">06 19 89 98 20</t>
  </si>
  <si>
    <t xml:space="preserve">https://bistrotdelescale.com/</t>
  </si>
  <si>
    <t xml:space="preserve">Tu-We 11:30-14:30; Th-Sa 11:30-14:30, 17:30-23:00; Su 08:00-15:00</t>
  </si>
  <si>
    <t xml:space="preserve">Le Bistrot de Théo</t>
  </si>
  <si>
    <t xml:space="preserve">Française, Pâtes</t>
  </si>
  <si>
    <t xml:space="preserve">29 Chemin Saint-Pierre</t>
  </si>
  <si>
    <t xml:space="preserve">05 34 52 95 69</t>
  </si>
  <si>
    <t xml:space="preserve">https://le-bistrot-2-theo-tournefeuille.eatbu.com/?lang=en</t>
  </si>
  <si>
    <t xml:space="preserve">Tu-Th 12:00-14:15; Fr,Sa 12:00-14:15,19:30-21:30</t>
  </si>
  <si>
    <t xml:space="preserve">Le Fumoir de Mimile</t>
  </si>
  <si>
    <t xml:space="preserve">83 Avenue du Marquisat</t>
  </si>
  <si>
    <t xml:space="preserve">Le Landreau</t>
  </si>
  <si>
    <t xml:space="preserve">Le Nem</t>
  </si>
  <si>
    <t xml:space="preserve">Chinoise, Cambodian, Vietnamienne, Thaïlandaise</t>
  </si>
  <si>
    <t xml:space="preserve">05 61 07 77 77</t>
  </si>
  <si>
    <t xml:space="preserve">https://restaurant-le-nem-tournefeuille.jimdofree.com</t>
  </si>
  <si>
    <t xml:space="preserve">Le Trèfle</t>
  </si>
  <si>
    <t xml:space="preserve">Moli</t>
  </si>
  <si>
    <t xml:space="preserve">Sushi, Chinoise, Japonaise</t>
  </si>
  <si>
    <t xml:space="preserve">05 34 36 04 71</t>
  </si>
  <si>
    <t xml:space="preserve">https://moli.eatbu.com/</t>
  </si>
  <si>
    <t xml:space="preserve">Tu-Sa 12:00-14:00,19:00-22:00;Su 19:00-22:00</t>
  </si>
  <si>
    <t xml:space="preserve">Mozza Fiato</t>
  </si>
  <si>
    <t xml:space="preserve">Pizza, Burger, Italienne, Pâtes, Ice cream</t>
  </si>
  <si>
    <t xml:space="preserve">1 Rue de la Paderne</t>
  </si>
  <si>
    <t xml:space="preserve">05 34 26 10 03</t>
  </si>
  <si>
    <t xml:space="preserve">https://mozzafiato-pizzerias.eatbu.com/?lang=fr</t>
  </si>
  <si>
    <t xml:space="preserve">Tu-Fr 12:00-14:00,19:00-21:30; Sa 19:00-21:30</t>
  </si>
  <si>
    <t xml:space="preserve">Mr Burger</t>
  </si>
  <si>
    <t xml:space="preserve">Pace Salute</t>
  </si>
  <si>
    <t xml:space="preserve">05 34 51 88 10</t>
  </si>
  <si>
    <t xml:space="preserve">https://www.pacesalute.com/</t>
  </si>
  <si>
    <t xml:space="preserve">Mo-Fr 12:00-14:00,19:00-22:00; Sa 19:00-22:00; Su 12:00-14:00,19:00-21:00</t>
  </si>
  <si>
    <t xml:space="preserve">Impasse Max Baylac</t>
  </si>
  <si>
    <t xml:space="preserve">05 62 48 91 04</t>
  </si>
  <si>
    <t xml:space="preserve">https://www.pizza-mongelli.com</t>
  </si>
  <si>
    <t xml:space="preserve">Tu-Sa 11:00-14:00,18:00-22:00</t>
  </si>
  <si>
    <t xml:space="preserve">Playoff</t>
  </si>
  <si>
    <t xml:space="preserve">Chemin du Prat</t>
  </si>
  <si>
    <t xml:space="preserve">05 62 48 86 82</t>
  </si>
  <si>
    <t xml:space="preserve">https://restaurant-playoff.fr/</t>
  </si>
  <si>
    <t xml:space="preserve">Mo-Su 12:00-15:00</t>
  </si>
  <si>
    <t xml:space="preserve">Se tchiao</t>
  </si>
  <si>
    <t xml:space="preserve">Asiatique, Chinoise, Thaïlandaise</t>
  </si>
  <si>
    <t xml:space="preserve">05 34 56 23 87</t>
  </si>
  <si>
    <t xml:space="preserve">https://www.tinospizza-tournefeuille.fr/</t>
  </si>
  <si>
    <t xml:space="preserve">Tonnerres de Brest</t>
  </si>
  <si>
    <t xml:space="preserve">Française, Régionale / terroir, Bretonne, Crêperie</t>
  </si>
  <si>
    <t xml:space="preserve">05 34 51 82 50</t>
  </si>
  <si>
    <t xml:space="preserve">https://tonnerresdebrest.fr</t>
  </si>
  <si>
    <t xml:space="preserve">Washoku sushi</t>
  </si>
  <si>
    <t xml:space="preserve">100 Rue Gaston Doumergue</t>
  </si>
  <si>
    <t xml:space="preserve">05 34 36 02 31</t>
  </si>
  <si>
    <t xml:space="preserve">https://www.washokutournefeuille.com/</t>
  </si>
  <si>
    <t xml:space="preserve">Tu-Th 11:30-13:30,16:00-21:30; Fr-Sa 11:30-14:00,16:00-22:00</t>
  </si>
  <si>
    <t xml:space="preserve">3 Brasseurs</t>
  </si>
  <si>
    <t xml:space="preserve">Burger, Pizza, Fruits de mer</t>
  </si>
  <si>
    <t xml:space="preserve">Blagnac</t>
  </si>
  <si>
    <t xml:space="preserve">05 61 06 07 99</t>
  </si>
  <si>
    <t xml:space="preserve">https://restaurants.3brasseurs.com/fr/s/brasseurs/Blagnac/902</t>
  </si>
  <si>
    <t xml:space="preserve">Su-Th 11:30-22:30; Fr-Sa 11:30-23:00</t>
  </si>
  <si>
    <t xml:space="preserve">AloeVega</t>
  </si>
  <si>
    <t xml:space="preserve">19 Rue Raymond Grimaud</t>
  </si>
  <si>
    <t xml:space="preserve">31700</t>
  </si>
  <si>
    <t xml:space="preserve">06 02 18 27 31</t>
  </si>
  <si>
    <t xml:space="preserve">https://aloevega.fr</t>
  </si>
  <si>
    <t xml:space="preserve">Au Bureau</t>
  </si>
  <si>
    <t xml:space="preserve">Coffee shop</t>
  </si>
  <si>
    <t xml:space="preserve">05 54 96 09 69</t>
  </si>
  <si>
    <t xml:space="preserve">https://www.aubureau.fr/restaurant-brasserie/au-bureau-blagnac</t>
  </si>
  <si>
    <t xml:space="preserve">Mo-Su 10:00-24:00</t>
  </si>
  <si>
    <t xml:space="preserve">Autan des Saveurs</t>
  </si>
  <si>
    <t xml:space="preserve">Beyti</t>
  </si>
  <si>
    <t xml:space="preserve">06 99 16 59 23</t>
  </si>
  <si>
    <t xml:space="preserve">https://beyti1.wordpress.com/</t>
  </si>
  <si>
    <t xml:space="preserve">Tu-Sa 12:00-14:30, 19:00-22:00</t>
  </si>
  <si>
    <t xml:space="preserve">Bistrot des Artistes</t>
  </si>
  <si>
    <t xml:space="preserve">05 61 50 75 69</t>
  </si>
  <si>
    <t xml:space="preserve">Bistrot du Grand Noble</t>
  </si>
  <si>
    <t xml:space="preserve">Black Angus</t>
  </si>
  <si>
    <t xml:space="preserve">Bodrum Grill</t>
  </si>
  <si>
    <t xml:space="preserve">Kebab</t>
  </si>
  <si>
    <t xml:space="preserve">12 Avenue d'Andromède</t>
  </si>
  <si>
    <t xml:space="preserve">05 34 28 97 06</t>
  </si>
  <si>
    <t xml:space="preserve">Brasserie des Caouecs</t>
  </si>
  <si>
    <t xml:space="preserve">Brunch&amp;Co</t>
  </si>
  <si>
    <t xml:space="preserve">Brunch</t>
  </si>
  <si>
    <t xml:space="preserve">82 Route de Grenade</t>
  </si>
  <si>
    <t xml:space="preserve">07 67 09 48 60</t>
  </si>
  <si>
    <t xml:space="preserve">https://brunchandco.eatbu.com</t>
  </si>
  <si>
    <t xml:space="preserve">Mo 11:00-17:00; Th-Fr 11:00-18:00; Sa-Su 10:00-18:00</t>
  </si>
  <si>
    <t xml:space="preserve">Caffe Galery</t>
  </si>
  <si>
    <t xml:space="preserve">Sandwicherie</t>
  </si>
  <si>
    <t xml:space="preserve">05 34 39 04 65</t>
  </si>
  <si>
    <t xml:space="preserve">Casa Picone</t>
  </si>
  <si>
    <t xml:space="preserve">CebEly</t>
  </si>
  <si>
    <t xml:space="preserve">Che Pasta Nonna</t>
  </si>
  <si>
    <t xml:space="preserve">18 Rue Pasteur</t>
  </si>
  <si>
    <t xml:space="preserve">Chez Jo &amp; Angie</t>
  </si>
  <si>
    <t xml:space="preserve">Chez Maaario</t>
  </si>
  <si>
    <t xml:space="preserve">Courtepaille</t>
  </si>
  <si>
    <t xml:space="preserve">05 34 55 04 44</t>
  </si>
  <si>
    <t xml:space="preserve">https://www.courtepaille.com/restaurant/courtepaille-toulouse-aeroport/</t>
  </si>
  <si>
    <t xml:space="preserve">Mo-Fr 19:00-22:30; Su 19:00-22:30</t>
  </si>
  <si>
    <t xml:space="preserve">Crêpe Touch</t>
  </si>
  <si>
    <t xml:space="preserve">https://restaurants.crepetouch.com/blagnac/</t>
  </si>
  <si>
    <t xml:space="preserve">Mo-Sa 11:00-12:00</t>
  </si>
  <si>
    <t xml:space="preserve">Côté Fleuve</t>
  </si>
  <si>
    <t xml:space="preserve">Doppio Malto</t>
  </si>
  <si>
    <t xml:space="preserve">06 65 98 36 15</t>
  </si>
  <si>
    <t xml:space="preserve">https://www.la-brigade.fr/resto-toulouse-blagnac</t>
  </si>
  <si>
    <t xml:space="preserve">Mo-Sa 11:45-23:00</t>
  </si>
  <si>
    <t xml:space="preserve">05 61 99 36 21</t>
  </si>
  <si>
    <t xml:space="preserve">https://www.hippopotamus.fr/nos-restaurants/hippopotamus-blagnac</t>
  </si>
  <si>
    <t xml:space="preserve">Mo-Th 11:30-14:30,18:30-22:00; Fr 11:30-14:30,18:30-22:30; Sa 11:30-22:30; Su 11:30-15:30,18:30-22:00</t>
  </si>
  <si>
    <t xml:space="preserve">Il Ristorante</t>
  </si>
  <si>
    <t xml:space="preserve">05 61 50 56 00</t>
  </si>
  <si>
    <t xml:space="preserve">https://www.ilristorante.fr/</t>
  </si>
  <si>
    <t xml:space="preserve">Mo-Su 11:30-23:30</t>
  </si>
  <si>
    <t xml:space="preserve">Jacques</t>
  </si>
  <si>
    <t xml:space="preserve">Coffee shop, Française</t>
  </si>
  <si>
    <t xml:space="preserve">9 Rue Gustave Flaubert</t>
  </si>
  <si>
    <t xml:space="preserve">05 61 59 03 44</t>
  </si>
  <si>
    <t xml:space="preserve">https://pub-jacques.fr/blagnac/</t>
  </si>
  <si>
    <t xml:space="preserve">Mo-Th 12:00-14:00,19:00-22:00; Fr,Sa 12:00-14:30,19:00-22:30; Su 12:00-14:30</t>
  </si>
  <si>
    <t xml:space="preserve">Jin Ji</t>
  </si>
  <si>
    <t xml:space="preserve">http://www.jinjiresto.com/</t>
  </si>
  <si>
    <t xml:space="preserve">Kompo</t>
  </si>
  <si>
    <t xml:space="preserve">Kumquat</t>
  </si>
  <si>
    <t xml:space="preserve">18 Rue Raymond Grimaud</t>
  </si>
  <si>
    <t xml:space="preserve">05 61 15 40 76</t>
  </si>
  <si>
    <t xml:space="preserve">https://www.kumquat-blagnac.fr/</t>
  </si>
  <si>
    <t xml:space="preserve">Mo-We 11:00-17:00; Th 11:00-14:00; Fr 11:00-17:00</t>
  </si>
  <si>
    <t xml:space="preserve">L'Agra</t>
  </si>
  <si>
    <t xml:space="preserve">52 Rue Carrière</t>
  </si>
  <si>
    <t xml:space="preserve">L'Olivade</t>
  </si>
  <si>
    <t xml:space="preserve">5 bis Avenue Léonard de Vinci</t>
  </si>
  <si>
    <t xml:space="preserve">05 61 71 40 00</t>
  </si>
  <si>
    <t xml:space="preserve">https://www.pizzeria-olivade.com/</t>
  </si>
  <si>
    <t xml:space="preserve">Mo-Th 12:00-14:00,19:00-22:15; Fr,Sa 12:00-14:00,19:00-22:45; Su off</t>
  </si>
  <si>
    <t xml:space="preserve">La Brigade</t>
  </si>
  <si>
    <t xml:space="preserve">Mo-Th, Su 11:30-22:00; Fr-Sa 11:30-23:00</t>
  </si>
  <si>
    <t xml:space="preserve">La Guinguette d'Odyssud</t>
  </si>
  <si>
    <t xml:space="preserve">Tu-Sa 17:00-23:00</t>
  </si>
  <si>
    <t xml:space="preserve">La Tosca</t>
  </si>
  <si>
    <t xml:space="preserve">16 Rue Raymond Grimaud</t>
  </si>
  <si>
    <t xml:space="preserve">05 61 78 46 43</t>
  </si>
  <si>
    <t xml:space="preserve">http://pizzalatosca.fr/</t>
  </si>
  <si>
    <t xml:space="preserve">La Vie en Rose</t>
  </si>
  <si>
    <t xml:space="preserve">Le Bistrophile</t>
  </si>
  <si>
    <t xml:space="preserve">05 61 48 45 68</t>
  </si>
  <si>
    <t xml:space="preserve">https://www.facebook.com/ignaetceline/</t>
  </si>
  <si>
    <t xml:space="preserve">Le Coin du Jasmin</t>
  </si>
  <si>
    <t xml:space="preserve">1 Rue Dominique Ingres</t>
  </si>
  <si>
    <t xml:space="preserve">Le Comptoir MiamThaï</t>
  </si>
  <si>
    <t xml:space="preserve">Mo-Fr 11:44-14:00</t>
  </si>
  <si>
    <t xml:space="preserve">Le Kü Ma</t>
  </si>
  <si>
    <t xml:space="preserve">Mo-Tu 10:30-14:00; We-Fr 10:30-14:00,18:00-22:00; Sa 18:00-22:00</t>
  </si>
  <si>
    <t xml:space="preserve">Le Moyà</t>
  </si>
  <si>
    <t xml:space="preserve">Place des Marronniers</t>
  </si>
  <si>
    <t xml:space="preserve">Le Relais d'Oc</t>
  </si>
  <si>
    <t xml:space="preserve">Le Restaurant Aéroscopia</t>
  </si>
  <si>
    <t xml:space="preserve">05 61 85 31 51</t>
  </si>
  <si>
    <t xml:space="preserve">https://www.aeroscopia.fr/restaurant</t>
  </si>
  <si>
    <t xml:space="preserve">Tu-Sa 11:45-14:00</t>
  </si>
  <si>
    <t xml:space="preserve">Le Ribouldingue</t>
  </si>
  <si>
    <t xml:space="preserve">1 Boulevard Firmin Pons</t>
  </si>
  <si>
    <t xml:space="preserve">05 61 71 96 95</t>
  </si>
  <si>
    <t xml:space="preserve">https://leribouldingue.fr/</t>
  </si>
  <si>
    <t xml:space="preserve">Mo-Sa 09:00-02:00</t>
  </si>
  <si>
    <t xml:space="preserve">Le Tchap</t>
  </si>
  <si>
    <t xml:space="preserve">https://letchap.fr/</t>
  </si>
  <si>
    <t xml:space="preserve">Les 3 Dynasties</t>
  </si>
  <si>
    <t xml:space="preserve">21 Avenue du Général Compans</t>
  </si>
  <si>
    <t xml:space="preserve">05 61 15 70 00</t>
  </si>
  <si>
    <t xml:space="preserve">https://www.les3dynasties.com/</t>
  </si>
  <si>
    <t xml:space="preserve">Mo off; Tu-Th 12:00-13:45,19:00-21:45; Fr-Sa 12:00-13:45,19:00-22:00; Su 12:00-14:00</t>
  </si>
  <si>
    <t xml:space="preserve">Les Temps Modernes</t>
  </si>
  <si>
    <t xml:space="preserve">5 Boulevard Firmin Pons</t>
  </si>
  <si>
    <t xml:space="preserve">05 61 71 46 00</t>
  </si>
  <si>
    <t xml:space="preserve">https://www.ltmodernes.fr/</t>
  </si>
  <si>
    <t xml:space="preserve">Mo-Sa 08:00-20:00, 18:00-23:00</t>
  </si>
  <si>
    <t xml:space="preserve">Léon De Bruxelles</t>
  </si>
  <si>
    <t xml:space="preserve">Fruits de mer, Friture</t>
  </si>
  <si>
    <t xml:space="preserve">2 Rue Raymond Grimaud</t>
  </si>
  <si>
    <t xml:space="preserve">05 61 42 31 04</t>
  </si>
  <si>
    <t xml:space="preserve">https://www.restaurantleon.fr/nos-restaurants/toulouse-blagnac</t>
  </si>
  <si>
    <t xml:space="preserve">Mo-Th 11:30-15:00,18:30-22:00; Fr 11:30-15:00,18:30-23:00; Sa 11:30-23:00; Su 11:30-22:00; PH 11:30-23:00</t>
  </si>
  <si>
    <t xml:space="preserve">Ma Cantine</t>
  </si>
  <si>
    <t xml:space="preserve">Maison D’Afrique</t>
  </si>
  <si>
    <t xml:space="preserve">2 Cheminement des Sophoras</t>
  </si>
  <si>
    <t xml:space="preserve">05 31 61 21 69</t>
  </si>
  <si>
    <t xml:space="preserve">https://maisondafrique-restaurant.fr</t>
  </si>
  <si>
    <t xml:space="preserve">Mo,We,Th 11:20-14:30,19:00-22:30; Tu 11:20-15:00,19:00-22:30; Fr 11:20-14:30,19:00-23:30; Sa 11:45-15:00,19:00-23:30; Su off</t>
  </si>
  <si>
    <t xml:space="preserve">05 36 25 95 42</t>
  </si>
  <si>
    <t xml:space="preserve">https://restaurants.memphis-restaurant.com/blagnac/</t>
  </si>
  <si>
    <t xml:space="preserve">Mo-Th 11:30-15:00,18:30-22:00; Fr 11:30-15:00,18:30-23:00; Sa 11:30-23:00; Su 11:30-15:00,18:30-22:00</t>
  </si>
  <si>
    <t xml:space="preserve">Mima</t>
  </si>
  <si>
    <t xml:space="preserve">https://twitter.com/restaurantmima?lang=fr</t>
  </si>
  <si>
    <t xml:space="preserve">Mongelli</t>
  </si>
  <si>
    <t xml:space="preserve">19 Boulevard Jean Rivet</t>
  </si>
  <si>
    <t xml:space="preserve">05 61 58 26 28</t>
  </si>
  <si>
    <t xml:space="preserve">https://www.pizza-mongelli.com/pizzeria/blagnac/</t>
  </si>
  <si>
    <t xml:space="preserve">Tu-Sa 11:30-14:00,18:30-22:00; Su 18:30-22:00</t>
  </si>
  <si>
    <t xml:space="preserve">Pacific Airport</t>
  </si>
  <si>
    <t xml:space="preserve">Japonaise, Vietnamienne</t>
  </si>
  <si>
    <t xml:space="preserve">2 Avenue Léonard de Vinci</t>
  </si>
  <si>
    <t xml:space="preserve">http://www.restaurant-pacific.fr/</t>
  </si>
  <si>
    <t xml:space="preserve">Papa Calvo</t>
  </si>
  <si>
    <t xml:space="preserve">05 61 59 49 63</t>
  </si>
  <si>
    <t xml:space="preserve">Mo-Fr 11:45-14:00, 17:00-23:00</t>
  </si>
  <si>
    <t xml:space="preserve">Paradis du fruit</t>
  </si>
  <si>
    <t xml:space="preserve">https://restaurants.leparadisdufruit.fr/toulouse-blagnac/</t>
  </si>
  <si>
    <t xml:space="preserve">Pizza Pierre</t>
  </si>
  <si>
    <t xml:space="preserve">25 Rue du Docteur Guimbaud</t>
  </si>
  <si>
    <t xml:space="preserve">05 62 74 14 14</t>
  </si>
  <si>
    <t xml:space="preserve">https://www.pizzapierre.fr/</t>
  </si>
  <si>
    <t xml:space="preserve">Mo,Su off; Tu-Sa 11:00-14:00,18:00-21:30</t>
  </si>
  <si>
    <t xml:space="preserve">R01</t>
  </si>
  <si>
    <t xml:space="preserve">R02</t>
  </si>
  <si>
    <t xml:space="preserve">R06</t>
  </si>
  <si>
    <t xml:space="preserve">Rajpoot</t>
  </si>
  <si>
    <t xml:space="preserve">37 Avenue du Parc</t>
  </si>
  <si>
    <t xml:space="preserve">05 34 39 21 15</t>
  </si>
  <si>
    <t xml:space="preserve">https://rajpoot-restaurant-blagnac.eatbu.com/</t>
  </si>
  <si>
    <t xml:space="preserve">Mo-Fr 12:00-14:00, 19:15-22:00; Sa 19:15-22:00</t>
  </si>
  <si>
    <t xml:space="preserve">Restaurant ATR</t>
  </si>
  <si>
    <t xml:space="preserve">Restaurant Bian</t>
  </si>
  <si>
    <t xml:space="preserve">05 61 48 88 88</t>
  </si>
  <si>
    <t xml:space="preserve">https://www.sushi-bian.fr/</t>
  </si>
  <si>
    <t xml:space="preserve">Ristorante Del Arte</t>
  </si>
  <si>
    <t xml:space="preserve">7 Rue Gustave Flaubert</t>
  </si>
  <si>
    <t xml:space="preserve">05 61 26 81 57</t>
  </si>
  <si>
    <t xml:space="preserve">https://www.delarte.fr/nos-restaurants/occitanie/haute-garonne/blagnac/pizzeria-toulouse-blagnac</t>
  </si>
  <si>
    <t xml:space="preserve">Sa 11:30-15:00,18:30-22:30; Su 11:30-14:30,18:30-22:30; Mo 11:30-14:30,18:30-22:30; Tu 11:30-14:30,18:30-22:30; We 11:30-14:30,18:30-22:30; Th 11:30-14:30,18:30-22:30; Fr 11:30-14:30,18:30-22:30</t>
  </si>
  <si>
    <t xml:space="preserve">Rusicade</t>
  </si>
  <si>
    <t xml:space="preserve">5 Rue Lavigne</t>
  </si>
  <si>
    <t xml:space="preserve">06 17 87 75 48</t>
  </si>
  <si>
    <t xml:space="preserve">Mo-Tu off; We-Su 11:00-15:00</t>
  </si>
  <si>
    <t xml:space="preserve">Sequoia</t>
  </si>
  <si>
    <t xml:space="preserve">Terminus Café</t>
  </si>
  <si>
    <t xml:space="preserve">Tichaya</t>
  </si>
  <si>
    <t xml:space="preserve">https://tichayabistrot-thai.eatbu.com/</t>
  </si>
  <si>
    <t xml:space="preserve">Tokami</t>
  </si>
  <si>
    <t xml:space="preserve">05 67 68 76 58</t>
  </si>
  <si>
    <t xml:space="preserve">https://tokami-blagnac.com/</t>
  </si>
  <si>
    <t xml:space="preserve">Mo-Sa 12:00-14:30,19:00-22:30; Su 19:00-22:30</t>
  </si>
  <si>
    <t xml:space="preserve">Washoku</t>
  </si>
  <si>
    <t xml:space="preserve">2 Boulevard Jean Rivet</t>
  </si>
  <si>
    <t xml:space="preserve">05 61 86 58 73</t>
  </si>
  <si>
    <t xml:space="preserve">https://www.washokusushi.net/</t>
  </si>
  <si>
    <t xml:space="preserve">Yammy Sushi</t>
  </si>
  <si>
    <t xml:space="preserve">Chinoise, Japonaise, Asiatique, Sushi</t>
  </si>
  <si>
    <t xml:space="preserve">05 61 07 42 35</t>
  </si>
  <si>
    <t xml:space="preserve">https://yammysushi.fr/</t>
  </si>
  <si>
    <t xml:space="preserve">Mo-Fr 11:00-14:00,18:30-22:30; Sa off; Su 18:30-22:30</t>
  </si>
  <si>
    <t xml:space="preserve">Arôme Thai</t>
  </si>
  <si>
    <t xml:space="preserve">Muret</t>
  </si>
  <si>
    <t xml:space="preserve">Mo-Th 12:00-14:30,19:00-22:00; Fr,Sa 12:00-14:30,19:00-22:30</t>
  </si>
  <si>
    <t xml:space="preserve">42 Avenue d'Europe</t>
  </si>
  <si>
    <t xml:space="preserve">05 61 51 34 98</t>
  </si>
  <si>
    <t xml:space="preserve">Brasserie République</t>
  </si>
  <si>
    <t xml:space="preserve">05 61 51 47 75</t>
  </si>
  <si>
    <t xml:space="preserve">https://www.facebook.com/pages/category/Restaurant/BRASSERIE-REPUBLIQUE-190223594388088/</t>
  </si>
  <si>
    <t xml:space="preserve">Mo-Th 08:00-23:00; Fr,Sa 08:00-02:00</t>
  </si>
  <si>
    <t xml:space="preserve">Casa Vostra</t>
  </si>
  <si>
    <t xml:space="preserve">05 67 06 47 33</t>
  </si>
  <si>
    <t xml:space="preserve">https://www.casa-vostra.fr/</t>
  </si>
  <si>
    <t xml:space="preserve">Chez Ella</t>
  </si>
  <si>
    <t xml:space="preserve">4 bis Boulevard de Joffrery</t>
  </si>
  <si>
    <t xml:space="preserve">Chez Moi</t>
  </si>
  <si>
    <t xml:space="preserve">5 Rue Mozart</t>
  </si>
  <si>
    <t xml:space="preserve">Chon-Wa</t>
  </si>
  <si>
    <t xml:space="preserve">Chinoise, Vietnamienne</t>
  </si>
  <si>
    <t xml:space="preserve">Cinecitta</t>
  </si>
  <si>
    <t xml:space="preserve">Comme à la ...</t>
  </si>
  <si>
    <t xml:space="preserve">30 Rue Clement Ader</t>
  </si>
  <si>
    <t xml:space="preserve">Fabric</t>
  </si>
  <si>
    <t xml:space="preserve">5 Quai Pierre Cornus</t>
  </si>
  <si>
    <t xml:space="preserve">06 87 96 60 64</t>
  </si>
  <si>
    <t xml:space="preserve">https://fabric-restaurant.fr</t>
  </si>
  <si>
    <t xml:space="preserve">Icki Sushi</t>
  </si>
  <si>
    <t xml:space="preserve">13 Allées Niel</t>
  </si>
  <si>
    <t xml:space="preserve">Tu-Fr 11:30-14:00,17:30-21:30; Sa,Su 17:30-21:30</t>
  </si>
  <si>
    <t xml:space="preserve">05 34 64 40 07</t>
  </si>
  <si>
    <t xml:space="preserve">https://icki-sushi-muret.ma-commande.fr/icki-sushi-muret/muret-centre/1327/0/12069/page.htm</t>
  </si>
  <si>
    <t xml:space="preserve">L'arc en ciel</t>
  </si>
  <si>
    <t xml:space="preserve">06 72 76 64 30</t>
  </si>
  <si>
    <t xml:space="preserve">https://www.larcencielmuret.com/</t>
  </si>
  <si>
    <t xml:space="preserve">Mo-Fr 09:00-16:00</t>
  </si>
  <si>
    <t xml:space="preserve">L'Opaline</t>
  </si>
  <si>
    <t xml:space="preserve">350 Route de Rieumes</t>
  </si>
  <si>
    <t xml:space="preserve">31600</t>
  </si>
  <si>
    <t xml:space="preserve">https://restaurant-opaline.fr/</t>
  </si>
  <si>
    <t xml:space="preserve">L'étoile berbère</t>
  </si>
  <si>
    <t xml:space="preserve">La Boucherie</t>
  </si>
  <si>
    <t xml:space="preserve">05 61 16 61 71</t>
  </si>
  <si>
    <t xml:space="preserve">https://www.la-boucherie.fr/</t>
  </si>
  <si>
    <t xml:space="preserve">05 62 86 08 07</t>
  </si>
  <si>
    <t xml:space="preserve">https://www.lagrange31.fr/</t>
  </si>
  <si>
    <t xml:space="preserve">Mo 12:00-14:00; Tu-Su 12:00-14:00,19:00-22:00; Fr,Sa 12:00-14:00,19:00-23:00</t>
  </si>
  <si>
    <t xml:space="preserve">La Rotisserie</t>
  </si>
  <si>
    <t xml:space="preserve">Le scénario</t>
  </si>
  <si>
    <t xml:space="preserve">49 Avenue d'Europe</t>
  </si>
  <si>
    <t xml:space="preserve">https://lescenario-muret.fr</t>
  </si>
  <si>
    <t xml:space="preserve">Le terminal</t>
  </si>
  <si>
    <t xml:space="preserve">45 Avenue d'Europe</t>
  </si>
  <si>
    <t xml:space="preserve">Les 2 Toqués</t>
  </si>
  <si>
    <t xml:space="preserve">Lusitano</t>
  </si>
  <si>
    <t xml:space="preserve">Mama Africa</t>
  </si>
  <si>
    <t xml:space="preserve">26 Place de la République</t>
  </si>
  <si>
    <t xml:space="preserve">Nagoya</t>
  </si>
  <si>
    <t xml:space="preserve">48 Rue de Marclan</t>
  </si>
  <si>
    <t xml:space="preserve">05 61 56 95 99</t>
  </si>
  <si>
    <t xml:space="preserve">https://www.restaurant-nagoya.fr/</t>
  </si>
  <si>
    <t xml:space="preserve">Ooyuki</t>
  </si>
  <si>
    <t xml:space="preserve">47 Avenue d'Europe</t>
  </si>
  <si>
    <t xml:space="preserve">Pizza Bastiano</t>
  </si>
  <si>
    <t xml:space="preserve">05 61 44 83 57</t>
  </si>
  <si>
    <t xml:space="preserve">Pizzarello</t>
  </si>
  <si>
    <t xml:space="preserve">05 61 51 05 03</t>
  </si>
  <si>
    <t xml:space="preserve">https://pizzarello.fr/</t>
  </si>
  <si>
    <t xml:space="preserve">Mo-Fr 11:00-13:30,18:00-21:30; We,Sa,Su 18:00-21:30</t>
  </si>
  <si>
    <t xml:space="preserve">Salvadora</t>
  </si>
  <si>
    <t xml:space="preserve">14 Allées Niel</t>
  </si>
  <si>
    <t xml:space="preserve">05 62 20 54 35</t>
  </si>
  <si>
    <t xml:space="preserve">https://www.pizza-salvadora-muret.fr</t>
  </si>
  <si>
    <t xml:space="preserve">Simplement Bon</t>
  </si>
  <si>
    <t xml:space="preserve">26 Avenue des Pyrénées</t>
  </si>
  <si>
    <t xml:space="preserve">Wa-Sing</t>
  </si>
  <si>
    <t xml:space="preserve">Ô Panda</t>
  </si>
  <si>
    <t xml:space="preserve">41 Boulevard de Joffrery</t>
  </si>
  <si>
    <t xml:space="preserve">Ô Point Virjule</t>
  </si>
  <si>
    <t xml:space="preserve">32 Avenue Pierre Ii d'Aragon</t>
  </si>
  <si>
    <t xml:space="preserve">Ô St Christophe</t>
  </si>
  <si>
    <t xml:space="preserve">http://www.osaintchristophe.fr/</t>
  </si>
  <si>
    <t xml:space="preserve">Mo-We 11:30-15:00; Th-Sa 11:30-15:00,19:30-22:30; Su off</t>
  </si>
  <si>
    <t xml:space="preserve">Antalya Kebab</t>
  </si>
  <si>
    <t xml:space="preserve">Chemin du Tucaut</t>
  </si>
  <si>
    <t xml:space="preserve">Cugnaux</t>
  </si>
  <si>
    <t xml:space="preserve">05 61 86 45 23</t>
  </si>
  <si>
    <t xml:space="preserve">Ciel à Table</t>
  </si>
  <si>
    <t xml:space="preserve">https://www.ciel-a-table.fr/fr/</t>
  </si>
  <si>
    <t xml:space="preserve">Kabuki Sushi</t>
  </si>
  <si>
    <t xml:space="preserve">Mo-Sa 12:00-14:00,19:00-22:00; PH off</t>
  </si>
  <si>
    <t xml:space="preserve">Kebab Keeb Naan</t>
  </si>
  <si>
    <t xml:space="preserve">Kirthi</t>
  </si>
  <si>
    <t xml:space="preserve">L'As 2 Pizz</t>
  </si>
  <si>
    <t xml:space="preserve">05 34 57 17 29</t>
  </si>
  <si>
    <t xml:space="preserve">https://www.las2pizz.fr/</t>
  </si>
  <si>
    <t xml:space="preserve">L'escale</t>
  </si>
  <si>
    <t xml:space="preserve">06 95 01 37 97</t>
  </si>
  <si>
    <t xml:space="preserve">https://lescale-cugnaux.eatbu.com/</t>
  </si>
  <si>
    <t xml:space="preserve">Tu-Sa 12:00-14:00, 19:30-22:00</t>
  </si>
  <si>
    <t xml:space="preserve">L'euro orientale</t>
  </si>
  <si>
    <t xml:space="preserve">1 Impasse des Fleurs</t>
  </si>
  <si>
    <t xml:space="preserve">31270</t>
  </si>
  <si>
    <t xml:space="preserve">La Petit Napolitain</t>
  </si>
  <si>
    <t xml:space="preserve">La Pizzou</t>
  </si>
  <si>
    <t xml:space="preserve">05 32 02 55 56</t>
  </si>
  <si>
    <t xml:space="preserve">Mo-Sa 11:00-13:00,17:00-21:00; Su 17:00-21:00</t>
  </si>
  <si>
    <t xml:space="preserve">Le Bambou</t>
  </si>
  <si>
    <t xml:space="preserve">Le Billot de Lucien</t>
  </si>
  <si>
    <t xml:space="preserve">Barbecue, Pizza, Grill / viandes</t>
  </si>
  <si>
    <t xml:space="preserve">1 Rue Henry Gladi</t>
  </si>
  <si>
    <t xml:space="preserve">05 32 74 87 28</t>
  </si>
  <si>
    <t xml:space="preserve">https://www.restaurantlebillot.fr/restaurant-cugnaux</t>
  </si>
  <si>
    <t xml:space="preserve">Le Clos de Nath</t>
  </si>
  <si>
    <t xml:space="preserve">Le Soleil Bleu</t>
  </si>
  <si>
    <t xml:space="preserve">05 61 92 18 07</t>
  </si>
  <si>
    <t xml:space="preserve">Le vénitien</t>
  </si>
  <si>
    <t xml:space="preserve">Italienne, Française, Saladerie</t>
  </si>
  <si>
    <t xml:space="preserve">3 Avenue Georges Pompidou</t>
  </si>
  <si>
    <t xml:space="preserve">05 61 92 86 66</t>
  </si>
  <si>
    <t xml:space="preserve">https://levenitien-cugnaux.eatbu.com</t>
  </si>
  <si>
    <t xml:space="preserve">Tu 12:00-15:15,18:00-22:45; We-Th 10:00-15:15,18:00-22:45; Fr 10:00-15:15,18:00-23:15; Sa 18:00-23:15</t>
  </si>
  <si>
    <t xml:space="preserve">Les Cabochards</t>
  </si>
  <si>
    <t xml:space="preserve">7 Rue Aristide Berges</t>
  </si>
  <si>
    <t xml:space="preserve">Mo-We 08:00-14:00; Th-Fr 08:00-14:00,18:00-23:00; Sa 18:00-23:00</t>
  </si>
  <si>
    <t xml:space="preserve">Les Délices du Liban</t>
  </si>
  <si>
    <t xml:space="preserve">Les Délices du Vietnam</t>
  </si>
  <si>
    <t xml:space="preserve">05 61 92 03 00</t>
  </si>
  <si>
    <t xml:space="preserve">Mo-Sa 11:00-14:00,17:30-21:30</t>
  </si>
  <si>
    <t xml:space="preserve">Les Epicuriennes</t>
  </si>
  <si>
    <t xml:space="preserve">Matcha Moka</t>
  </si>
  <si>
    <t xml:space="preserve">Mr Do kebab pizza</t>
  </si>
  <si>
    <t xml:space="preserve">https://www.instagram.com/mrdokebab</t>
  </si>
  <si>
    <t xml:space="preserve">Pho Saïgon</t>
  </si>
  <si>
    <t xml:space="preserve">Piazzetta</t>
  </si>
  <si>
    <t xml:space="preserve">Restaurant Vietnam</t>
  </si>
  <si>
    <t xml:space="preserve">Tu-Sa 11:00-13:30,18:00-21:30; Su,Mo 18:00-21:30</t>
  </si>
  <si>
    <t xml:space="preserve">Sakora</t>
  </si>
  <si>
    <t xml:space="preserve">Saveurs des grands enfants</t>
  </si>
  <si>
    <t xml:space="preserve">"Lieu ouvert toute la journée mais ne sert pas de repas en permanence"</t>
  </si>
  <si>
    <t xml:space="preserve">Tasty One Pizza</t>
  </si>
  <si>
    <t xml:space="preserve">Terra Mia</t>
  </si>
  <si>
    <t xml:space="preserve">Italienne, Pizza, Salon de thé</t>
  </si>
  <si>
    <t xml:space="preserve">06 77 50 19 88</t>
  </si>
  <si>
    <t xml:space="preserve">Mo,Su off</t>
  </si>
  <si>
    <t xml:space="preserve">Tribal</t>
  </si>
  <si>
    <t xml:space="preserve">Ô Radis</t>
  </si>
  <si>
    <t xml:space="preserve">Aux mille saveurs</t>
  </si>
  <si>
    <t xml:space="preserve">Plaisance-du-Touch</t>
  </si>
  <si>
    <t xml:space="preserve">Bakou Grillades</t>
  </si>
  <si>
    <t xml:space="preserve">Georgian</t>
  </si>
  <si>
    <t xml:space="preserve">31830</t>
  </si>
  <si>
    <t xml:space="preserve">Carrément Pizza</t>
  </si>
  <si>
    <t xml:space="preserve">Il Gusto</t>
  </si>
  <si>
    <t xml:space="preserve">8 Avenue Montaigne</t>
  </si>
  <si>
    <t xml:space="preserve">Tu 18:30-22:00; We,Th 11:30-14:00,18:30-22:00; Fr-Su 11:30-14:00,18:30-22:30</t>
  </si>
  <si>
    <t xml:space="preserve">Joya</t>
  </si>
  <si>
    <t xml:space="preserve">Bio</t>
  </si>
  <si>
    <t xml:space="preserve">https://joyatoulouse.fr/</t>
  </si>
  <si>
    <t xml:space="preserve">La Baraque</t>
  </si>
  <si>
    <t xml:space="preserve">La Côte et l'Arête</t>
  </si>
  <si>
    <t xml:space="preserve">9 Rue Pierre Loti</t>
  </si>
  <si>
    <t xml:space="preserve">05 61 06 44 44</t>
  </si>
  <si>
    <t xml:space="preserve">https://www.lacoteetlarete.fr/</t>
  </si>
  <si>
    <t xml:space="preserve">La Toscane</t>
  </si>
  <si>
    <t xml:space="preserve">Le Bistrot du Pecheur</t>
  </si>
  <si>
    <t xml:space="preserve">3 Impasse Louis Vicat</t>
  </si>
  <si>
    <t xml:space="preserve">Le Plaisancier</t>
  </si>
  <si>
    <t xml:space="preserve">Le Théatro</t>
  </si>
  <si>
    <t xml:space="preserve">Les Brunchs de Mademoiselle Soline</t>
  </si>
  <si>
    <t xml:space="preserve">Brunch, Petit-déjeuner, Lunch</t>
  </si>
  <si>
    <t xml:space="preserve">https://www.mademoiselle-soline.fr/</t>
  </si>
  <si>
    <t xml:space="preserve">We-Fr 09:00-18:00, Sa-Su 10:30-18:00</t>
  </si>
  <si>
    <t xml:space="preserve">Mosto Buffet</t>
  </si>
  <si>
    <t xml:space="preserve">Buffet</t>
  </si>
  <si>
    <t xml:space="preserve">Moya</t>
  </si>
  <si>
    <t xml:space="preserve">https://moya31830.fr</t>
  </si>
  <si>
    <t xml:space="preserve">Mo off; Tu-Th,Su 12:00-14:30,19:00-22:30; Fr-Sa 12:00-14:30,19:00-23:00</t>
  </si>
  <si>
    <t xml:space="preserve">Nippon Teien</t>
  </si>
  <si>
    <t xml:space="preserve">Pizza du Touch</t>
  </si>
  <si>
    <t xml:space="preserve">Pizza Yellow</t>
  </si>
  <si>
    <t xml:space="preserve">Riz d'Or</t>
  </si>
  <si>
    <t xml:space="preserve">Amafolia</t>
  </si>
  <si>
    <t xml:space="preserve">Balma</t>
  </si>
  <si>
    <t xml:space="preserve">05 34 25 86 72</t>
  </si>
  <si>
    <t xml:space="preserve">https://www.amafolia.fr/</t>
  </si>
  <si>
    <t xml:space="preserve">Brasserie de Nathan</t>
  </si>
  <si>
    <t xml:space="preserve">Chez Ay Linh</t>
  </si>
  <si>
    <t xml:space="preserve">FlonFlon</t>
  </si>
  <si>
    <t xml:space="preserve">https://www.restaurantflonflon.com/</t>
  </si>
  <si>
    <t xml:space="preserve">Tu-Fr 19:00-24:00;Sa-Su 11:00-15:00,19:00-24:00</t>
  </si>
  <si>
    <t xml:space="preserve">Holocene</t>
  </si>
  <si>
    <t xml:space="preserve">05 34 43 25 48</t>
  </si>
  <si>
    <t xml:space="preserve">https://www.holocene-restaurant.fr/restaurant-balma</t>
  </si>
  <si>
    <t xml:space="preserve">05 62 75 14 55</t>
  </si>
  <si>
    <t xml:space="preserve">https://pub-jacques.fr/</t>
  </si>
  <si>
    <t xml:space="preserve">Mo-Sa 12:00-14:00, 19:00-22:00; Su 12:00-14:30</t>
  </si>
  <si>
    <t xml:space="preserve">L'Envol</t>
  </si>
  <si>
    <t xml:space="preserve">La chope balmanaise</t>
  </si>
  <si>
    <t xml:space="preserve">La Villa Da Vinci</t>
  </si>
  <si>
    <t xml:space="preserve">05 61 83 55 47</t>
  </si>
  <si>
    <t xml:space="preserve">https://villadavinci.fr/</t>
  </si>
  <si>
    <t xml:space="preserve">Ladysushi</t>
  </si>
  <si>
    <t xml:space="preserve">Mo-Sa 11:00-22:00; Su 18:00-22:00</t>
  </si>
  <si>
    <t xml:space="preserve">Le Carroussel</t>
  </si>
  <si>
    <t xml:space="preserve">05 34 65 99 69</t>
  </si>
  <si>
    <t xml:space="preserve">https://www.lecarrousel-balma.fr/</t>
  </si>
  <si>
    <t xml:space="preserve">Mo-Tu 12:00-14:00; We-Sa 12:00-14:00,19:30-22:00</t>
  </si>
  <si>
    <t xml:space="preserve">Le Chalet des Moissons</t>
  </si>
  <si>
    <t xml:space="preserve">Les Feuillantines</t>
  </si>
  <si>
    <t xml:space="preserve">05 61 58 44 40</t>
  </si>
  <si>
    <t xml:space="preserve">https://www.lesfeuillantines.fr/</t>
  </si>
  <si>
    <t xml:space="preserve">L’Équilibre</t>
  </si>
  <si>
    <t xml:space="preserve">05 61 45 70 43</t>
  </si>
  <si>
    <t xml:space="preserve">https://www.www.restaurant-lequilibre.fr/</t>
  </si>
  <si>
    <t xml:space="preserve">Tu-Fr 12:00-14:00, 20:00-22:00</t>
  </si>
  <si>
    <t xml:space="preserve">05 61 24 02 42</t>
  </si>
  <si>
    <t xml:space="preserve">https://www.pizza-mongelli.com/pizzeria/balma/</t>
  </si>
  <si>
    <t xml:space="preserve">Tu-Su 10:30-13:30,17:30-21:30</t>
  </si>
  <si>
    <t xml:space="preserve">Pickles Salad Bar</t>
  </si>
  <si>
    <t xml:space="preserve">Pizza Paradoux</t>
  </si>
  <si>
    <t xml:space="preserve">Pizza, Kebab</t>
  </si>
  <si>
    <t xml:space="preserve">Pizzeria Bonici</t>
  </si>
  <si>
    <t xml:space="preserve">05 61 24 63 99</t>
  </si>
  <si>
    <t xml:space="preserve">https://www.pizzabonici.com/</t>
  </si>
  <si>
    <t xml:space="preserve">Mo-Sa 10:00-14:00, 18:00-22:00; Su 18:00-22:00</t>
  </si>
  <si>
    <t xml:space="preserve">Pizzeria Bufalino</t>
  </si>
  <si>
    <t xml:space="preserve">05 61 20 05 05</t>
  </si>
  <si>
    <t xml:space="preserve">https://bufalinobalma.eatbu.com</t>
  </si>
  <si>
    <t xml:space="preserve">Mo-Fr 11:45-14:00; Tu-Sa 18:30-22:00</t>
  </si>
  <si>
    <t xml:space="preserve">RIE Heliopole Gramont</t>
  </si>
  <si>
    <t xml:space="preserve">Spok</t>
  </si>
  <si>
    <t xml:space="preserve">Apulian</t>
  </si>
  <si>
    <t xml:space="preserve">Ramonville-Saint-Agne</t>
  </si>
  <si>
    <t xml:space="preserve">05 61 73 58 21</t>
  </si>
  <si>
    <t xml:space="preserve">https://apulian.fr</t>
  </si>
  <si>
    <t xml:space="preserve">Mo-Th 18:30-22:00; Fr-Sa 12:00-13:30,18:30-22:00; Su off</t>
  </si>
  <si>
    <t xml:space="preserve">Aspendos</t>
  </si>
  <si>
    <t xml:space="preserve">Grecque, Turque, Kebab</t>
  </si>
  <si>
    <t xml:space="preserve">Mo-Fr 11:00-14:30,18:00-22:00; Sa 11:00-22:00</t>
  </si>
  <si>
    <t xml:space="preserve">Buffalo Grill</t>
  </si>
  <si>
    <t xml:space="preserve">05 61 75 05 55</t>
  </si>
  <si>
    <t xml:space="preserve">https://www.buffalo-grill.fr/nos-restaurants/toulouse-ramonville-saint-agne</t>
  </si>
  <si>
    <t xml:space="preserve">Mo-Th 11:30-15:00,18:00-22:00; Fr 11:30-15:00,18:00-22:30; Sa 11:30-22:30; Su 11:30-22:00</t>
  </si>
  <si>
    <t xml:space="preserve">Cantine</t>
  </si>
  <si>
    <t xml:space="preserve">Cap Land</t>
  </si>
  <si>
    <t xml:space="preserve">14 Place Marnac</t>
  </si>
  <si>
    <t xml:space="preserve">31520</t>
  </si>
  <si>
    <t xml:space="preserve">https://restaurant-capland.fr</t>
  </si>
  <si>
    <t xml:space="preserve">Mo-Su, Th 10:00-22:00</t>
  </si>
  <si>
    <t xml:space="preserve">Chez David</t>
  </si>
  <si>
    <t xml:space="preserve">https://www.chez-david-ramonville.fr/</t>
  </si>
  <si>
    <t xml:space="preserve">Tu,Sa 12:00-14:00; We-Fr 12:00-14:00,19:30-21:30</t>
  </si>
  <si>
    <t xml:space="preserve">La Table de Laurent</t>
  </si>
  <si>
    <t xml:space="preserve">05 61 73 61 62</t>
  </si>
  <si>
    <t xml:space="preserve">https://latabledelaurent.com/</t>
  </si>
  <si>
    <t xml:space="preserve">Tu-Sa 12:00-14:00,19:00-21:30</t>
  </si>
  <si>
    <t xml:space="preserve">Le 103</t>
  </si>
  <si>
    <t xml:space="preserve">103 Avenue Tolosane</t>
  </si>
  <si>
    <t xml:space="preserve">05 82 74 90 50</t>
  </si>
  <si>
    <t xml:space="preserve">https://le103.eatbu.com/</t>
  </si>
  <si>
    <t xml:space="preserve">Tu-Fr 09:00-24:00, Sa 10:00-02:00</t>
  </si>
  <si>
    <t xml:space="preserve">Le Bikini</t>
  </si>
  <si>
    <t xml:space="preserve">Rue Théodore Monod</t>
  </si>
  <si>
    <t xml:space="preserve">05 62 24 09 50</t>
  </si>
  <si>
    <t xml:space="preserve">http://www.lebikini.com/</t>
  </si>
  <si>
    <t xml:space="preserve">Mo,Su off; Tu 18:30-24:00; We-Th 18:00-24:00; Fr-Sa 18:00-05:30</t>
  </si>
  <si>
    <t xml:space="preserve">Le M</t>
  </si>
  <si>
    <t xml:space="preserve">05 61 14 15 00</t>
  </si>
  <si>
    <t xml:space="preserve">http://www.ledomainedemontjoie.com/restaurant/</t>
  </si>
  <si>
    <t xml:space="preserve">Mo-Fr 12:00-13:30,19:30-21:30;Sa-Su off</t>
  </si>
  <si>
    <t xml:space="preserve">Les Marins d'eau douce</t>
  </si>
  <si>
    <t xml:space="preserve">Mo-Fr 10:00-15:00, We-Fr 17:30-23:00</t>
  </si>
  <si>
    <t xml:space="preserve">Pizza Calia</t>
  </si>
  <si>
    <t xml:space="preserve">Pizza Coco Rocco</t>
  </si>
  <si>
    <t xml:space="preserve">1 Avenue du 8 Mai 1945</t>
  </si>
  <si>
    <t xml:space="preserve">05 62 17 60 30</t>
  </si>
  <si>
    <t xml:space="preserve">https://pizzanicoramonville.fr</t>
  </si>
  <si>
    <t xml:space="preserve">Tu-Su 18:00-22:00</t>
  </si>
  <si>
    <t xml:space="preserve">76 Avenue Tolosane</t>
  </si>
  <si>
    <t xml:space="preserve">05 61 55 01 98</t>
  </si>
  <si>
    <t xml:space="preserve">https://www.pizza-mongelli.com/reservation-mongelli-ramonville/</t>
  </si>
  <si>
    <t xml:space="preserve">Tu-Sa 10:30-13:30,18:30-21:30</t>
  </si>
  <si>
    <t xml:space="preserve">Pizzeria Di Parma</t>
  </si>
  <si>
    <t xml:space="preserve">Presto'Grill</t>
  </si>
  <si>
    <t xml:space="preserve">Sushi et Matcha</t>
  </si>
  <si>
    <t xml:space="preserve">Trattoria Modigliani</t>
  </si>
  <si>
    <t xml:space="preserve">Place Marnac</t>
  </si>
  <si>
    <t xml:space="preserve">We,Fr,Sa 12:00-14:00,19:00-22:00; Tu,Th 12:00-14:00</t>
  </si>
  <si>
    <t xml:space="preserve">Étape d'Asie</t>
  </si>
  <si>
    <t xml:space="preserve">24 Place Marnac</t>
  </si>
  <si>
    <t xml:space="preserve">http://etape-d-asie.fr/</t>
  </si>
  <si>
    <t xml:space="preserve">Mo-Tu,Th-Fr 12:00-13:30,19:00-21:30; We 12:00-13:30; Sa 19:00-21:30; Su off</t>
  </si>
  <si>
    <t xml:space="preserve">Ala Taverna della Pizza</t>
  </si>
  <si>
    <t xml:space="preserve">2 Place Gaspard de Fieubet</t>
  </si>
  <si>
    <t xml:space="preserve">31320</t>
  </si>
  <si>
    <t xml:space="preserve">Castanet-Tolosan</t>
  </si>
  <si>
    <t xml:space="preserve">05 62 71 29 50</t>
  </si>
  <si>
    <t xml:space="preserve">Tu,We,Fr-Su 10:00-14:00,18:30-22:00; Mo 18:30-22:00</t>
  </si>
  <si>
    <t xml:space="preserve">Aux Goût d'Ailleurs</t>
  </si>
  <si>
    <t xml:space="preserve">4 Place Gaspard de Fieubet</t>
  </si>
  <si>
    <t xml:space="preserve">05 61 46 53 37</t>
  </si>
  <si>
    <t xml:space="preserve">https://auxgoutsdailleurs.com/</t>
  </si>
  <si>
    <t xml:space="preserve">Mo-Th 12:00-13:30; Fr 12:00-13:00,19:30-21:00; Sa 19:30-21:00</t>
  </si>
  <si>
    <t xml:space="preserve">Burgers &amp; Terroir</t>
  </si>
  <si>
    <t xml:space="preserve">05 62 52 08 09</t>
  </si>
  <si>
    <t xml:space="preserve">https://www.burgersetterroir.fr/</t>
  </si>
  <si>
    <t xml:space="preserve">Candelù</t>
  </si>
  <si>
    <t xml:space="preserve">05 61 73 60 61</t>
  </si>
  <si>
    <t xml:space="preserve">http://candelu-pizza.fr/</t>
  </si>
  <si>
    <t xml:space="preserve">Tu-Th,Sa 10:00-14:00,17:30-21:00; Fr 10:00-14:00,17:30-21:30</t>
  </si>
  <si>
    <t xml:space="preserve">Cuisine Ouverte au Monde</t>
  </si>
  <si>
    <t xml:space="preserve">L'Antidote Remède Local</t>
  </si>
  <si>
    <t xml:space="preserve">1 Avenue de Toulouse</t>
  </si>
  <si>
    <t xml:space="preserve">05 34 43 01 44</t>
  </si>
  <si>
    <t xml:space="preserve">https://m.facebook.com/lantidoteRL/</t>
  </si>
  <si>
    <t xml:space="preserve">Tu-Sa 12:00-13:30; We-Fr 19:00-23:00</t>
  </si>
  <si>
    <t xml:space="preserve">L'Assiette Voyageuse 31</t>
  </si>
  <si>
    <t xml:space="preserve">07 65 63 31 60</t>
  </si>
  <si>
    <t xml:space="preserve">https://www.lassiettevoyageuse31.fr/</t>
  </si>
  <si>
    <t xml:space="preserve">Tu-Fr 12:00-14:00, 19:00-21:00; Sa 19:00-21:00</t>
  </si>
  <si>
    <t xml:space="preserve">L'Indochine</t>
  </si>
  <si>
    <t xml:space="preserve">18 Avenue du Lauragais</t>
  </si>
  <si>
    <t xml:space="preserve">05 61 24 36 21</t>
  </si>
  <si>
    <t xml:space="preserve">https://www.indochinecastanet.fr/</t>
  </si>
  <si>
    <t xml:space="preserve">Mo 12:00-14:00; Tu-Sa 12:00-14:00,19:00-22:30</t>
  </si>
  <si>
    <t xml:space="preserve">L'Orchidée-Vie</t>
  </si>
  <si>
    <t xml:space="preserve">L'Écluse de Castanet</t>
  </si>
  <si>
    <t xml:space="preserve">La Table des Merville</t>
  </si>
  <si>
    <t xml:space="preserve">2 Rue François Espitalier</t>
  </si>
  <si>
    <t xml:space="preserve">Le B Restaurant</t>
  </si>
  <si>
    <t xml:space="preserve">May-Sep Mo-Fr 12:00-14:00, May-Sep Tu-Fr 19:00-22:00</t>
  </si>
  <si>
    <t xml:space="preserve">Le Jardin de Lana</t>
  </si>
  <si>
    <t xml:space="preserve">05 61 20 34 21</t>
  </si>
  <si>
    <t xml:space="preserve">https://lejardindelana.fr/</t>
  </si>
  <si>
    <t xml:space="preserve">Mo-Sa 10:00-15:00,18:00-23:00; Su 10:00-15:00</t>
  </si>
  <si>
    <t xml:space="preserve">Pokoshi</t>
  </si>
  <si>
    <t xml:space="preserve">16 Place Richard</t>
  </si>
  <si>
    <t xml:space="preserve">09 87 78 62 32</t>
  </si>
  <si>
    <t xml:space="preserve">https://pokoshi.fr</t>
  </si>
  <si>
    <t xml:space="preserve">Mo-Fr 11:30-14:00, 18:00-21:30; Sa 18:00-21:30</t>
  </si>
  <si>
    <t xml:space="preserve">Stéphie &amp; Roméo</t>
  </si>
  <si>
    <t xml:space="preserve">05 61 73 84 02</t>
  </si>
  <si>
    <t xml:space="preserve">https://www.stephie-romeo.fr</t>
  </si>
  <si>
    <t xml:space="preserve">Tu-Sa 12:00-14:00,19:00-20:45; Th 12:00-14:00</t>
  </si>
  <si>
    <t xml:space="preserve">Tradition Pizza</t>
  </si>
  <si>
    <t xml:space="preserve">10 Avenue du Lauragais</t>
  </si>
  <si>
    <t xml:space="preserve">05 61 27 22 55</t>
  </si>
  <si>
    <t xml:space="preserve">https://traditionpizza.fr/</t>
  </si>
  <si>
    <t xml:space="preserve">Tu-Sa 11:00-14:00, 18:00-21:30</t>
  </si>
  <si>
    <t xml:space="preserve">Crêpéat</t>
  </si>
  <si>
    <t xml:space="preserve">Saint-Orens-de-Gameville</t>
  </si>
  <si>
    <t xml:space="preserve">Domaine du Bousquet</t>
  </si>
  <si>
    <t xml:space="preserve">05 61 39 01 60</t>
  </si>
  <si>
    <t xml:space="preserve">Jap'n wok</t>
  </si>
  <si>
    <t xml:space="preserve">05 62 73 96 92</t>
  </si>
  <si>
    <t xml:space="preserve">Tu-Sa 11:30-14:30,18:00-22:00; Su 18:00-22:00</t>
  </si>
  <si>
    <t xml:space="preserve">La Pitcholina</t>
  </si>
  <si>
    <t xml:space="preserve">https://www.pitcholina.fr</t>
  </si>
  <si>
    <t xml:space="preserve">Mo-Th 12:00-14:00; Fr,Sa 12:00-14:00,19:00-21:00</t>
  </si>
  <si>
    <t xml:space="preserve">Le Bistro Régent</t>
  </si>
  <si>
    <t xml:space="preserve">05 61 22 00 78</t>
  </si>
  <si>
    <t xml:space="preserve">https://bistro-regent.fr/</t>
  </si>
  <si>
    <t xml:space="preserve">Mo-Th,Su 11:45-14:30,18:45-22:00; Fr-Sa 11:45-22:30</t>
  </si>
  <si>
    <t xml:space="preserve">Lukaty</t>
  </si>
  <si>
    <t xml:space="preserve">Orchidée d'Asie</t>
  </si>
  <si>
    <t xml:space="preserve">Restaurant l'Empreinte</t>
  </si>
  <si>
    <t xml:space="preserve">52 Avenue de Gameville</t>
  </si>
  <si>
    <t xml:space="preserve">31650</t>
  </si>
  <si>
    <t xml:space="preserve">Centre Commercial Leclerc</t>
  </si>
  <si>
    <t xml:space="preserve">05 61 00 23 15</t>
  </si>
  <si>
    <t xml:space="preserve">https://www.delarte.fr/nos-restaurants/occitanie/haute-garonne/st-orens-de-gameville/pizzeria-toulouse-saint-orens</t>
  </si>
  <si>
    <t xml:space="preserve">Mo-Th 11:30-15:00,18:30-22:00; Fr-Sa 11:30-15:00,18:30-22:30</t>
  </si>
  <si>
    <t xml:space="preserve">Toyama</t>
  </si>
  <si>
    <t xml:space="preserve">Un Zest' de Saison</t>
  </si>
  <si>
    <t xml:space="preserve">Ô pas sage</t>
  </si>
  <si>
    <t xml:space="preserve">Beau Et Bon</t>
  </si>
  <si>
    <t xml:space="preserve">Fonsorbes</t>
  </si>
  <si>
    <t xml:space="preserve">Kassa della Pizza</t>
  </si>
  <si>
    <t xml:space="preserve">Madrasi</t>
  </si>
  <si>
    <t xml:space="preserve">Abondance</t>
  </si>
  <si>
    <t xml:space="preserve">L'Union</t>
  </si>
  <si>
    <t xml:space="preserve">Asian Saveurs</t>
  </si>
  <si>
    <t xml:space="preserve">53 Route de Lavaur</t>
  </si>
  <si>
    <t xml:space="preserve">31240</t>
  </si>
  <si>
    <t xml:space="preserve">07 69 19 83 03</t>
  </si>
  <si>
    <t xml:space="preserve">https://www.restaurant-asiansaveurs.fr</t>
  </si>
  <si>
    <t xml:space="preserve">Mo-Su 11:30-14:30,18:00-22:00</t>
  </si>
  <si>
    <t xml:space="preserve">Bistrot Régent</t>
  </si>
  <si>
    <t xml:space="preserve">Rue d'Ariane</t>
  </si>
  <si>
    <t xml:space="preserve">Hold'em Café</t>
  </si>
  <si>
    <t xml:space="preserve">1 Rue d'Ariane</t>
  </si>
  <si>
    <t xml:space="preserve">https://www.holdem-cafe.fr/</t>
  </si>
  <si>
    <t xml:space="preserve">Il Forno Di Mama</t>
  </si>
  <si>
    <t xml:space="preserve">Il Popolo</t>
  </si>
  <si>
    <t xml:space="preserve">12 Rue d'Ariane</t>
  </si>
  <si>
    <t xml:space="preserve">L'Absolu</t>
  </si>
  <si>
    <t xml:space="preserve">3 Avenue de Bayonne</t>
  </si>
  <si>
    <t xml:space="preserve">07 60 34 68 35</t>
  </si>
  <si>
    <t xml:space="preserve">Tu-Sa 12:00-22:00; Su 12:00-14:30</t>
  </si>
  <si>
    <t xml:space="preserve">L'estanquet de l'olivier</t>
  </si>
  <si>
    <t xml:space="preserve">1 Avenue des Pyrénées</t>
  </si>
  <si>
    <t xml:space="preserve">La Bambouseraie</t>
  </si>
  <si>
    <t xml:space="preserve">Avenue de Saint-Caprais</t>
  </si>
  <si>
    <t xml:space="preserve">https://www.restaurantlabambouseraie.com/</t>
  </si>
  <si>
    <t xml:space="preserve">Mo-Sa 11:45-14:30,19:00-22:30</t>
  </si>
  <si>
    <t xml:space="preserve">La Bonne Auberge</t>
  </si>
  <si>
    <t xml:space="preserve">05 61 09 32 26</t>
  </si>
  <si>
    <t xml:space="preserve">https://www.bonneauberge31.fr/</t>
  </si>
  <si>
    <t xml:space="preserve">La Pampa</t>
  </si>
  <si>
    <t xml:space="preserve">Mo,Tu 12:00-14:00; We-Sa 12:00-14:00,19:00-21:30</t>
  </si>
  <si>
    <t xml:space="preserve">La Trattoria</t>
  </si>
  <si>
    <t xml:space="preserve">Mo,Tu 12:00-14:00; We-Sa 12:00-14:00,19:00-22:00</t>
  </si>
  <si>
    <t xml:space="preserve">Le Ghymnos</t>
  </si>
  <si>
    <t xml:space="preserve">Les 9 Dragons</t>
  </si>
  <si>
    <t xml:space="preserve">14 Rue d'Ariane</t>
  </si>
  <si>
    <t xml:space="preserve">05 61 61 00 00</t>
  </si>
  <si>
    <t xml:space="preserve">http://www.les9dragons.fr/</t>
  </si>
  <si>
    <t xml:space="preserve">Les Mets en Mêlée</t>
  </si>
  <si>
    <t xml:space="preserve">5 Rue Soyouz</t>
  </si>
  <si>
    <t xml:space="preserve">http://lesmetsenmelee.com/</t>
  </si>
  <si>
    <t xml:space="preserve">Maison Benetti</t>
  </si>
  <si>
    <t xml:space="preserve">Tu-Fr 09:30-19:30; Sa 10:00-19:00</t>
  </si>
  <si>
    <t xml:space="preserve">MPA</t>
  </si>
  <si>
    <t xml:space="preserve">Nem Viet</t>
  </si>
  <si>
    <t xml:space="preserve">Mo-Sa 11:00-14:30,17:00-19:30</t>
  </si>
  <si>
    <t xml:space="preserve">Pizza Papa</t>
  </si>
  <si>
    <t xml:space="preserve">Italienne, Pizza, Pâtes</t>
  </si>
  <si>
    <t xml:space="preserve">18 ter Rue d'Ariane</t>
  </si>
  <si>
    <t xml:space="preserve">05 34 25 82 50</t>
  </si>
  <si>
    <t xml:space="preserve">https://www.pizzapapa.fr/</t>
  </si>
  <si>
    <t xml:space="preserve">Pokewok</t>
  </si>
  <si>
    <t xml:space="preserve">Poké, Wok</t>
  </si>
  <si>
    <t xml:space="preserve">4 Rue d'Ariane</t>
  </si>
  <si>
    <t xml:space="preserve">06 51 52 28 06</t>
  </si>
  <si>
    <t xml:space="preserve">https://pokewok31.fr/</t>
  </si>
  <si>
    <t xml:space="preserve">Mo-Su 11:30-15:30,17:00-22:30</t>
  </si>
  <si>
    <t xml:space="preserve">Rouge Comptoir</t>
  </si>
  <si>
    <t xml:space="preserve">16 Rue d'Ariane</t>
  </si>
  <si>
    <t xml:space="preserve">https://www.rougecomptoir.fr/</t>
  </si>
  <si>
    <t xml:space="preserve">Mo-Th 12:00-14:00; Fr 12:00-14:00, 19:30-21:30</t>
  </si>
  <si>
    <t xml:space="preserve">Sushi chat</t>
  </si>
  <si>
    <t xml:space="preserve">Mo-Sa 11:30-14:00, Mo-Sa 18:00-21:30</t>
  </si>
  <si>
    <t xml:space="preserve">VagaBon</t>
  </si>
  <si>
    <t xml:space="preserve">Vin Léa</t>
  </si>
  <si>
    <t xml:space="preserve">Tu-Fr 10:00-19:30; Sa 10:00-13:00,15:30-19:30</t>
  </si>
  <si>
    <t xml:space="preserve">ÔKI Uchi</t>
  </si>
  <si>
    <t xml:space="preserve">2 Rue du Lac d'Oô</t>
  </si>
  <si>
    <t xml:space="preserve">05 61 47 55 12</t>
  </si>
  <si>
    <t xml:space="preserve">https://oki-uchi.eatbu.com</t>
  </si>
  <si>
    <t xml:space="preserve">Mo 11:30-14:00; Tu 11:30-14:00,18:15-20:20; We-Fr 11:30-14:00,18:15-21:20; Sa 18:15-21:20</t>
  </si>
  <si>
    <t xml:space="preserve">La Villa des Chimères</t>
  </si>
  <si>
    <t xml:space="preserve">12 Rue du Pont Faure</t>
  </si>
  <si>
    <t xml:space="preserve">Castelginest</t>
  </si>
  <si>
    <t xml:space="preserve">Au fil des saveurs</t>
  </si>
  <si>
    <t xml:space="preserve">8 Rue des Canalets</t>
  </si>
  <si>
    <t xml:space="preserve">Villeneuve-Tolosane</t>
  </si>
  <si>
    <t xml:space="preserve">Dcadei</t>
  </si>
  <si>
    <t xml:space="preserve">1 Rue de l'Hôtel de Ville</t>
  </si>
  <si>
    <t xml:space="preserve">Escale d'Asie</t>
  </si>
  <si>
    <t xml:space="preserve">Asiatique, Chinoise, Vietnamienne</t>
  </si>
  <si>
    <t xml:space="preserve">7 Avenue de Cugnaux</t>
  </si>
  <si>
    <t xml:space="preserve">05 61 92 76 27</t>
  </si>
  <si>
    <t xml:space="preserve">https://escaledasie.eatbu.com/?lang=fr</t>
  </si>
  <si>
    <t xml:space="preserve">We-Su 12:00-13:30, 19:00-21:30</t>
  </si>
  <si>
    <t xml:space="preserve">Esprit libre</t>
  </si>
  <si>
    <t xml:space="preserve">06 16 85 66 84</t>
  </si>
  <si>
    <t xml:space="preserve">https://www.creperie-espritlibre.fr</t>
  </si>
  <si>
    <t xml:space="preserve">Mo-Th 09:00-17:00; Fr 10:00-22:00; Sa-Su off</t>
  </si>
  <si>
    <t xml:space="preserve">Le Phénix</t>
  </si>
  <si>
    <t xml:space="preserve">Rue de Saint-Laurent</t>
  </si>
  <si>
    <t xml:space="preserve">Les Flots Du Sud</t>
  </si>
  <si>
    <t xml:space="preserve">2 Rue des Violettes</t>
  </si>
  <si>
    <t xml:space="preserve">05 61 92 99 06</t>
  </si>
  <si>
    <t xml:space="preserve">Portet-sur-Garonne</t>
  </si>
  <si>
    <t xml:space="preserve">Café Paul</t>
  </si>
  <si>
    <t xml:space="preserve">Régionale / terroir, Friture, Française, Coffee shop</t>
  </si>
  <si>
    <t xml:space="preserve">10 Promenade Baron Ritay</t>
  </si>
  <si>
    <t xml:space="preserve">31120</t>
  </si>
  <si>
    <t xml:space="preserve">Chez Luccio</t>
  </si>
  <si>
    <t xml:space="preserve">Euskalduna</t>
  </si>
  <si>
    <t xml:space="preserve">13 Avenue de l'Enclos</t>
  </si>
  <si>
    <t xml:space="preserve">05 61 44 53 86</t>
  </si>
  <si>
    <t xml:space="preserve">Mo-Fr 12:00-15:00</t>
  </si>
  <si>
    <t xml:space="preserve">Fujin</t>
  </si>
  <si>
    <t xml:space="preserve">25 Avenue de l'Enclos</t>
  </si>
  <si>
    <t xml:space="preserve">05 61 16 68 88</t>
  </si>
  <si>
    <t xml:space="preserve">https://garonne.restaurantfujin.com/fr/</t>
  </si>
  <si>
    <t xml:space="preserve">Tu-Su 12:00-14:45,19:00-22:45</t>
  </si>
  <si>
    <t xml:space="preserve">Indochine</t>
  </si>
  <si>
    <t xml:space="preserve">L'Andrea</t>
  </si>
  <si>
    <t xml:space="preserve">L'Andréa</t>
  </si>
  <si>
    <t xml:space="preserve">Le manoir du prince</t>
  </si>
  <si>
    <t xml:space="preserve">Le Touareg</t>
  </si>
  <si>
    <t xml:space="preserve">Les Jardins de l'Enclos</t>
  </si>
  <si>
    <t xml:space="preserve">05 61 76 90 39</t>
  </si>
  <si>
    <t xml:space="preserve">http://www.lesjardinsdelenclos.fr/</t>
  </si>
  <si>
    <t xml:space="preserve">3 Allée Pablo Picasso</t>
  </si>
  <si>
    <t xml:space="preserve">05 61 44 80 19</t>
  </si>
  <si>
    <t xml:space="preserve">https://www.delarte.fr/restaurant-italien-pizzeria-toulouse-portet-sur-garonne.html</t>
  </si>
  <si>
    <t xml:space="preserve">Mo-Su 11:30-14:30, 18:30-22:30</t>
  </si>
  <si>
    <t xml:space="preserve">Le Petit Frou</t>
  </si>
  <si>
    <t xml:space="preserve">Frouzins</t>
  </si>
  <si>
    <t xml:space="preserve">06 08 78 32 79</t>
  </si>
  <si>
    <t xml:space="preserve">https://lepetitfrou.fr/</t>
  </si>
  <si>
    <t xml:space="preserve">Jun-Sep Mo-Th 12:00-23:00; Jun-Sep Fr-Sa 12:00-00:00; Jun-Sep Su 11:30-23:00</t>
  </si>
  <si>
    <t xml:space="preserve">Napolizza</t>
  </si>
  <si>
    <t xml:space="preserve">Restaurant Le brasier</t>
  </si>
  <si>
    <t xml:space="preserve">8 Avenue des Pyrénées</t>
  </si>
  <si>
    <t xml:space="preserve">05 61 31 08 86</t>
  </si>
  <si>
    <t xml:space="preserve">https://le-brasier.eatbu.com/</t>
  </si>
  <si>
    <t xml:space="preserve">Tu-Sa 12:00-14:30,19:00-22:00; Mo,Su closed</t>
  </si>
  <si>
    <t xml:space="preserve">Restaurant Van-Asia</t>
  </si>
  <si>
    <t xml:space="preserve">Zen Saveurs</t>
  </si>
  <si>
    <t xml:space="preserve">57Bis Boulevard de la Méditerranée</t>
  </si>
  <si>
    <t xml:space="preserve">05 61 92 50 29</t>
  </si>
  <si>
    <t xml:space="preserve">We-Sa 11:30-14:00,18:00-21:30</t>
  </si>
  <si>
    <t xml:space="preserve">Di Roma</t>
  </si>
  <si>
    <t xml:space="preserve">Aucamville</t>
  </si>
  <si>
    <t xml:space="preserve">Kory</t>
  </si>
  <si>
    <t xml:space="preserve">Chinoise, Thaïlandaise</t>
  </si>
  <si>
    <t xml:space="preserve">31 Avenue de Fronton</t>
  </si>
  <si>
    <t xml:space="preserve">05 61 70 81 10</t>
  </si>
  <si>
    <t xml:space="preserve">http://www.restaurant-kory.fr/</t>
  </si>
  <si>
    <t xml:space="preserve">Su,Mo off; Tu-Sa 12:00-14:00,19:00-22:00</t>
  </si>
  <si>
    <t xml:space="preserve">La crêperie d'Aucamville</t>
  </si>
  <si>
    <t xml:space="preserve">Pizza, Crêperie</t>
  </si>
  <si>
    <t xml:space="preserve">05 61 70 90 99</t>
  </si>
  <si>
    <t xml:space="preserve">05 61 13 98 33</t>
  </si>
  <si>
    <t xml:space="preserve">Mo-Fr 12:00-14:00,19:30-22:00; Sa 12:00-14:00,19:30-22:30; Su off</t>
  </si>
  <si>
    <t xml:space="preserve">Le Jardin Créole</t>
  </si>
  <si>
    <t xml:space="preserve">Antillaise, Tapas</t>
  </si>
  <si>
    <t xml:space="preserve">3 Rue Clément Ader</t>
  </si>
  <si>
    <t xml:space="preserve">31150</t>
  </si>
  <si>
    <t xml:space="preserve">09 88 04 63 63</t>
  </si>
  <si>
    <t xml:space="preserve">https://lejardincreole.eatbu.com</t>
  </si>
  <si>
    <t xml:space="preserve">Le Lieu Trattoria &amp; Bar</t>
  </si>
  <si>
    <t xml:space="preserve">09 78 80 10 59</t>
  </si>
  <si>
    <t xml:space="preserve">https://www.lelieutrattoria.com/?lang=fr</t>
  </si>
  <si>
    <t xml:space="preserve">Le palais des plaisirs</t>
  </si>
  <si>
    <t xml:space="preserve">1 Chemin André Salvy</t>
  </si>
  <si>
    <t xml:space="preserve">31140</t>
  </si>
  <si>
    <t xml:space="preserve">À l'Ardoise</t>
  </si>
  <si>
    <t xml:space="preserve">https://www.alardoise-restaurant.fr/</t>
  </si>
  <si>
    <t xml:space="preserve">Buona Pizza</t>
  </si>
  <si>
    <t xml:space="preserve">Launaguet</t>
  </si>
  <si>
    <t xml:space="preserve">Le Diamant Noir</t>
  </si>
  <si>
    <t xml:space="preserve">Au Temps Passé</t>
  </si>
  <si>
    <t xml:space="preserve">Pibrac</t>
  </si>
  <si>
    <t xml:space="preserve">Gioia Pizza</t>
  </si>
  <si>
    <t xml:space="preserve">Pizzas Chez Stéphane</t>
  </si>
  <si>
    <t xml:space="preserve">05 61 06 51 25</t>
  </si>
  <si>
    <t xml:space="preserve">Mo-Sa 10:00-13:00,17:30-21:00</t>
  </si>
  <si>
    <t xml:space="preserve">Wine Food &amp; You</t>
  </si>
  <si>
    <t xml:space="preserve">https://www.winefood.fr/</t>
  </si>
  <si>
    <t xml:space="preserve">Bel'Asie</t>
  </si>
  <si>
    <t xml:space="preserve">10 Avenue des Hospitaliers</t>
  </si>
  <si>
    <t xml:space="preserve">31880</t>
  </si>
  <si>
    <t xml:space="preserve">La Salvetat-Saint-Gilles</t>
  </si>
  <si>
    <t xml:space="preserve">Casa di Carlotta</t>
  </si>
  <si>
    <t xml:space="preserve">22 Avenue des Capitouls</t>
  </si>
  <si>
    <t xml:space="preserve">07 83 91 60 51</t>
  </si>
  <si>
    <t xml:space="preserve">https://www.facebook.com/casadicarlottapizza/</t>
  </si>
  <si>
    <t xml:space="preserve">We-Su 18:30-21:30</t>
  </si>
  <si>
    <t xml:space="preserve">Le 11</t>
  </si>
  <si>
    <t xml:space="preserve">11 Avenue Léonard de Vinci</t>
  </si>
  <si>
    <t xml:space="preserve">05 61 59 87 45</t>
  </si>
  <si>
    <t xml:space="preserve">https://www.restaurantle11.fr/</t>
  </si>
  <si>
    <t xml:space="preserve">Mo-We 12:00-14:00; Th-Sa 12:00-14:00,19:00-22:00</t>
  </si>
  <si>
    <t xml:space="preserve">Pizza Nicolas</t>
  </si>
  <si>
    <t xml:space="preserve">Bier Akademie</t>
  </si>
  <si>
    <t xml:space="preserve">20 Route de Mondonville</t>
  </si>
  <si>
    <t xml:space="preserve">Cornebarrieu</t>
  </si>
  <si>
    <t xml:space="preserve">Ca se mange comme ça</t>
  </si>
  <si>
    <t xml:space="preserve">1 Rue Louis Breguet</t>
  </si>
  <si>
    <t xml:space="preserve">Chez Fanfan Micouleau</t>
  </si>
  <si>
    <t xml:space="preserve">35 Route de Toulouse</t>
  </si>
  <si>
    <t xml:space="preserve">Chez Lacote</t>
  </si>
  <si>
    <t xml:space="preserve">3 Route de Toulouse</t>
  </si>
  <si>
    <t xml:space="preserve">05 61 85 66 55</t>
  </si>
  <si>
    <t xml:space="preserve">Crep'Chignon</t>
  </si>
  <si>
    <t xml:space="preserve">05 34 52 11 69</t>
  </si>
  <si>
    <t xml:space="preserve">Chinoise, Japonaise</t>
  </si>
  <si>
    <t xml:space="preserve">35B Route de Toulouse</t>
  </si>
  <si>
    <t xml:space="preserve">05 61 30 17 48</t>
  </si>
  <si>
    <t xml:space="preserve">L'Animal</t>
  </si>
  <si>
    <t xml:space="preserve">05 34 52 76 48</t>
  </si>
  <si>
    <t xml:space="preserve">https://restaurantlanimal.fr</t>
  </si>
  <si>
    <t xml:space="preserve">L'organdi</t>
  </si>
  <si>
    <t xml:space="preserve">24 Route de Toulouse</t>
  </si>
  <si>
    <t xml:space="preserve">05 61 85 40 42</t>
  </si>
  <si>
    <t xml:space="preserve">La Cantine des Canailles</t>
  </si>
  <si>
    <t xml:space="preserve">5 Route de Mondonville</t>
  </si>
  <si>
    <t xml:space="preserve">05 61 11 76 79</t>
  </si>
  <si>
    <t xml:space="preserve">https://la-cantine-des-canailles.eatbu.com/</t>
  </si>
  <si>
    <t xml:space="preserve">Tu 12:00-14:00;We-Sa 12:00-14:00,19:00-22:00</t>
  </si>
  <si>
    <t xml:space="preserve">La Pie Verte</t>
  </si>
  <si>
    <t xml:space="preserve">Le Nez dans le Bocal</t>
  </si>
  <si>
    <t xml:space="preserve">Les deux frangins</t>
  </si>
  <si>
    <t xml:space="preserve">05 34 52 37 05</t>
  </si>
  <si>
    <t xml:space="preserve">Les Jardins d'Aurore</t>
  </si>
  <si>
    <t xml:space="preserve">Les Soeurs Veg</t>
  </si>
  <si>
    <t xml:space="preserve">09 60 47 96 21</t>
  </si>
  <si>
    <t xml:space="preserve">https://les-soeurs-veg.fr</t>
  </si>
  <si>
    <t xml:space="preserve">Pizzeria Mattarello</t>
  </si>
  <si>
    <t xml:space="preserve">05 61 42 10 39</t>
  </si>
  <si>
    <t xml:space="preserve">1 Avenue Georges Latécoère</t>
  </si>
  <si>
    <t xml:space="preserve">Mo-Sa 19:15-22:00</t>
  </si>
  <si>
    <t xml:space="preserve">STAR</t>
  </si>
  <si>
    <t xml:space="preserve">Sushi Game</t>
  </si>
  <si>
    <t xml:space="preserve">Taj Indian</t>
  </si>
  <si>
    <t xml:space="preserve">06 77 72 35 87</t>
  </si>
  <si>
    <t xml:space="preserve">The country club</t>
  </si>
  <si>
    <t xml:space="preserve">Villa D'Emile</t>
  </si>
  <si>
    <t xml:space="preserve">05 61 99 21 52</t>
  </si>
  <si>
    <t xml:space="preserve">Beaux Ailes Naan</t>
  </si>
  <si>
    <t xml:space="preserve">Burger, Kebab, Mexicaine</t>
  </si>
  <si>
    <t xml:space="preserve">Beauzelle</t>
  </si>
  <si>
    <t xml:space="preserve">09 50 48 26 74</t>
  </si>
  <si>
    <t xml:space="preserve">11:00-24:00</t>
  </si>
  <si>
    <t xml:space="preserve">Botna</t>
  </si>
  <si>
    <t xml:space="preserve">06 82 03 30 30</t>
  </si>
  <si>
    <t xml:space="preserve">https://botna.fr/botna-beauzelle/</t>
  </si>
  <si>
    <t xml:space="preserve">Mo 11:00-14:30; Tu-Su 11:00-14:30,18:30-22:30</t>
  </si>
  <si>
    <t xml:space="preserve">Fresh Cooking</t>
  </si>
  <si>
    <t xml:space="preserve">05 34 57 55 57</t>
  </si>
  <si>
    <t xml:space="preserve">https://freshcooking.fr/</t>
  </si>
  <si>
    <t xml:space="preserve">Mo-We 08:00-16:00</t>
  </si>
  <si>
    <t xml:space="preserve">L'Ardoise</t>
  </si>
  <si>
    <t xml:space="preserve">05 61 11 84 14</t>
  </si>
  <si>
    <t xml:space="preserve">https://lardoisebeauzelle.sitew.fr/</t>
  </si>
  <si>
    <t xml:space="preserve">Mo-Fr 11:45-14:00; We,Sa 19:30-21:00; PH off</t>
  </si>
  <si>
    <t xml:space="preserve">L'Auberge de Beauzelle</t>
  </si>
  <si>
    <t xml:space="preserve">05 61 42 73 13</t>
  </si>
  <si>
    <t xml:space="preserve">https://www.aubergedebeauzelle.fr/</t>
  </si>
  <si>
    <t xml:space="preserve">Mo-Th 12:00-13:15; Fr 12:00-13:15,18:45-20:00; Sa 18:45-20:00</t>
  </si>
  <si>
    <t xml:space="preserve">Le Carré des Sports</t>
  </si>
  <si>
    <t xml:space="preserve">05 40 24 84 11</t>
  </si>
  <si>
    <t xml:space="preserve">https://lecarredessports.fr/</t>
  </si>
  <si>
    <t xml:space="preserve">Mo-We 12:00-14:00,17:00-24:00; Th-Sa 12:00-01:00; Su 12:00-24:00</t>
  </si>
  <si>
    <t xml:space="preserve">Le Garossos</t>
  </si>
  <si>
    <t xml:space="preserve">05 61 49 87 63</t>
  </si>
  <si>
    <t xml:space="preserve">https://jeromecourtois1.wixsite.com/legarossosbarrestaur</t>
  </si>
  <si>
    <t xml:space="preserve">Mo-Fr 07:30-22:00; Sa 17:00-23:00</t>
  </si>
  <si>
    <t xml:space="preserve">L'épicerie</t>
  </si>
  <si>
    <t xml:space="preserve">31 Route du Château d'Eau</t>
  </si>
  <si>
    <t xml:space="preserve">31840</t>
  </si>
  <si>
    <t xml:space="preserve">Aussonne</t>
  </si>
  <si>
    <t xml:space="preserve">09 86 66 85 55</t>
  </si>
  <si>
    <t xml:space="preserve">https://lepicerierestaurant.fr/</t>
  </si>
  <si>
    <t xml:space="preserve">La cremaillere</t>
  </si>
  <si>
    <t xml:space="preserve">La Louka Pizzeria</t>
  </si>
  <si>
    <t xml:space="preserve">05 34 52 15 21</t>
  </si>
  <si>
    <t xml:space="preserve">https://www.laloukapizzeria.fr/carte-1</t>
  </si>
  <si>
    <t xml:space="preserve">La Table des Olivier</t>
  </si>
  <si>
    <t xml:space="preserve">50 Route de Merville</t>
  </si>
  <si>
    <t xml:space="preserve">https://www.la-table-des-oliviers.com/</t>
  </si>
  <si>
    <t xml:space="preserve">Le Domaine du Lac</t>
  </si>
  <si>
    <t xml:space="preserve">Tapas, Française</t>
  </si>
  <si>
    <t xml:space="preserve">300 Chemin du Lac</t>
  </si>
  <si>
    <t xml:space="preserve">https://www.ledomainedulac.com/</t>
  </si>
  <si>
    <t xml:space="preserve">Le Scintila</t>
  </si>
  <si>
    <t xml:space="preserve">Montini Pizza</t>
  </si>
  <si>
    <t xml:space="preserve">05 62 21 58 85</t>
  </si>
  <si>
    <t xml:space="preserve">https://www.montini-pizza.com/fr/la-carte</t>
  </si>
  <si>
    <t xml:space="preserve">Palais d'Asie</t>
  </si>
  <si>
    <t xml:space="preserve">Ô Bistrot Gourmand</t>
  </si>
  <si>
    <t xml:space="preserve">129 Allée Lucie Aubrac</t>
  </si>
  <si>
    <t xml:space="preserve">Saint-Jory</t>
  </si>
  <si>
    <t xml:space="preserve">Ô Trevi</t>
  </si>
  <si>
    <t xml:space="preserve">4 Place de la République</t>
  </si>
  <si>
    <t xml:space="preserve">L'Escale</t>
  </si>
  <si>
    <t xml:space="preserve">1 Avenue de la Mairie</t>
  </si>
  <si>
    <t xml:space="preserve">31750</t>
  </si>
  <si>
    <t xml:space="preserve">Escalquens</t>
  </si>
  <si>
    <t xml:space="preserve">05 61 24 51 05</t>
  </si>
  <si>
    <t xml:space="preserve">La belle équipe</t>
  </si>
  <si>
    <t xml:space="preserve">Pizza, Pâtes, Tapas, Régionale / terroir, Italienne, Française</t>
  </si>
  <si>
    <t xml:space="preserve">65 Avenue de Toulouse</t>
  </si>
  <si>
    <t xml:space="preserve">05 61 75 77 80</t>
  </si>
  <si>
    <t xml:space="preserve">Tu-Sa 12:00-14:00,17:00-23:00</t>
  </si>
  <si>
    <t xml:space="preserve">La casita de José</t>
  </si>
  <si>
    <t xml:space="preserve">61 Avenue de Toulouse</t>
  </si>
  <si>
    <t xml:space="preserve">La Table des Barbus</t>
  </si>
  <si>
    <t xml:space="preserve">Le Jardin Pamplemousse</t>
  </si>
  <si>
    <t xml:space="preserve">Le Néphilim</t>
  </si>
  <si>
    <t xml:space="preserve">Mast - Braise &amp; Vin</t>
  </si>
  <si>
    <t xml:space="preserve">52 Avenue de la Mairie</t>
  </si>
  <si>
    <t xml:space="preserve">05 61 81 79 88</t>
  </si>
  <si>
    <t xml:space="preserve">http://www.mast.fr/</t>
  </si>
  <si>
    <t xml:space="preserve">Mo-Fr, Su 12:00-13:30; Tu-Sa 19:30-21:30</t>
  </si>
  <si>
    <t xml:space="preserve">Pizza Papa Distello</t>
  </si>
  <si>
    <t xml:space="preserve">42 Avenue de la Borde-Haute</t>
  </si>
  <si>
    <t xml:space="preserve">05 34 66 14 13</t>
  </si>
  <si>
    <t xml:space="preserve">https://www.pizzapapadistelo.com/</t>
  </si>
  <si>
    <t xml:space="preserve">Pizza Val</t>
  </si>
  <si>
    <t xml:space="preserve">05 34 66 83 32</t>
  </si>
  <si>
    <t xml:space="preserve">https://www.pizzaval.com/</t>
  </si>
  <si>
    <t xml:space="preserve">Mo, Th-Sa 10:00-13:30, 17:30-21:00; Su 18:00-21:00</t>
  </si>
  <si>
    <t xml:space="preserve">Soleil d'Asie</t>
  </si>
  <si>
    <t xml:space="preserve">05 61 81 65 89</t>
  </si>
  <si>
    <t xml:space="preserve">Bellagio</t>
  </si>
  <si>
    <t xml:space="preserve">Saint-Alban</t>
  </si>
  <si>
    <t xml:space="preserve">05 34 43 07 48</t>
  </si>
  <si>
    <t xml:space="preserve">https://www.facebook.com/PizzeriaBellagioOfficiel</t>
  </si>
  <si>
    <t xml:space="preserve">Mo-Sa 19:30-21:30</t>
  </si>
  <si>
    <t xml:space="preserve">Fedita</t>
  </si>
  <si>
    <t xml:space="preserve">7 Route de l'Hers</t>
  </si>
  <si>
    <t xml:space="preserve">05 62 10 06 29</t>
  </si>
  <si>
    <t xml:space="preserve">http://www.litalienne.fr/</t>
  </si>
  <si>
    <t xml:space="preserve">11:00-14:00,18:00-22:00</t>
  </si>
  <si>
    <t xml:space="preserve">Palais de L'inde</t>
  </si>
  <si>
    <t xml:space="preserve">133 Avenue du Sers</t>
  </si>
  <si>
    <t xml:space="preserve">05 62 57 83 12</t>
  </si>
  <si>
    <t xml:space="preserve">Restaurant libanais</t>
  </si>
  <si>
    <t xml:space="preserve">12 bis Avenue de Fronton</t>
  </si>
  <si>
    <t xml:space="preserve">Restauration scolaire Jean Jaurès</t>
  </si>
  <si>
    <t xml:space="preserve">Au fabuleux thé vert</t>
  </si>
  <si>
    <t xml:space="preserve">19 Rue de Savoie</t>
  </si>
  <si>
    <t xml:space="preserve">31330</t>
  </si>
  <si>
    <t xml:space="preserve">Merville</t>
  </si>
  <si>
    <t xml:space="preserve">En Pleine Nature</t>
  </si>
  <si>
    <t xml:space="preserve">Régionale / terroir, Française, Gastronomique</t>
  </si>
  <si>
    <t xml:space="preserve">6 Place de la Mairie</t>
  </si>
  <si>
    <t xml:space="preserve">31130</t>
  </si>
  <si>
    <t xml:space="preserve">Quint-Fonsegrives</t>
  </si>
  <si>
    <t xml:space="preserve">05 61 45 42 12</t>
  </si>
  <si>
    <t xml:space="preserve">https://www.en-pleine-nature.com/</t>
  </si>
  <si>
    <t xml:space="preserve">Tu-Fr 12:00-14:00,19:00-22:00</t>
  </si>
  <si>
    <t xml:space="preserve">Galabar</t>
  </si>
  <si>
    <t xml:space="preserve">05 62 52 07 33</t>
  </si>
  <si>
    <t xml:space="preserve">https://restaurantgalabar.fr/</t>
  </si>
  <si>
    <t xml:space="preserve">Mo-Su 11:45-14:00,18:30-22:00</t>
  </si>
  <si>
    <t xml:space="preserve">Le Bistro Des Copains</t>
  </si>
  <si>
    <t xml:space="preserve">9 Route de Castres</t>
  </si>
  <si>
    <t xml:space="preserve">05 62 24 38 30</t>
  </si>
  <si>
    <t xml:space="preserve">https://www.lebistrodescopains.com</t>
  </si>
  <si>
    <t xml:space="preserve">Tu-Th 08:00-22:00; Fr-Sa 08:00-23:00</t>
  </si>
  <si>
    <t xml:space="preserve">Les Caprices</t>
  </si>
  <si>
    <t xml:space="preserve">1</t>
  </si>
  <si>
    <t xml:space="preserve">05 32 60 69 90</t>
  </si>
  <si>
    <t xml:space="preserve">https://www.les-caprices.fr/</t>
  </si>
  <si>
    <t xml:space="preserve">Su off; Mo off; Tu-We 12:00-14:00; Th 12:00-14:00,18:30-21:30; Fr-Sa 12:00-14:00,18:00-21:00</t>
  </si>
  <si>
    <t xml:space="preserve">Pizzeria Mongelli</t>
  </si>
  <si>
    <t xml:space="preserve">4 Place de la Mairie</t>
  </si>
  <si>
    <t xml:space="preserve">05 62 52 70 80</t>
  </si>
  <si>
    <t xml:space="preserve">Mo,Su off; Tu-Sa 12:00-14:00,18:30-22:00</t>
  </si>
  <si>
    <t xml:space="preserve">Suke Sushi</t>
  </si>
  <si>
    <t xml:space="preserve">6 Cours Goudouli</t>
  </si>
  <si>
    <t xml:space="preserve">05 31 21 79 22</t>
  </si>
  <si>
    <t xml:space="preserve">https://suke-sushi-quint-fonsegrives.eatbu.com/</t>
  </si>
  <si>
    <t xml:space="preserve">Mo,Su off; Tu-Sa 11:30-13:30,18:30-21:30</t>
  </si>
  <si>
    <t xml:space="preserve">Tradi Pizza</t>
  </si>
  <si>
    <t xml:space="preserve">32 Route de Castres</t>
  </si>
  <si>
    <t xml:space="preserve">05 61 20 77 60</t>
  </si>
  <si>
    <t xml:space="preserve">Mo off; Tu 17:30-21:00; We-Th 11:30-13:20,17:30-21:00; Fr 11:30-13:20,17:30-21:30; Sa 11:30-13:20,17:30-21:30; Su 17:30-21:00</t>
  </si>
  <si>
    <t xml:space="preserve">ZenQuint</t>
  </si>
  <si>
    <t xml:space="preserve">5 Rue de la Zone d'Activité de Ribaute</t>
  </si>
  <si>
    <t xml:space="preserve">05 62 80 63 32</t>
  </si>
  <si>
    <t xml:space="preserve">https://zenquint.fr</t>
  </si>
  <si>
    <t xml:space="preserve">We-Fr 12:00-14:00,19:30-22:00; Sa 12:20-14:00,19:30-22:00; Mo-Tu 12:00-14:00; Su off</t>
  </si>
  <si>
    <t xml:space="preserve">Décoféiné - Café Déco</t>
  </si>
  <si>
    <t xml:space="preserve">Coffee shop, Thés</t>
  </si>
  <si>
    <t xml:space="preserve">17 Place de la République</t>
  </si>
  <si>
    <t xml:space="preserve">Bruguières</t>
  </si>
  <si>
    <t xml:space="preserve">09 85 19 45 64</t>
  </si>
  <si>
    <t xml:space="preserve">https://www.facebook.com/Decofeine/</t>
  </si>
  <si>
    <t xml:space="preserve">Hotel bistrot Le Quarré</t>
  </si>
  <si>
    <t xml:space="preserve">05 48 17 20 20</t>
  </si>
  <si>
    <t xml:space="preserve">https://le-quarre.fr/restaurant</t>
  </si>
  <si>
    <t xml:space="preserve">La Cassine du Burger</t>
  </si>
  <si>
    <t xml:space="preserve">Burger, Française</t>
  </si>
  <si>
    <t xml:space="preserve">87 Avenue de Toulouse</t>
  </si>
  <si>
    <t xml:space="preserve">05 61 09 52 90</t>
  </si>
  <si>
    <t xml:space="preserve">https://lacassineduburger.com/</t>
  </si>
  <si>
    <t xml:space="preserve">Le Galichon</t>
  </si>
  <si>
    <t xml:space="preserve">Pizza, Burger, Française</t>
  </si>
  <si>
    <t xml:space="preserve">159 Bis Avenue du Bergeron</t>
  </si>
  <si>
    <t xml:space="preserve">05 62 78 06 56</t>
  </si>
  <si>
    <t xml:space="preserve">https://www.le-galichon-restaurant-bruguieres.fr/</t>
  </si>
  <si>
    <t xml:space="preserve">Grill / viandes, Régionale / terroir</t>
  </si>
  <si>
    <t xml:space="preserve">16 bis Place de la République</t>
  </si>
  <si>
    <t xml:space="preserve">05 61 82 63 75</t>
  </si>
  <si>
    <t xml:space="preserve">https://www.baraviande-lesoiessauvages.com/</t>
  </si>
  <si>
    <t xml:space="preserve">Namtha restaurant</t>
  </si>
  <si>
    <t xml:space="preserve">25 Place de la République</t>
  </si>
  <si>
    <t xml:space="preserve">06 08 78 00 21</t>
  </si>
  <si>
    <t xml:space="preserve">Popi Pizza</t>
  </si>
  <si>
    <t xml:space="preserve">Pizza, Ice cream</t>
  </si>
  <si>
    <t xml:space="preserve">05 61 35 49 11</t>
  </si>
  <si>
    <t xml:space="preserve">http://popi-pizza.fr/</t>
  </si>
  <si>
    <t xml:space="preserve">Sen'do Sushi</t>
  </si>
  <si>
    <t xml:space="preserve">89 bis Avenue de Toulouse</t>
  </si>
  <si>
    <t xml:space="preserve">05 61 35 18 37</t>
  </si>
  <si>
    <t xml:space="preserve">https://www.sendosushi.fr/</t>
  </si>
  <si>
    <t xml:space="preserve">Ô restaurant de la place</t>
  </si>
  <si>
    <t xml:space="preserve">29 Place de la République</t>
  </si>
  <si>
    <t xml:space="preserve">05 62 10 83 21</t>
  </si>
  <si>
    <t xml:space="preserve">https://o-restaurant-de-la-place-bruguieres.eatbu.com/</t>
  </si>
  <si>
    <t xml:space="preserve">Française, Américaine, European</t>
  </si>
  <si>
    <t xml:space="preserve">Fenouillet</t>
  </si>
  <si>
    <t xml:space="preserve">05 61 09 32 36</t>
  </si>
  <si>
    <t xml:space="preserve">https://www.aubureau.fr/restaurant-brasserie/au-bureau-fenouillet</t>
  </si>
  <si>
    <t xml:space="preserve">Mo-Th 11:45-23:00; Fr-Sa 11:45-23:30; Su 11:45-23:00</t>
  </si>
  <si>
    <t xml:space="preserve">Chez Martine</t>
  </si>
  <si>
    <t xml:space="preserve">05 34 48 30 66</t>
  </si>
  <si>
    <t xml:space="preserve">https://www.hippopotamus.fr/nos-restaurants/hippopotamus-toulouse-fenouillet</t>
  </si>
  <si>
    <t xml:space="preserve">Mo-Th 11:30-14:30,18:30-21:30; Fr 11:30-14:30,18:30-22:30; Sa 11:30-23:00; Su 11:30-14:30,18:30-21:30</t>
  </si>
  <si>
    <t xml:space="preserve">In Pala Mia</t>
  </si>
  <si>
    <t xml:space="preserve">It Trattoria</t>
  </si>
  <si>
    <t xml:space="preserve">La guinguette en l'air</t>
  </si>
  <si>
    <t xml:space="preserve">07 82 52 63 85</t>
  </si>
  <si>
    <t xml:space="preserve">https://laguinguette-enlair.fr/</t>
  </si>
  <si>
    <t xml:space="preserve">We-Sa 17:00-01:00; Su 12:00-01:00</t>
  </si>
  <si>
    <t xml:space="preserve">Mamma Mia Pizza Pasta</t>
  </si>
  <si>
    <t xml:space="preserve">Twilsons</t>
  </si>
  <si>
    <t xml:space="preserve">Burger, Asiatique, Salades</t>
  </si>
  <si>
    <t xml:space="preserve">Roques</t>
  </si>
  <si>
    <t xml:space="preserve">05 34 53 22 10</t>
  </si>
  <si>
    <t xml:space="preserve">https://www.aubureau.fr/restaurant-brasserie/au-bureau-roques</t>
  </si>
  <si>
    <t xml:space="preserve">12:00-24:00; Fr-Sa 12:00-01:00</t>
  </si>
  <si>
    <t xml:space="preserve">05 61 76 95 10</t>
  </si>
  <si>
    <t xml:space="preserve">https://www.buffalo-grill.fr/nos-restaurants/toulouse-roques-sur-garonne</t>
  </si>
  <si>
    <t xml:space="preserve">Mo-Th 11:30-15:00,18:00-22:30; Fr 11:30-15:00,18:00-23:00; Sa 11:30-23:00; Su 11:30-22:30</t>
  </si>
  <si>
    <t xml:space="preserve">05 61 72 20 57</t>
  </si>
  <si>
    <t xml:space="preserve">https://www.flunch.fr/restaurant/roques-sur-garonne/flunch-toulouse-roques/</t>
  </si>
  <si>
    <t xml:space="preserve">Mo-Th 11:00-14:30; Fr-Sa 11:00-21:30</t>
  </si>
  <si>
    <t xml:space="preserve">05 61 16 70 72</t>
  </si>
  <si>
    <t xml:space="preserve">https://restaurants.hippopotamus.fr/france/occitanie/haute-garonne/roques/toulouse-roques</t>
  </si>
  <si>
    <t xml:space="preserve">Mo-Th 11:30-15:00,18:30-22:00; Fr 11:30-15:00,18:30-23:00; Sa 11:30-23:00; Su 11:30-22:00</t>
  </si>
  <si>
    <t xml:space="preserve">Midi 5</t>
  </si>
  <si>
    <t xml:space="preserve">05 34 50 87 80</t>
  </si>
  <si>
    <t xml:space="preserve">https://www.delarte.fr/nos-restaurants/occitanie/haute-garonne/roques/pizzeria-toulouse-roques-sur-garonne</t>
  </si>
  <si>
    <t xml:space="preserve">Tu-Th,Sa 12:00-14:30,19:00-22:00; Fr 12:00-14:30,19:00-22:30</t>
  </si>
  <si>
    <t xml:space="preserve">A fleur de Pizz</t>
  </si>
  <si>
    <t xml:space="preserve">Pechbonnieu</t>
  </si>
  <si>
    <t xml:space="preserve">ESAT Elisa 31</t>
  </si>
  <si>
    <t xml:space="preserve">L'Esquisse</t>
  </si>
  <si>
    <t xml:space="preserve">Mo-Fr 08:30-20:00</t>
  </si>
  <si>
    <t xml:space="preserve">Original Sushi</t>
  </si>
  <si>
    <t xml:space="preserve">Table des Saveurs</t>
  </si>
  <si>
    <t xml:space="preserve">6 Rue des Artisans</t>
  </si>
  <si>
    <t xml:space="preserve">12:00-14:00</t>
  </si>
  <si>
    <t xml:space="preserve">La Roquette Guinguette</t>
  </si>
  <si>
    <t xml:space="preserve">Roquettes</t>
  </si>
  <si>
    <t xml:space="preserve">Ankka</t>
  </si>
  <si>
    <t xml:space="preserve">Pâtes, Salades, Wrap</t>
  </si>
  <si>
    <t xml:space="preserve">Labège</t>
  </si>
  <si>
    <t xml:space="preserve">https://ankka.fr/</t>
  </si>
  <si>
    <t xml:space="preserve">Mo-Fr 09:00-15:00</t>
  </si>
  <si>
    <t xml:space="preserve">05 61 57 14 77</t>
  </si>
  <si>
    <t xml:space="preserve">https://www.aubureau.fr/restaurant-brasserie/au-bureau-labege</t>
  </si>
  <si>
    <t xml:space="preserve">Mo-Th 12:00-24:00; Fr-Sa 12:00-01:00; Su 12:00-24:00</t>
  </si>
  <si>
    <t xml:space="preserve">Autan Gourmand</t>
  </si>
  <si>
    <t xml:space="preserve">05 62 17 12 04</t>
  </si>
  <si>
    <t xml:space="preserve">https://www.autangourmand.com/</t>
  </si>
  <si>
    <t xml:space="preserve">Tu-Sa 12:00-13:15,19:30-21:00</t>
  </si>
  <si>
    <t xml:space="preserve">Bistr'O bo bun</t>
  </si>
  <si>
    <t xml:space="preserve">Vietnamienne, Japonaise</t>
  </si>
  <si>
    <t xml:space="preserve">269 La Méridienne</t>
  </si>
  <si>
    <t xml:space="preserve">31670</t>
  </si>
  <si>
    <t xml:space="preserve">07 68 97 94 20</t>
  </si>
  <si>
    <t xml:space="preserve">https://tobobun.com/</t>
  </si>
  <si>
    <t xml:space="preserve">Su 12:00-14:00; Mo 12:00-14:00; Tu-Fr 12:00-14:00,19:00-22:00; Sa 12:00-14:00,19:00-22:00</t>
  </si>
  <si>
    <t xml:space="preserve">Bouillon Labège</t>
  </si>
  <si>
    <t xml:space="preserve">Française, Bistrot</t>
  </si>
  <si>
    <t xml:space="preserve">88 Rue Galilée</t>
  </si>
  <si>
    <t xml:space="preserve">05 62 25 60 52</t>
  </si>
  <si>
    <t xml:space="preserve">https://bouillonlabege.com/</t>
  </si>
  <si>
    <t xml:space="preserve">Crêperie, Gaufres</t>
  </si>
  <si>
    <t xml:space="preserve">https://restaurants.crepetouch.com/toulouse-labege-2/</t>
  </si>
  <si>
    <t xml:space="preserve">Mo-Th 09:00-19:00; Fr,Sa 09:00-22:00; Su 11:30-18:00</t>
  </si>
  <si>
    <t xml:space="preserve">Ealsy</t>
  </si>
  <si>
    <t xml:space="preserve">Salades, Soupes, Bagels</t>
  </si>
  <si>
    <t xml:space="preserve">http://www.lejardingourmand-lunch.com</t>
  </si>
  <si>
    <t xml:space="preserve">05 61 39 24 00</t>
  </si>
  <si>
    <t xml:space="preserve">https://restaurant.flunch.fr/labege/flunch-toulouse-labege/</t>
  </si>
  <si>
    <t xml:space="preserve">Mo-Sa 08:30-22:00; Su 11:30-22:00</t>
  </si>
  <si>
    <t xml:space="preserve">Ghys &amp; Lo</t>
  </si>
  <si>
    <t xml:space="preserve">Mo 12:00-14:00; Tu-Th 12:00-15:00,19:00-22:00; Fr 12:00-15:00,19:00-22:30; Sa 19:00-22:30</t>
  </si>
  <si>
    <t xml:space="preserve">1610 L'Occitane</t>
  </si>
  <si>
    <t xml:space="preserve">05 54 96 00 75</t>
  </si>
  <si>
    <t xml:space="preserve">https://www.hippopotamus.fr/nos-restaurants/hippopotamus-labege</t>
  </si>
  <si>
    <t xml:space="preserve">Mo-Th 11:30-15:00,19:00-22:30; Fr 11:30-15:00,19:00-23:30; Sa 11:30-23:30; Su 11:30-22:30</t>
  </si>
  <si>
    <t xml:space="preserve">Il Popolo Labège</t>
  </si>
  <si>
    <t xml:space="preserve">143 Rue Pierre-Gilles de Gennes</t>
  </si>
  <si>
    <t xml:space="preserve">05 62 17 90 81</t>
  </si>
  <si>
    <t xml:space="preserve">https://ilpopolo.fr</t>
  </si>
  <si>
    <t xml:space="preserve">Mo-Th 12:00-14:00,19:00-22:00; Fr-Sa 12:00-14:00,19:00-22:30; Su 12:00-14:00,19:00-22:00</t>
  </si>
  <si>
    <t xml:space="preserve">Kobe Sushi</t>
  </si>
  <si>
    <t xml:space="preserve">265 Place du Lauragais</t>
  </si>
  <si>
    <t xml:space="preserve">05 61 55 46 70</t>
  </si>
  <si>
    <t xml:space="preserve">https://kobe-sushi-labege.eatbu.com</t>
  </si>
  <si>
    <t xml:space="preserve">Mo-Sa 12:00-14:30, 19:00-22:00</t>
  </si>
  <si>
    <t xml:space="preserve">227 Rue Pierre-Gilles de Gennes</t>
  </si>
  <si>
    <t xml:space="preserve">05 61 25 85 84</t>
  </si>
  <si>
    <t xml:space="preserve">https://kumquat-cantine-vietnamienne.fr/labege</t>
  </si>
  <si>
    <t xml:space="preserve">Mo-We,Fr-Sa 12:00-14:00,19:00-22:00; Th 12:00-14:00,18:00-22:00; Su off</t>
  </si>
  <si>
    <t xml:space="preserve">L'Aléa Table</t>
  </si>
  <si>
    <t xml:space="preserve">190 Rue Jean Rostand</t>
  </si>
  <si>
    <t xml:space="preserve">https://www.laleatable.com</t>
  </si>
  <si>
    <t xml:space="preserve">Mo-Sa 08:00-00:00</t>
  </si>
  <si>
    <t xml:space="preserve">123 L'Occitane</t>
  </si>
  <si>
    <t xml:space="preserve">05 61 00 19 60</t>
  </si>
  <si>
    <t xml:space="preserve">https://www.la-boucherie.fr/Restaurant/la-boucherie-toulouse-labege-31/</t>
  </si>
  <si>
    <t xml:space="preserve">Su 11:45-15:00,18:45-22:00; Mo-Th 11:45-14:30,18:45-22:00; Fr 11:45-14:30,18:45-23:00; Sa 11:45-15:00,18:45-23:00</t>
  </si>
  <si>
    <t xml:space="preserve">Grill / viandes, Poisson</t>
  </si>
  <si>
    <t xml:space="preserve">Mo-Fr 12:00-14:30,18:00-22:30; Sa,Su 12:00-14:30,19:00-22:30</t>
  </si>
  <si>
    <t xml:space="preserve">05 61 73 83 90</t>
  </si>
  <si>
    <t xml:space="preserve">http://www.lafaimdesharicots.fr</t>
  </si>
  <si>
    <t xml:space="preserve">La Terrasse</t>
  </si>
  <si>
    <t xml:space="preserve">3980 Route de Baziège La Lauragaise</t>
  </si>
  <si>
    <t xml:space="preserve">05 61 73 73 96</t>
  </si>
  <si>
    <t xml:space="preserve">https://www.facebook.com/profile.php?id=61554667815484</t>
  </si>
  <si>
    <t xml:space="preserve">Le bistro régent</t>
  </si>
  <si>
    <t xml:space="preserve">https://www.bistro-regent.fr/ou-trouver-les-bistros/toulouse-labege/</t>
  </si>
  <si>
    <t xml:space="preserve">11:45-14:30,18:45-22:45; Th 11:45-14:30,18:45-23:00; Fr,Sa 11:45-14:30,18:45-23:15</t>
  </si>
  <si>
    <t xml:space="preserve">Le Grand Méchant Goût</t>
  </si>
  <si>
    <t xml:space="preserve">https://legrandmechantgout.com</t>
  </si>
  <si>
    <t xml:space="preserve">Mo,Tu 12:00-14:00,17:30-20:00; We-Fr 12:00-14:00,17:30-22:00; Sa 17:30-22:00</t>
  </si>
  <si>
    <t xml:space="preserve">Les 3 Brasseurs</t>
  </si>
  <si>
    <t xml:space="preserve">Rue Pierre-Gilles de Gennes</t>
  </si>
  <si>
    <t xml:space="preserve">05 62 88 82 22</t>
  </si>
  <si>
    <t xml:space="preserve">https://www.3brasseurs.com</t>
  </si>
  <si>
    <t xml:space="preserve">off</t>
  </si>
  <si>
    <t xml:space="preserve">Les Asiatides</t>
  </si>
  <si>
    <t xml:space="preserve">05 61 39 07 17</t>
  </si>
  <si>
    <t xml:space="preserve">http://www.lesasiatides.com/</t>
  </si>
  <si>
    <t xml:space="preserve">Mo-Sa 12:00-14:00, Mo-Th 19:00-22:00; Fr,Sa 19:00-22:30</t>
  </si>
  <si>
    <t xml:space="preserve">Les Bouillons Toulousains</t>
  </si>
  <si>
    <t xml:space="preserve">05 62 47 54 50</t>
  </si>
  <si>
    <t xml:space="preserve">https://lesbouillonstoulousains.fr/</t>
  </si>
  <si>
    <t xml:space="preserve">Mo-Fr 11:45-14:00, 19:00-21:30</t>
  </si>
  <si>
    <t xml:space="preserve">Les Tontons Viandards</t>
  </si>
  <si>
    <t xml:space="preserve">https://lestontonsviandards.fr</t>
  </si>
  <si>
    <t xml:space="preserve">Mo-Th 11:30-14:30; Fr-Sa 11:30-14:30,18:30-21:30; Su off</t>
  </si>
  <si>
    <t xml:space="preserve">Pause Saveurs</t>
  </si>
  <si>
    <t xml:space="preserve">64 Rue Max Planck</t>
  </si>
  <si>
    <t xml:space="preserve">05 61 73 60 35</t>
  </si>
  <si>
    <t xml:space="preserve">Pimelo</t>
  </si>
  <si>
    <t xml:space="preserve">Mo-Fr 12:00-14:00,19:00-22:00</t>
  </si>
  <si>
    <t xml:space="preserve">Pizza Mongelli Labège</t>
  </si>
  <si>
    <t xml:space="preserve">05 61 14 05 06</t>
  </si>
  <si>
    <t xml:space="preserve">https://www.pizza-mongelli.com/reservation-mongelli-labege/</t>
  </si>
  <si>
    <t xml:space="preserve">Mo 12:00-13:45; Tu-Th 12:00-13:45,18:30-21:45; Fr-Sa 12:00-13:45,18:30-22:00; Su off</t>
  </si>
  <si>
    <t xml:space="preserve">Restaurant Phô</t>
  </si>
  <si>
    <t xml:space="preserve">05 61 47 10 02</t>
  </si>
  <si>
    <t xml:space="preserve">Mo-Sa 11:45-14:00,19:00-22:00</t>
  </si>
  <si>
    <t xml:space="preserve">Restaurant Spok Toulouse Labège</t>
  </si>
  <si>
    <t xml:space="preserve">05 34 24 31 38</t>
  </si>
  <si>
    <t xml:space="preserve">https://restaurants.spok.fr/toulouse-labege/</t>
  </si>
  <si>
    <t xml:space="preserve">Restaurant universitaire</t>
  </si>
  <si>
    <t xml:space="preserve">05 61 14 04 69</t>
  </si>
  <si>
    <t xml:space="preserve">https://www.delarte.fr/restaurant-italien-pizzeria-toulouse-labege.html</t>
  </si>
  <si>
    <t xml:space="preserve">Mo-Th 11:30-14:30, 18:30-22:30; Fr 11:30-14:30, 18:30-23:00; Sa 11:30-15:00, 18:30-23:00; Su 11:30-15:00, 18:30-22:30</t>
  </si>
  <si>
    <t xml:space="preserve">Saint-Jacques</t>
  </si>
  <si>
    <t xml:space="preserve">05 62 24 40 73</t>
  </si>
  <si>
    <t xml:space="preserve">Mo-Fr 07:30-21:00; Sa 09:00-14:00</t>
  </si>
  <si>
    <t xml:space="preserve">Saké Sushi</t>
  </si>
  <si>
    <t xml:space="preserve">05 61 25 85 35</t>
  </si>
  <si>
    <t xml:space="preserve">http://www.sakesushi.fr/</t>
  </si>
  <si>
    <t xml:space="preserve">Mo-Th 12:00-14:00,19:00-22:00; Fr,Sa 12:00-14:00,19:00-22:30</t>
  </si>
  <si>
    <t xml:space="preserve">Supper Bar Restaurant</t>
  </si>
  <si>
    <t xml:space="preserve">1151 Avenue de l'Occitanie</t>
  </si>
  <si>
    <t xml:space="preserve">05 31 61 33 71</t>
  </si>
  <si>
    <t xml:space="preserve">https://supper-moment.fr/</t>
  </si>
  <si>
    <t xml:space="preserve">Sushi daily</t>
  </si>
  <si>
    <t xml:space="preserve">Terre et Mer</t>
  </si>
  <si>
    <t xml:space="preserve">https://terre-et-mer-labege.com</t>
  </si>
  <si>
    <t xml:space="preserve">Mo,Su 12:00-14:30,19:30-22:30; Tu-Th 12:00-14:30; Fr,Sa 12:00-14:30,19:30-23:00</t>
  </si>
  <si>
    <t xml:space="preserve">05 61 73 80 55</t>
  </si>
  <si>
    <t xml:space="preserve">https://tokami-labege.com</t>
  </si>
  <si>
    <t xml:space="preserve">Mo 12:00-14:00,19:00-22:00; Tu 12:00-14:00,19:00-22:00; We 12:00-14:00,19:00-22:00; Th 12:00-14:00,19:00-22:00; Fr 12:00-14:00,19:00-22:00; Sa 12:00-14:00,19:00-22:00; Su 19:00-22:00</t>
  </si>
  <si>
    <t xml:space="preserve">Tommy's Diner Café</t>
  </si>
  <si>
    <t xml:space="preserve">05 61 00 29 00</t>
  </si>
  <si>
    <t xml:space="preserve">https://www.tommys-cafe.com/news-labege/</t>
  </si>
  <si>
    <t xml:space="preserve">Mo-Th 11:30-23:00; Fr-Sa 11:30-24:00</t>
  </si>
  <si>
    <t xml:space="preserve">Tribal African Artfood</t>
  </si>
  <si>
    <t xml:space="preserve">227 Rue Pierre de Gennes</t>
  </si>
  <si>
    <t xml:space="preserve">05 61 57 96 77</t>
  </si>
  <si>
    <t xml:space="preserve">Urban Garden Café</t>
  </si>
  <si>
    <t xml:space="preserve">Salades, Soupes, Pie, Cookie</t>
  </si>
  <si>
    <t xml:space="preserve">https://www.urbangardencafe.fr</t>
  </si>
  <si>
    <t xml:space="preserve">Mo-Fr 11:30-15:00</t>
  </si>
  <si>
    <t xml:space="preserve">http://www.yankeegrill.com/</t>
  </si>
  <si>
    <t xml:space="preserve">Mo 12:00-14:00; Tu-Th 12:00-14:00,19:00-21:30; Fr,Sa 12:00-14:00,19:00-22:30</t>
  </si>
  <si>
    <t xml:space="preserve">Ô Paisible</t>
  </si>
  <si>
    <t xml:space="preserve">https://www.opaisible.fr</t>
  </si>
  <si>
    <t xml:space="preserve">Tu-Sa 12:00-14:00, Th-Sa 19:00-21:30</t>
  </si>
  <si>
    <t xml:space="preserve">Aux Délices d'Asie</t>
  </si>
  <si>
    <t xml:space="preserve">Auzeville-Tolosane</t>
  </si>
  <si>
    <t xml:space="preserve">Cantine INRAE</t>
  </si>
  <si>
    <t xml:space="preserve">La Table d'Auzeville</t>
  </si>
  <si>
    <t xml:space="preserve">35 Chemin de l'Église</t>
  </si>
  <si>
    <t xml:space="preserve">05 61 13 42 30</t>
  </si>
  <si>
    <t xml:space="preserve">http://www.la-table-dauzeville.fr/</t>
  </si>
  <si>
    <t xml:space="preserve">We-Sa 12:00-13:30, 19:30-21:30; Su 12:00-13:30</t>
  </si>
  <si>
    <t xml:space="preserve">Resto U' Ensat</t>
  </si>
  <si>
    <t xml:space="preserve">https://www.crous-toulouse.fr/restaurant/resto-u-ensat/</t>
  </si>
  <si>
    <t xml:space="preserve">Avitar</t>
  </si>
  <si>
    <t xml:space="preserve">Route de Lavaur</t>
  </si>
  <si>
    <t xml:space="preserve">Montrabé</t>
  </si>
  <si>
    <t xml:space="preserve">Tu-Sa 12:00-13:30,20:00-21:30</t>
  </si>
  <si>
    <t xml:space="preserve">l'Aparté</t>
  </si>
  <si>
    <t xml:space="preserve">L'instant</t>
  </si>
  <si>
    <t xml:space="preserve">13/14 Chemin du Logis Vieux</t>
  </si>
  <si>
    <t xml:space="preserve">31850</t>
  </si>
  <si>
    <t xml:space="preserve">https://restaurant-linstant.fr/</t>
  </si>
  <si>
    <t xml:space="preserve">Mo-Fr 19:00-23:00</t>
  </si>
  <si>
    <t xml:space="preserve">Montastruc-la-Conseillère</t>
  </si>
  <si>
    <t xml:space="preserve">05 34 28 04 84</t>
  </si>
  <si>
    <t xml:space="preserve">La Teurgoule</t>
  </si>
  <si>
    <t xml:space="preserve">05 61 84 41 80</t>
  </si>
  <si>
    <t xml:space="preserve">2 Chemin de la Vieille Côte</t>
  </si>
  <si>
    <t xml:space="preserve">Seilh</t>
  </si>
  <si>
    <t xml:space="preserve">09 55 19 06 65</t>
  </si>
  <si>
    <t xml:space="preserve">https://beyrouth.eatbu.com</t>
  </si>
  <si>
    <t xml:space="preserve">Chez le Belge une fois</t>
  </si>
  <si>
    <t xml:space="preserve">Chez Nelly</t>
  </si>
  <si>
    <t xml:space="preserve">Giovanni Pizza</t>
  </si>
  <si>
    <t xml:space="preserve">05 32 58 73 49</t>
  </si>
  <si>
    <t xml:space="preserve">Les Tricheries</t>
  </si>
  <si>
    <t xml:space="preserve">Relais des Banlieusards</t>
  </si>
  <si>
    <t xml:space="preserve">Brasserie de l'Église</t>
  </si>
  <si>
    <t xml:space="preserve">Montberon</t>
  </si>
  <si>
    <t xml:space="preserve">Family Fourchette</t>
  </si>
  <si>
    <t xml:space="preserve">Lapeyrouse-Fossat</t>
  </si>
  <si>
    <t xml:space="preserve">62e avenue</t>
  </si>
  <si>
    <t xml:space="preserve">Burger, Pizza</t>
  </si>
  <si>
    <t xml:space="preserve">77 Rue d'Andorre</t>
  </si>
  <si>
    <t xml:space="preserve">Pinsaguel</t>
  </si>
  <si>
    <t xml:space="preserve">05 32 10 62 62</t>
  </si>
  <si>
    <t xml:space="preserve">Ali Sushi</t>
  </si>
  <si>
    <t xml:space="preserve">KB9</t>
  </si>
  <si>
    <t xml:space="preserve">Kebab, Pizza, Burger</t>
  </si>
  <si>
    <t xml:space="preserve">L'île de Phuket</t>
  </si>
  <si>
    <t xml:space="preserve">We-Sa 18:00-02:00, Su 14:00-23:00; Mo-Tu closed; PH unknown</t>
  </si>
  <si>
    <t xml:space="preserve">Le Gentiane</t>
  </si>
  <si>
    <t xml:space="preserve">Le Pescofi</t>
  </si>
  <si>
    <t xml:space="preserve">Monsieur Jules</t>
  </si>
  <si>
    <t xml:space="preserve">79 Rue d'Andorre</t>
  </si>
  <si>
    <t xml:space="preserve">Yim Thaï</t>
  </si>
  <si>
    <t xml:space="preserve">Le Bistrot des Canailles</t>
  </si>
  <si>
    <t xml:space="preserve">Daux</t>
  </si>
  <si>
    <t xml:space="preserve">Le Bellevue</t>
  </si>
  <si>
    <t xml:space="preserve">10 Rue Principale</t>
  </si>
  <si>
    <t xml:space="preserve">31180</t>
  </si>
  <si>
    <t xml:space="preserve">Saint-Geniès-Bellevue</t>
  </si>
  <si>
    <t xml:space="preserve">06 50 48 41 56</t>
  </si>
  <si>
    <t xml:space="preserve">Mo-Tu, Th-Fr 06:30-20:00; Sa 08:30-20:00; Su 08:30-19:00</t>
  </si>
  <si>
    <t xml:space="preserve">Pizzeria Beau Soleil</t>
  </si>
  <si>
    <t xml:space="preserve">Rue Principale</t>
  </si>
  <si>
    <t xml:space="preserve">06 70 06 42 42</t>
  </si>
  <si>
    <t xml:space="preserve">https://pizzeria-beau-soleil.netlify.app/</t>
  </si>
  <si>
    <t xml:space="preserve">Fr-Su 18:00-20:30</t>
  </si>
  <si>
    <t xml:space="preserve">La Cuisine de Dany</t>
  </si>
  <si>
    <t xml:space="preserve">1 Place du Pastel</t>
  </si>
  <si>
    <t xml:space="preserve">31570</t>
  </si>
  <si>
    <t xml:space="preserve">Sainte-Foy-d'Aigrefeuille</t>
  </si>
  <si>
    <t xml:space="preserve">05 61 17 90 45</t>
  </si>
  <si>
    <t xml:space="preserve">https://www.lacuisinededany.fr</t>
  </si>
  <si>
    <t xml:space="preserve">Mo 11:00-14:00; Tu-Th 11:00-14:00,18:00-20:30; Fr 11:00-14:00,18:00-21:00; Sa,Su off</t>
  </si>
  <si>
    <t xml:space="preserve">Le Paille en Queue</t>
  </si>
  <si>
    <t xml:space="preserve">2 Avenue Pierre-Georges Latécoère</t>
  </si>
  <si>
    <t xml:space="preserve">31480</t>
  </si>
  <si>
    <t xml:space="preserve">05 62 18 04 33</t>
  </si>
  <si>
    <t xml:space="preserve">https://www.restaurant-le-paille-en-queue.fr/</t>
  </si>
  <si>
    <t xml:space="preserve">Mo-Fr 12:00-14:00; Sa 19:00-22:00; Su off</t>
  </si>
  <si>
    <t xml:space="preserve">Le Palmier</t>
  </si>
  <si>
    <t xml:space="preserve">Saubens</t>
  </si>
  <si>
    <t xml:space="preserve">L'endroit</t>
  </si>
  <si>
    <t xml:space="preserve">Gragnague</t>
  </si>
  <si>
    <t xml:space="preserve">La Gragnaguette</t>
  </si>
  <si>
    <t xml:space="preserve">L'atelier Pizzeria fine</t>
  </si>
  <si>
    <t xml:space="preserve">Pompertuzat</t>
  </si>
  <si>
    <t xml:space="preserve">Pizza Yoyo</t>
  </si>
  <si>
    <t xml:space="preserve">Le Kabestan</t>
  </si>
  <si>
    <t xml:space="preserve">Flourens</t>
  </si>
  <si>
    <t xml:space="preserve">https://www.lekabestan.fr</t>
  </si>
  <si>
    <t xml:space="preserve">Mo-Su 12:00-14:30; Su-Fri 19:00-22:00; Fri-Sat 19:00-22:30;</t>
  </si>
  <si>
    <t xml:space="preserve">Lacroix-Falgarde</t>
  </si>
  <si>
    <t xml:space="preserve">05 61 76 94 97</t>
  </si>
  <si>
    <t xml:space="preserve">https://restaurant-lebellevue.com</t>
  </si>
  <si>
    <t xml:space="preserve">Mo,Th,Fr,Sa 09:00-22:00; Su 10:00-15:00</t>
  </si>
  <si>
    <t xml:space="preserve">Phô Bambou</t>
  </si>
  <si>
    <t xml:space="preserve">Verte Campagne</t>
  </si>
  <si>
    <t xml:space="preserve">Etienne Coffee and Shop</t>
  </si>
  <si>
    <t xml:space="preserve">Rouffiac-Tolosan</t>
  </si>
  <si>
    <t xml:space="preserve">Ô Saveurs</t>
  </si>
  <si>
    <t xml:space="preserve">Creative</t>
  </si>
  <si>
    <t xml:space="preserve">05 34 27 10 11</t>
  </si>
  <si>
    <t xml:space="preserve">https://o-saveurs.com/</t>
  </si>
  <si>
    <t xml:space="preserve">Tu-Fr 12:00-14:00,19:30-21:30;Sa 19:30-22:00;Su 12:00-14:00</t>
  </si>
  <si>
    <t xml:space="preserve">Le Club</t>
  </si>
  <si>
    <t xml:space="preserve">Garidech</t>
  </si>
  <si>
    <t xml:space="preserve">05 61 84 20 23</t>
  </si>
  <si>
    <t xml:space="preserve">https://www.leclubchampetre.com/</t>
  </si>
  <si>
    <t xml:space="preserve">Tu-Fr 12:00-13:45,20:00-21:30; Sa 20:00-21:30; Su 12:00-13:45</t>
  </si>
  <si>
    <t xml:space="preserve">Les Barrologues</t>
  </si>
  <si>
    <t xml:space="preserve">Péruvienne, Japonaise</t>
  </si>
  <si>
    <t xml:space="preserve">300 Allée des Barrots</t>
  </si>
  <si>
    <t xml:space="preserve">31450</t>
  </si>
  <si>
    <t xml:space="preserve">Montlaur</t>
  </si>
  <si>
    <t xml:space="preserve">05 32 09 73 73</t>
  </si>
  <si>
    <t xml:space="preserve">https://www.lesbarrologues.fr/</t>
  </si>
  <si>
    <t xml:space="preserve">We-Sa 12:00-13:45,19:00-22:00</t>
  </si>
  <si>
    <t xml:space="preserve">La Boîte Aux Galettes</t>
  </si>
  <si>
    <t xml:space="preserve">Auzielle</t>
  </si>
  <si>
    <t xml:space="preserve">05 61 39 25 10</t>
  </si>
  <si>
    <t xml:space="preserve">Mo,Su off; Tu-Th 07:00-19:00; Fr-Sa 07:00-23:00</t>
  </si>
  <si>
    <t xml:space="preserve">Au Goût des Autres</t>
  </si>
  <si>
    <t xml:space="preserve">3 Rue de Pierregrat</t>
  </si>
  <si>
    <t xml:space="preserve">Belberaud</t>
  </si>
  <si>
    <t xml:space="preserve">05 61 54 53 64</t>
  </si>
  <si>
    <t xml:space="preserve">https://www.restaurantaugoutdesautres.fr/</t>
  </si>
  <si>
    <t xml:space="preserve">We, Fr-Sa 12:00-15:00, 19:30-23:00; Th 12:00-15:00</t>
  </si>
  <si>
    <t xml:space="preserve">Le Mas</t>
  </si>
  <si>
    <t xml:space="preserve">24 Chemin des Sports</t>
  </si>
  <si>
    <t xml:space="preserve">https://www.le-mas-restaurant-toulouse.com</t>
  </si>
  <si>
    <t xml:space="preserve">Brioche Dorée</t>
  </si>
  <si>
    <t xml:space="preserve">Deyme</t>
  </si>
  <si>
    <t xml:space="preserve">Crep'Eat</t>
  </si>
  <si>
    <t xml:space="preserve">Les violettes</t>
  </si>
  <si>
    <t xml:space="preserve">Mas y mas</t>
  </si>
  <si>
    <t xml:space="preserve">www.lemasymas.com</t>
  </si>
  <si>
    <t xml:space="preserve">Mezzoday</t>
  </si>
  <si>
    <t xml:space="preserve">La Yaya</t>
  </si>
  <si>
    <t xml:space="preserve">Odars</t>
  </si>
  <si>
    <t xml:space="preserve">Auberge de la Forge</t>
  </si>
  <si>
    <t xml:space="preserve">Lavalette</t>
  </si>
  <si>
    <t xml:space="preserve">https://laubergedelaforge.com/</t>
  </si>
  <si>
    <t xml:space="preserve">MetSaveurs</t>
  </si>
  <si>
    <t xml:space="preserve">84 Chemin des Landes</t>
  </si>
  <si>
    <t xml:space="preserve">Mondouzil</t>
  </si>
  <si>
    <t xml:space="preserve">Mo, We 12:00-14:00; Th-Sa 12:00-14:00, 18:30-20:30</t>
  </si>
  <si>
    <t xml:space="preserve">Synthèse de la prospection - Toulouse et périphérie (5 km)</t>
  </si>
  <si>
    <t xml:space="preserve">Les compteurs se mettent à jour automatiquement à partir de la feuille Prospection.</t>
  </si>
  <si>
    <t xml:space="preserve">Nombre</t>
  </si>
  <si>
    <t xml:space="preserve">Part</t>
  </si>
  <si>
    <t xml:space="preserve">Contacté</t>
  </si>
  <si>
    <t xml:space="preserve">RDV pris</t>
  </si>
  <si>
    <t xml:space="preserve">Devis envoyé</t>
  </si>
  <si>
    <t xml:space="preserve">Client</t>
  </si>
  <si>
    <t xml:space="preserve">Pas intéressé</t>
  </si>
  <si>
    <t xml:space="preserve">À relancer</t>
  </si>
  <si>
    <t xml:space="preserve">Total des fiches</t>
  </si>
  <si>
    <t xml:space="preserve">Fiches traitées (statut différent de « À contacter »)</t>
  </si>
  <si>
    <t xml:space="preserve">Taux de transformation (clients / fiches traitées)</t>
  </si>
  <si>
    <t xml:space="preserve">Fiches en attente (RDV, devis, relance)</t>
  </si>
  <si>
    <t xml:space="preserve">Données disponibles</t>
  </si>
  <si>
    <t xml:space="preserve">Fiches avec téléphone</t>
  </si>
  <si>
    <t xml:space="preserve">Fiches avec adresse</t>
  </si>
  <si>
    <t xml:space="preserve">Fiches avec site web</t>
  </si>
  <si>
    <t xml:space="preserve">Fiches avec horaires</t>
  </si>
  <si>
    <t xml:space="preserve">Fiches avec type de cuisine</t>
  </si>
  <si>
    <t xml:space="preserve">Fiches</t>
  </si>
  <si>
    <t xml:space="preserve">Traitées</t>
  </si>
  <si>
    <t xml:space="preserve">Clients</t>
  </si>
  <si>
    <t xml:space="preserve">Total</t>
  </si>
  <si>
    <t xml:space="preserve">Type de cuisine (20 plus fréquents)</t>
  </si>
  <si>
    <t xml:space="preserve">Une fiche avec plusieurs types de cuisine est comptée dans chacun d'eux.</t>
  </si>
  <si>
    <t xml:space="preserve">Mode d'emploi du fichier de prospection</t>
  </si>
  <si>
    <t xml:space="preserve">Objet</t>
  </si>
  <si>
    <t xml:space="preserve">Suivi de la prospection commerciale des restaurants : Toulouse et périphérie (5 km). Une ligne par établissement, avec les colonnes de suivi à compléter au fil des contacts.</t>
  </si>
  <si>
    <t xml:space="preserve">Source des données</t>
  </si>
  <si>
    <t xml:space="preserve">Liste extraite d'OpenStreetMap (API Overpass) le 30/09/2026 avec le script lister_restaurants.py. 1435 établissements listés, 5 doublons retirés (même commune, même nom et même téléphone ou adresse), 1430 fiches conservées, 59 communes.</t>
  </si>
  <si>
    <t xml:space="preserve">Fiabilité</t>
  </si>
  <si>
    <t xml:space="preserve">Les données OpenStreetMap sont contributives : certains établissements n'ont pas de téléphone ou d'adresse, d'autres ont pu fermer. Vérifiez la fiche (liens « Voir la carte » et « Ouvrir ») avant tout démarchage.</t>
  </si>
  <si>
    <t xml:space="preserve">Colonnes A à I</t>
  </si>
  <si>
    <t xml:space="preserve">Données de l'établissement : numéro, nom, type de cuisine (traduit des catégories OpenStreetMap), adresse, code postal, commune, téléphone au format français, site web (cliquable), horaires (notation OpenStreetMap : Mo-Fr 12:00-14:00 = du lundi au vendredi de 12 h à 14 h). Vous pouvez les corriger si besoin.</t>
  </si>
  <si>
    <t xml:space="preserve">Colonnes J à O (fond jaune)</t>
  </si>
  <si>
    <t xml:space="preserve">Colonnes de suivi à remplir : Statut (liste déroulante), Date 1er contact, Interlocuteur, Prochaine action, Date de relance, Commentaires. Les dates se saisissent au format JJ/MM/AAAA.</t>
  </si>
  <si>
    <t xml:space="preserve">Colonnes P et Q</t>
  </si>
  <si>
    <t xml:space="preserve">Liens automatiques : position exacte sur Google Maps, et fiche OpenStreetMap de l'établissement.</t>
  </si>
  <si>
    <t xml:space="preserve">Statuts</t>
  </si>
  <si>
    <t xml:space="preserve">À contacter · Contacté · RDV pris · Devis envoyé · Client · Pas intéressé · À relancer. Le statut colore la cellule ; la feuille Synthèse compte les fiches par statut, par commune (avec fiches traitées et clients) et par type de cuisine.</t>
  </si>
  <si>
    <t xml:space="preserve">Filtres</t>
  </si>
  <si>
    <t xml:space="preserve">Les en-têtes de la feuille Prospection ont des filtres : filtrez par commune ou par type de cuisine, triez par date de relance pour préparer vos appels.</t>
  </si>
  <si>
    <t xml:space="preserve">Mettre à jour</t>
  </si>
  <si>
    <t xml:space="preserve">Régénérer le CSV : python3 lister_restaurants.py --peripherie --format csv --sortie export.csv, puis ce classeur : python3 prospection_xlsx.py export.csv prospection.xlsx</t>
  </si>
  <si>
    <t xml:space="preserve">Exemple de ligne remplie</t>
  </si>
  <si>
    <t xml:space="preserve">Chez Exemple (fictif)</t>
  </si>
  <si>
    <t xml:space="preserve">1 Rue de l'Exemple</t>
  </si>
  <si>
    <t xml:space="preserve">05 61 00 00 00</t>
  </si>
  <si>
    <t xml:space="preserve">https://exemple.fr</t>
  </si>
  <si>
    <t xml:space="preserve">02/10/2026</t>
  </si>
  <si>
    <t xml:space="preserve">Mme Martin, gérante</t>
  </si>
  <si>
    <t xml:space="preserve">Présenter l'offre en rendez-vous</t>
  </si>
  <si>
    <t xml:space="preserve">09/10/2026</t>
  </si>
  <si>
    <t xml:space="preserve">Intéressée par une démonstration, préfère être appelée le matin</t>
  </si>
  <si>
    <t xml:space="preserve">Ligne d'exemple fictive : elle n'est pas dans la feuille Prospection.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</si>
</sst>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%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595959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833C0B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78"/>
        <sz val="10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57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B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43.5985793,1.4363977" TargetMode="External"/><Relationship Id="rId2" Type="http://schemas.openxmlformats.org/officeDocument/2006/relationships/hyperlink" Target="https://www.openstreetmap.org/node/2009003687" TargetMode="External"/><Relationship Id="rId3" Type="http://schemas.openxmlformats.org/officeDocument/2006/relationships/hyperlink" Target="https://www.google.com/maps/search/?api=1&amp;query=43.6157772,1.4739999" TargetMode="External"/><Relationship Id="rId4" Type="http://schemas.openxmlformats.org/officeDocument/2006/relationships/hyperlink" Target="https://www.openstreetmap.org/node/12137922156" TargetMode="External"/><Relationship Id="rId5" Type="http://schemas.openxmlformats.org/officeDocument/2006/relationships/hyperlink" Target="https://www.google.com/maps/search/?api=1&amp;query=43.5860392,1.4643352" TargetMode="External"/><Relationship Id="rId6" Type="http://schemas.openxmlformats.org/officeDocument/2006/relationships/hyperlink" Target="https://www.openstreetmap.org/way/74996374" TargetMode="External"/><Relationship Id="rId7" Type="http://schemas.openxmlformats.org/officeDocument/2006/relationships/hyperlink" Target="https://www.google.com/maps/search/?api=1&amp;query=43.6009066,1.4432996" TargetMode="External"/><Relationship Id="rId8" Type="http://schemas.openxmlformats.org/officeDocument/2006/relationships/hyperlink" Target="https://www.openstreetmap.org/node/11137755905" TargetMode="External"/><Relationship Id="rId9" Type="http://schemas.openxmlformats.org/officeDocument/2006/relationships/hyperlink" Target="https://www.google.com/maps/search/?api=1&amp;query=43.5988989,1.4327583" TargetMode="External"/><Relationship Id="rId10" Type="http://schemas.openxmlformats.org/officeDocument/2006/relationships/hyperlink" Target="https://www.openstreetmap.org/node/768592071" TargetMode="External"/><Relationship Id="rId11" Type="http://schemas.openxmlformats.org/officeDocument/2006/relationships/hyperlink" Target="https://www.abuelorestaurant.fr/" TargetMode="External"/><Relationship Id="rId12" Type="http://schemas.openxmlformats.org/officeDocument/2006/relationships/hyperlink" Target="https://www.google.com/maps/search/?api=1&amp;query=43.6033717,1.4067923" TargetMode="External"/><Relationship Id="rId13" Type="http://schemas.openxmlformats.org/officeDocument/2006/relationships/hyperlink" Target="https://www.openstreetmap.org/node/6841189507" TargetMode="External"/><Relationship Id="rId14" Type="http://schemas.openxmlformats.org/officeDocument/2006/relationships/hyperlink" Target="https://restaurant-ethiopien-toulouse.eatbu.com/?lang=fr" TargetMode="External"/><Relationship Id="rId15" Type="http://schemas.openxmlformats.org/officeDocument/2006/relationships/hyperlink" Target="https://www.google.com/maps/search/?api=1&amp;query=43.6069205,1.4527277" TargetMode="External"/><Relationship Id="rId16" Type="http://schemas.openxmlformats.org/officeDocument/2006/relationships/hyperlink" Target="https://www.openstreetmap.org/node/7468452180" TargetMode="External"/><Relationship Id="rId17" Type="http://schemas.openxmlformats.org/officeDocument/2006/relationships/hyperlink" Target="https://yannickdelpech-acte2.fr/" TargetMode="External"/><Relationship Id="rId18" Type="http://schemas.openxmlformats.org/officeDocument/2006/relationships/hyperlink" Target="https://www.google.com/maps/search/?api=1&amp;query=43.5932153,1.4605557" TargetMode="External"/><Relationship Id="rId19" Type="http://schemas.openxmlformats.org/officeDocument/2006/relationships/hyperlink" Target="https://www.openstreetmap.org/node/13068078672" TargetMode="External"/><Relationship Id="rId20" Type="http://schemas.openxmlformats.org/officeDocument/2006/relationships/hyperlink" Target="https://adana-grill-toulouse.fr/" TargetMode="External"/><Relationship Id="rId21" Type="http://schemas.openxmlformats.org/officeDocument/2006/relationships/hyperlink" Target="https://www.google.com/maps/search/?api=1&amp;query=43.5548281,1.4045215" TargetMode="External"/><Relationship Id="rId22" Type="http://schemas.openxmlformats.org/officeDocument/2006/relationships/hyperlink" Target="https://www.openstreetmap.org/node/9457739471" TargetMode="External"/><Relationship Id="rId23" Type="http://schemas.openxmlformats.org/officeDocument/2006/relationships/hyperlink" Target="https://www.google.com/maps/search/?api=1&amp;query=43.5987322,1.4428284" TargetMode="External"/><Relationship Id="rId24" Type="http://schemas.openxmlformats.org/officeDocument/2006/relationships/hyperlink" Target="https://www.openstreetmap.org/node/6000879607" TargetMode="External"/><Relationship Id="rId25" Type="http://schemas.openxmlformats.org/officeDocument/2006/relationships/hyperlink" Target="https://www.agapes-toulouse.fr/" TargetMode="External"/><Relationship Id="rId26" Type="http://schemas.openxmlformats.org/officeDocument/2006/relationships/hyperlink" Target="https://www.google.com/maps/search/?api=1&amp;query=43.6047727,1.4509507" TargetMode="External"/><Relationship Id="rId27" Type="http://schemas.openxmlformats.org/officeDocument/2006/relationships/hyperlink" Target="https://www.openstreetmap.org/node/1668955924" TargetMode="External"/><Relationship Id="rId28" Type="http://schemas.openxmlformats.org/officeDocument/2006/relationships/hyperlink" Target="https://www.google.com/maps/search/?api=1&amp;query=43.5693474,1.5001191" TargetMode="External"/><Relationship Id="rId29" Type="http://schemas.openxmlformats.org/officeDocument/2006/relationships/hyperlink" Target="https://www.openstreetmap.org/node/884419231" TargetMode="External"/><Relationship Id="rId30" Type="http://schemas.openxmlformats.org/officeDocument/2006/relationships/hyperlink" Target="https://www.aikobistrot.com/" TargetMode="External"/><Relationship Id="rId31" Type="http://schemas.openxmlformats.org/officeDocument/2006/relationships/hyperlink" Target="https://www.google.com/maps/search/?api=1&amp;query=43.6054001,1.4418762" TargetMode="External"/><Relationship Id="rId32" Type="http://schemas.openxmlformats.org/officeDocument/2006/relationships/hyperlink" Target="https://www.openstreetmap.org/node/2446506381" TargetMode="External"/><Relationship Id="rId33" Type="http://schemas.openxmlformats.org/officeDocument/2006/relationships/hyperlink" Target="https://www.google.com/maps/search/?api=1&amp;query=43.6024958,1.4412894" TargetMode="External"/><Relationship Id="rId34" Type="http://schemas.openxmlformats.org/officeDocument/2006/relationships/hyperlink" Target="https://www.openstreetmap.org/node/772666635" TargetMode="External"/><Relationship Id="rId35" Type="http://schemas.openxmlformats.org/officeDocument/2006/relationships/hyperlink" Target="https://www.alice-pizza.net/" TargetMode="External"/><Relationship Id="rId36" Type="http://schemas.openxmlformats.org/officeDocument/2006/relationships/hyperlink" Target="https://www.google.com/maps/search/?api=1&amp;query=43.5579415,1.3682703" TargetMode="External"/><Relationship Id="rId37" Type="http://schemas.openxmlformats.org/officeDocument/2006/relationships/hyperlink" Target="https://www.openstreetmap.org/way/74241484" TargetMode="External"/><Relationship Id="rId38" Type="http://schemas.openxmlformats.org/officeDocument/2006/relationships/hyperlink" Target="https://amore-mia.fr/" TargetMode="External"/><Relationship Id="rId39" Type="http://schemas.openxmlformats.org/officeDocument/2006/relationships/hyperlink" Target="https://www.google.com/maps/search/?api=1&amp;query=43.6016198,1.445061" TargetMode="External"/><Relationship Id="rId40" Type="http://schemas.openxmlformats.org/officeDocument/2006/relationships/hyperlink" Target="https://www.openstreetmap.org/node/2465994066" TargetMode="External"/><Relationship Id="rId41" Type="http://schemas.openxmlformats.org/officeDocument/2006/relationships/hyperlink" Target="https://www.google.com/maps/search/?api=1&amp;query=43.6052613,1.4422525" TargetMode="External"/><Relationship Id="rId42" Type="http://schemas.openxmlformats.org/officeDocument/2006/relationships/hyperlink" Target="https://www.openstreetmap.org/node/2445585725" TargetMode="External"/><Relationship Id="rId43" Type="http://schemas.openxmlformats.org/officeDocument/2006/relationships/hyperlink" Target="https://andiamo-toulouse.eatbu.com/" TargetMode="External"/><Relationship Id="rId44" Type="http://schemas.openxmlformats.org/officeDocument/2006/relationships/hyperlink" Target="https://www.google.com/maps/search/?api=1&amp;query=43.6056532,1.4283488" TargetMode="External"/><Relationship Id="rId45" Type="http://schemas.openxmlformats.org/officeDocument/2006/relationships/hyperlink" Target="https://www.openstreetmap.org/node/704776681" TargetMode="External"/><Relationship Id="rId46" Type="http://schemas.openxmlformats.org/officeDocument/2006/relationships/hyperlink" Target="https://an-dochine.fr/" TargetMode="External"/><Relationship Id="rId47" Type="http://schemas.openxmlformats.org/officeDocument/2006/relationships/hyperlink" Target="https://www.google.com/maps/search/?api=1&amp;query=43.5978372,1.4434693" TargetMode="External"/><Relationship Id="rId48" Type="http://schemas.openxmlformats.org/officeDocument/2006/relationships/hyperlink" Target="https://www.openstreetmap.org/node/7678080743" TargetMode="External"/><Relationship Id="rId49" Type="http://schemas.openxmlformats.org/officeDocument/2006/relationships/hyperlink" Target="https://www.google.com/maps/search/?api=1&amp;query=43.5971379,1.4310279" TargetMode="External"/><Relationship Id="rId50" Type="http://schemas.openxmlformats.org/officeDocument/2006/relationships/hyperlink" Target="https://www.openstreetmap.org/node/13088931895" TargetMode="External"/><Relationship Id="rId51" Type="http://schemas.openxmlformats.org/officeDocument/2006/relationships/hyperlink" Target="https://www.google.com/maps/search/?api=1&amp;query=43.5998361,1.4470679" TargetMode="External"/><Relationship Id="rId52" Type="http://schemas.openxmlformats.org/officeDocument/2006/relationships/hyperlink" Target="https://www.openstreetmap.org/node/2994919618" TargetMode="External"/><Relationship Id="rId53" Type="http://schemas.openxmlformats.org/officeDocument/2006/relationships/hyperlink" Target="https://www.google.com/maps/search/?api=1&amp;query=43.6044565,1.4056292" TargetMode="External"/><Relationship Id="rId54" Type="http://schemas.openxmlformats.org/officeDocument/2006/relationships/hyperlink" Target="https://www.openstreetmap.org/node/4429455932" TargetMode="External"/><Relationship Id="rId55" Type="http://schemas.openxmlformats.org/officeDocument/2006/relationships/hyperlink" Target="https://www.google.com/maps/search/?api=1&amp;query=43.6078176,1.4524009" TargetMode="External"/><Relationship Id="rId56" Type="http://schemas.openxmlformats.org/officeDocument/2006/relationships/hyperlink" Target="https://www.openstreetmap.org/node/13326023260" TargetMode="External"/><Relationship Id="rId57" Type="http://schemas.openxmlformats.org/officeDocument/2006/relationships/hyperlink" Target="https://www.google.com/maps/search/?api=1&amp;query=43.666295,1.4299943" TargetMode="External"/><Relationship Id="rId58" Type="http://schemas.openxmlformats.org/officeDocument/2006/relationships/hyperlink" Target="https://www.openstreetmap.org/node/1367582913" TargetMode="External"/><Relationship Id="rId59" Type="http://schemas.openxmlformats.org/officeDocument/2006/relationships/hyperlink" Target="https://www.google.com/maps/search/?api=1&amp;query=43.6207663,1.4354822" TargetMode="External"/><Relationship Id="rId60" Type="http://schemas.openxmlformats.org/officeDocument/2006/relationships/hyperlink" Target="https://www.openstreetmap.org/node/2339916121" TargetMode="External"/><Relationship Id="rId61" Type="http://schemas.openxmlformats.org/officeDocument/2006/relationships/hyperlink" Target="https://www.google.com/maps/search/?api=1&amp;query=43.6094253,1.44911" TargetMode="External"/><Relationship Id="rId62" Type="http://schemas.openxmlformats.org/officeDocument/2006/relationships/hyperlink" Target="https://www.openstreetmap.org/node/9959849652" TargetMode="External"/><Relationship Id="rId63" Type="http://schemas.openxmlformats.org/officeDocument/2006/relationships/hyperlink" Target="https://fr-fr.facebook.com/Au-Bon-Graillou-157630230940966/" TargetMode="External"/><Relationship Id="rId64" Type="http://schemas.openxmlformats.org/officeDocument/2006/relationships/hyperlink" Target="https://www.google.com/maps/search/?api=1&amp;query=43.6069334,1.4464537" TargetMode="External"/><Relationship Id="rId65" Type="http://schemas.openxmlformats.org/officeDocument/2006/relationships/hyperlink" Target="https://www.openstreetmap.org/node/917430921" TargetMode="External"/><Relationship Id="rId66" Type="http://schemas.openxmlformats.org/officeDocument/2006/relationships/hyperlink" Target="https://www.auburon.fr/" TargetMode="External"/><Relationship Id="rId67" Type="http://schemas.openxmlformats.org/officeDocument/2006/relationships/hyperlink" Target="https://www.google.com/maps/search/?api=1&amp;query=43.6078149,1.4385685" TargetMode="External"/><Relationship Id="rId68" Type="http://schemas.openxmlformats.org/officeDocument/2006/relationships/hyperlink" Target="https://www.openstreetmap.org/node/1976765780" TargetMode="External"/><Relationship Id="rId69" Type="http://schemas.openxmlformats.org/officeDocument/2006/relationships/hyperlink" Target="https://www.google.com/maps/search/?api=1&amp;query=43.5995433,1.4542075" TargetMode="External"/><Relationship Id="rId70" Type="http://schemas.openxmlformats.org/officeDocument/2006/relationships/hyperlink" Target="https://www.openstreetmap.org/node/12273511833" TargetMode="External"/><Relationship Id="rId71" Type="http://schemas.openxmlformats.org/officeDocument/2006/relationships/hyperlink" Target="https://www.google.com/maps/search/?api=1&amp;query=43.6167441,1.4372477" TargetMode="External"/><Relationship Id="rId72" Type="http://schemas.openxmlformats.org/officeDocument/2006/relationships/hyperlink" Target="https://www.openstreetmap.org/node/4285279605" TargetMode="External"/><Relationship Id="rId73" Type="http://schemas.openxmlformats.org/officeDocument/2006/relationships/hyperlink" Target="https://www.google.com/maps/search/?api=1&amp;query=43.5957051,1.4326633" TargetMode="External"/><Relationship Id="rId74" Type="http://schemas.openxmlformats.org/officeDocument/2006/relationships/hyperlink" Target="https://www.openstreetmap.org/node/13342722934" TargetMode="External"/><Relationship Id="rId75" Type="http://schemas.openxmlformats.org/officeDocument/2006/relationships/hyperlink" Target="https://www.restaurant-augascon-toulouse.fr/" TargetMode="External"/><Relationship Id="rId76" Type="http://schemas.openxmlformats.org/officeDocument/2006/relationships/hyperlink" Target="https://www.google.com/maps/search/?api=1&amp;query=43.6041874,1.4415887" TargetMode="External"/><Relationship Id="rId77" Type="http://schemas.openxmlformats.org/officeDocument/2006/relationships/hyperlink" Target="https://www.openstreetmap.org/node/2465993954" TargetMode="External"/><Relationship Id="rId78" Type="http://schemas.openxmlformats.org/officeDocument/2006/relationships/hyperlink" Target="https://au-gourmet-vietnam.eatbu.com/" TargetMode="External"/><Relationship Id="rId79" Type="http://schemas.openxmlformats.org/officeDocument/2006/relationships/hyperlink" Target="https://www.google.com/maps/search/?api=1&amp;query=43.6025092,1.4514772" TargetMode="External"/><Relationship Id="rId80" Type="http://schemas.openxmlformats.org/officeDocument/2006/relationships/hyperlink" Target="https://www.openstreetmap.org/node/7757149066" TargetMode="External"/><Relationship Id="rId81" Type="http://schemas.openxmlformats.org/officeDocument/2006/relationships/hyperlink" Target="https://www.google.com/maps/search/?api=1&amp;query=43.6023893,1.4476792" TargetMode="External"/><Relationship Id="rId82" Type="http://schemas.openxmlformats.org/officeDocument/2006/relationships/hyperlink" Target="https://www.openstreetmap.org/node/10072904623" TargetMode="External"/><Relationship Id="rId83" Type="http://schemas.openxmlformats.org/officeDocument/2006/relationships/hyperlink" Target="https://pois-gourmand.fr/" TargetMode="External"/><Relationship Id="rId84" Type="http://schemas.openxmlformats.org/officeDocument/2006/relationships/hyperlink" Target="https://www.google.com/maps/search/?api=1&amp;query=43.609075,1.4096475" TargetMode="External"/><Relationship Id="rId85" Type="http://schemas.openxmlformats.org/officeDocument/2006/relationships/hyperlink" Target="https://www.openstreetmap.org/way/231992755" TargetMode="External"/><Relationship Id="rId86" Type="http://schemas.openxmlformats.org/officeDocument/2006/relationships/hyperlink" Target="http://www.auvieuxpekin.fr/" TargetMode="External"/><Relationship Id="rId87" Type="http://schemas.openxmlformats.org/officeDocument/2006/relationships/hyperlink" Target="https://www.google.com/maps/search/?api=1&amp;query=43.6248311,1.4343653" TargetMode="External"/><Relationship Id="rId88" Type="http://schemas.openxmlformats.org/officeDocument/2006/relationships/hyperlink" Target="https://www.openstreetmap.org/node/4418074215" TargetMode="External"/><Relationship Id="rId89" Type="http://schemas.openxmlformats.org/officeDocument/2006/relationships/hyperlink" Target="https://autour-de-pizz.metro.rest/" TargetMode="External"/><Relationship Id="rId90" Type="http://schemas.openxmlformats.org/officeDocument/2006/relationships/hyperlink" Target="https://www.google.com/maps/search/?api=1&amp;query=43.5969005,1.4832799" TargetMode="External"/><Relationship Id="rId91" Type="http://schemas.openxmlformats.org/officeDocument/2006/relationships/hyperlink" Target="https://www.openstreetmap.org/node/12110354861" TargetMode="External"/><Relationship Id="rId92" Type="http://schemas.openxmlformats.org/officeDocument/2006/relationships/hyperlink" Target="https://www.google.com/maps/search/?api=1&amp;query=43.5904143,1.3807275" TargetMode="External"/><Relationship Id="rId93" Type="http://schemas.openxmlformats.org/officeDocument/2006/relationships/hyperlink" Target="https://www.openstreetmap.org/node/2679141682" TargetMode="External"/><Relationship Id="rId94" Type="http://schemas.openxmlformats.org/officeDocument/2006/relationships/hyperlink" Target="https://www.google.com/maps/search/?api=1&amp;query=43.5535381,1.3972884" TargetMode="External"/><Relationship Id="rId95" Type="http://schemas.openxmlformats.org/officeDocument/2006/relationships/hyperlink" Target="https://www.openstreetmap.org/node/6443273787" TargetMode="External"/><Relationship Id="rId96" Type="http://schemas.openxmlformats.org/officeDocument/2006/relationships/hyperlink" Target="https://auxpiedssouslatable.fr/" TargetMode="External"/><Relationship Id="rId97" Type="http://schemas.openxmlformats.org/officeDocument/2006/relationships/hyperlink" Target="https://www.google.com/maps/search/?api=1&amp;query=43.6096207,1.4392415" TargetMode="External"/><Relationship Id="rId98" Type="http://schemas.openxmlformats.org/officeDocument/2006/relationships/hyperlink" Target="https://www.openstreetmap.org/node/2525414016" TargetMode="External"/><Relationship Id="rId99" Type="http://schemas.openxmlformats.org/officeDocument/2006/relationships/hyperlink" Target="https://www.google.com/maps/search/?api=1&amp;query=43.5637335,1.4039601" TargetMode="External"/><Relationship Id="rId100" Type="http://schemas.openxmlformats.org/officeDocument/2006/relationships/hyperlink" Target="https://www.openstreetmap.org/node/11263411679" TargetMode="External"/><Relationship Id="rId101" Type="http://schemas.openxmlformats.org/officeDocument/2006/relationships/hyperlink" Target="https://www.acairestaurant.com/" TargetMode="External"/><Relationship Id="rId102" Type="http://schemas.openxmlformats.org/officeDocument/2006/relationships/hyperlink" Target="https://www.google.com/maps/search/?api=1&amp;query=43.6035581,1.4519798" TargetMode="External"/><Relationship Id="rId103" Type="http://schemas.openxmlformats.org/officeDocument/2006/relationships/hyperlink" Target="https://www.openstreetmap.org/node/7232832418" TargetMode="External"/><Relationship Id="rId104" Type="http://schemas.openxmlformats.org/officeDocument/2006/relationships/hyperlink" Target="https://www.google.com/maps/search/?api=1&amp;query=43.5650355,1.3896481" TargetMode="External"/><Relationship Id="rId105" Type="http://schemas.openxmlformats.org/officeDocument/2006/relationships/hyperlink" Target="https://www.openstreetmap.org/way/74250322" TargetMode="External"/><Relationship Id="rId106" Type="http://schemas.openxmlformats.org/officeDocument/2006/relationships/hyperlink" Target="http://www.baan.fr/" TargetMode="External"/><Relationship Id="rId107" Type="http://schemas.openxmlformats.org/officeDocument/2006/relationships/hyperlink" Target="https://www.google.com/maps/search/?api=1&amp;query=43.5984084,1.4448469" TargetMode="External"/><Relationship Id="rId108" Type="http://schemas.openxmlformats.org/officeDocument/2006/relationships/hyperlink" Target="https://www.openstreetmap.org/node/450165920" TargetMode="External"/><Relationship Id="rId109" Type="http://schemas.openxmlformats.org/officeDocument/2006/relationships/hyperlink" Target="https://babacanteen.com/" TargetMode="External"/><Relationship Id="rId110" Type="http://schemas.openxmlformats.org/officeDocument/2006/relationships/hyperlink" Target="https://www.google.com/maps/search/?api=1&amp;query=43.5987413,1.441798" TargetMode="External"/><Relationship Id="rId111" Type="http://schemas.openxmlformats.org/officeDocument/2006/relationships/hyperlink" Target="https://www.openstreetmap.org/node/4517083503" TargetMode="External"/><Relationship Id="rId112" Type="http://schemas.openxmlformats.org/officeDocument/2006/relationships/hyperlink" Target="https://www.banhmiviet-tls.fr/" TargetMode="External"/><Relationship Id="rId113" Type="http://schemas.openxmlformats.org/officeDocument/2006/relationships/hyperlink" Target="https://www.google.com/maps/search/?api=1&amp;query=43.600182,1.4532343" TargetMode="External"/><Relationship Id="rId114" Type="http://schemas.openxmlformats.org/officeDocument/2006/relationships/hyperlink" Target="https://www.openstreetmap.org/node/5963250085" TargetMode="External"/><Relationship Id="rId115" Type="http://schemas.openxmlformats.org/officeDocument/2006/relationships/hyperlink" Target="https://www.bao-house.fr/" TargetMode="External"/><Relationship Id="rId116" Type="http://schemas.openxmlformats.org/officeDocument/2006/relationships/hyperlink" Target="https://www.google.com/maps/search/?api=1&amp;query=43.5973489,1.4440991" TargetMode="External"/><Relationship Id="rId117" Type="http://schemas.openxmlformats.org/officeDocument/2006/relationships/hyperlink" Target="https://www.openstreetmap.org/node/6612634105" TargetMode="External"/><Relationship Id="rId118" Type="http://schemas.openxmlformats.org/officeDocument/2006/relationships/hyperlink" Target="https://alaunefamily.com/bar-a-la-une/" TargetMode="External"/><Relationship Id="rId119" Type="http://schemas.openxmlformats.org/officeDocument/2006/relationships/hyperlink" Target="https://www.google.com/maps/search/?api=1&amp;query=43.6168055,1.4730594" TargetMode="External"/><Relationship Id="rId120" Type="http://schemas.openxmlformats.org/officeDocument/2006/relationships/hyperlink" Target="https://www.openstreetmap.org/node/11801483703" TargetMode="External"/><Relationship Id="rId121" Type="http://schemas.openxmlformats.org/officeDocument/2006/relationships/hyperlink" Target="https://www.google.com/maps/search/?api=1&amp;query=43.605631,1.446319" TargetMode="External"/><Relationship Id="rId122" Type="http://schemas.openxmlformats.org/officeDocument/2006/relationships/hyperlink" Target="https://www.openstreetmap.org/node/2081650658" TargetMode="External"/><Relationship Id="rId123" Type="http://schemas.openxmlformats.org/officeDocument/2006/relationships/hyperlink" Target="https://www.facebook.com/Barbaque-107036844371386/" TargetMode="External"/><Relationship Id="rId124" Type="http://schemas.openxmlformats.org/officeDocument/2006/relationships/hyperlink" Target="https://www.google.com/maps/search/?api=1&amp;query=43.5970169,1.4475359" TargetMode="External"/><Relationship Id="rId125" Type="http://schemas.openxmlformats.org/officeDocument/2006/relationships/hyperlink" Target="https://www.openstreetmap.org/node/7419099451" TargetMode="External"/><Relationship Id="rId126" Type="http://schemas.openxmlformats.org/officeDocument/2006/relationships/hyperlink" Target="https://www.barricot.fr/" TargetMode="External"/><Relationship Id="rId127" Type="http://schemas.openxmlformats.org/officeDocument/2006/relationships/hyperlink" Target="https://www.google.com/maps/search/?api=1&amp;query=43.6107539,1.434551" TargetMode="External"/><Relationship Id="rId128" Type="http://schemas.openxmlformats.org/officeDocument/2006/relationships/hyperlink" Target="https://www.openstreetmap.org/node/6579962302" TargetMode="External"/><Relationship Id="rId129" Type="http://schemas.openxmlformats.org/officeDocument/2006/relationships/hyperlink" Target="https://bassocompotes.fr/" TargetMode="External"/><Relationship Id="rId130" Type="http://schemas.openxmlformats.org/officeDocument/2006/relationships/hyperlink" Target="https://www.google.com/maps/search/?api=1&amp;query=43.5652041,1.3885465" TargetMode="External"/><Relationship Id="rId131" Type="http://schemas.openxmlformats.org/officeDocument/2006/relationships/hyperlink" Target="https://www.openstreetmap.org/node/774479912" TargetMode="External"/><Relationship Id="rId132" Type="http://schemas.openxmlformats.org/officeDocument/2006/relationships/hyperlink" Target="https://www.google.com/maps/search/?api=1&amp;query=43.633465,1.463409" TargetMode="External"/><Relationship Id="rId133" Type="http://schemas.openxmlformats.org/officeDocument/2006/relationships/hyperlink" Target="https://www.openstreetmap.org/node/11981641172" TargetMode="External"/><Relationship Id="rId134" Type="http://schemas.openxmlformats.org/officeDocument/2006/relationships/hyperlink" Target="https://beldifusion.fr/" TargetMode="External"/><Relationship Id="rId135" Type="http://schemas.openxmlformats.org/officeDocument/2006/relationships/hyperlink" Target="https://www.google.com/maps/search/?api=1&amp;query=43.5810732,1.4248095" TargetMode="External"/><Relationship Id="rId136" Type="http://schemas.openxmlformats.org/officeDocument/2006/relationships/hyperlink" Target="https://www.openstreetmap.org/node/14172592264" TargetMode="External"/><Relationship Id="rId137" Type="http://schemas.openxmlformats.org/officeDocument/2006/relationships/hyperlink" Target="https://www.pizzeriabellini.fr/" TargetMode="External"/><Relationship Id="rId138" Type="http://schemas.openxmlformats.org/officeDocument/2006/relationships/hyperlink" Target="https://www.google.com/maps/search/?api=1&amp;query=43.6038807,1.4428364" TargetMode="External"/><Relationship Id="rId139" Type="http://schemas.openxmlformats.org/officeDocument/2006/relationships/hyperlink" Target="https://www.openstreetmap.org/node/247081412" TargetMode="External"/><Relationship Id="rId140" Type="http://schemas.openxmlformats.org/officeDocument/2006/relationships/hyperlink" Target="https://www.bellocq.eu/" TargetMode="External"/><Relationship Id="rId141" Type="http://schemas.openxmlformats.org/officeDocument/2006/relationships/hyperlink" Target="https://www.google.com/maps/search/?api=1&amp;query=43.6067738,1.4469956" TargetMode="External"/><Relationship Id="rId142" Type="http://schemas.openxmlformats.org/officeDocument/2006/relationships/hyperlink" Target="https://www.openstreetmap.org/node/2447719385" TargetMode="External"/><Relationship Id="rId143" Type="http://schemas.openxmlformats.org/officeDocument/2006/relationships/hyperlink" Target="https://bep-chay.com/" TargetMode="External"/><Relationship Id="rId144" Type="http://schemas.openxmlformats.org/officeDocument/2006/relationships/hyperlink" Target="https://www.google.com/maps/search/?api=1&amp;query=43.5985674,1.4418168" TargetMode="External"/><Relationship Id="rId145" Type="http://schemas.openxmlformats.org/officeDocument/2006/relationships/hyperlink" Target="https://www.openstreetmap.org/node/7383272458" TargetMode="External"/><Relationship Id="rId146" Type="http://schemas.openxmlformats.org/officeDocument/2006/relationships/hyperlink" Target="https://www.google.com/maps/search/?api=1&amp;query=43.5967032,1.4222086" TargetMode="External"/><Relationship Id="rId147" Type="http://schemas.openxmlformats.org/officeDocument/2006/relationships/hyperlink" Target="https://www.openstreetmap.org/node/5768021079" TargetMode="External"/><Relationship Id="rId148" Type="http://schemas.openxmlformats.org/officeDocument/2006/relationships/hyperlink" Target="https://lebiergarten-purpan.fr/" TargetMode="External"/><Relationship Id="rId149" Type="http://schemas.openxmlformats.org/officeDocument/2006/relationships/hyperlink" Target="https://www.google.com/maps/search/?api=1&amp;query=43.5992821,1.4003483" TargetMode="External"/><Relationship Id="rId150" Type="http://schemas.openxmlformats.org/officeDocument/2006/relationships/hyperlink" Target="https://www.openstreetmap.org/node/9062901217" TargetMode="External"/><Relationship Id="rId151" Type="http://schemas.openxmlformats.org/officeDocument/2006/relationships/hyperlink" Target="https://www.thefork.fr/restaurant/bimi-sushi-r818069" TargetMode="External"/><Relationship Id="rId152" Type="http://schemas.openxmlformats.org/officeDocument/2006/relationships/hyperlink" Target="https://www.google.com/maps/search/?api=1&amp;query=43.5688599,1.4569115" TargetMode="External"/><Relationship Id="rId153" Type="http://schemas.openxmlformats.org/officeDocument/2006/relationships/hyperlink" Target="https://www.openstreetmap.org/node/803360469" TargetMode="External"/><Relationship Id="rId154" Type="http://schemas.openxmlformats.org/officeDocument/2006/relationships/hyperlink" Target="http://www.restaurant-binaire.fr/" TargetMode="External"/><Relationship Id="rId155" Type="http://schemas.openxmlformats.org/officeDocument/2006/relationships/hyperlink" Target="https://www.google.com/maps/search/?api=1&amp;query=43.5747464,1.4514821" TargetMode="External"/><Relationship Id="rId156" Type="http://schemas.openxmlformats.org/officeDocument/2006/relationships/hyperlink" Target="https://www.openstreetmap.org/node/803388816" TargetMode="External"/><Relationship Id="rId157" Type="http://schemas.openxmlformats.org/officeDocument/2006/relationships/hyperlink" Target="https://www.google.com/maps/search/?api=1&amp;query=43.5980151,1.4441586" TargetMode="External"/><Relationship Id="rId158" Type="http://schemas.openxmlformats.org/officeDocument/2006/relationships/hyperlink" Target="https://www.openstreetmap.org/node/924250436" TargetMode="External"/><Relationship Id="rId159" Type="http://schemas.openxmlformats.org/officeDocument/2006/relationships/hyperlink" Target="https://www.theatregaronne.com/information/bistro-garonne" TargetMode="External"/><Relationship Id="rId160" Type="http://schemas.openxmlformats.org/officeDocument/2006/relationships/hyperlink" Target="https://www.google.com/maps/search/?api=1&amp;query=43.6028564,1.425573" TargetMode="External"/><Relationship Id="rId161" Type="http://schemas.openxmlformats.org/officeDocument/2006/relationships/hyperlink" Target="https://www.openstreetmap.org/node/13769818412" TargetMode="External"/><Relationship Id="rId162" Type="http://schemas.openxmlformats.org/officeDocument/2006/relationships/hyperlink" Target="https://www.bistro-regent.fr/" TargetMode="External"/><Relationship Id="rId163" Type="http://schemas.openxmlformats.org/officeDocument/2006/relationships/hyperlink" Target="https://www.google.com/maps/search/?api=1&amp;query=43.6069811,1.447693" TargetMode="External"/><Relationship Id="rId164" Type="http://schemas.openxmlformats.org/officeDocument/2006/relationships/hyperlink" Target="https://www.openstreetmap.org/node/2450406636" TargetMode="External"/><Relationship Id="rId165" Type="http://schemas.openxmlformats.org/officeDocument/2006/relationships/hyperlink" Target="https://www.bistro-regent.fr/montaudran/" TargetMode="External"/><Relationship Id="rId166" Type="http://schemas.openxmlformats.org/officeDocument/2006/relationships/hyperlink" Target="https://www.google.com/maps/search/?api=1&amp;query=43.5719759,1.4793596" TargetMode="External"/><Relationship Id="rId167" Type="http://schemas.openxmlformats.org/officeDocument/2006/relationships/hyperlink" Target="https://www.openstreetmap.org/node/8955038582" TargetMode="External"/><Relationship Id="rId168" Type="http://schemas.openxmlformats.org/officeDocument/2006/relationships/hyperlink" Target="https://www.google.com/maps/search/?api=1&amp;query=43.6088973,1.3920266" TargetMode="External"/><Relationship Id="rId169" Type="http://schemas.openxmlformats.org/officeDocument/2006/relationships/hyperlink" Target="https://www.openstreetmap.org/node/9732736366" TargetMode="External"/><Relationship Id="rId170" Type="http://schemas.openxmlformats.org/officeDocument/2006/relationships/hyperlink" Target="https://www.google.com/maps/search/?api=1&amp;query=43.6059637,1.4541399" TargetMode="External"/><Relationship Id="rId171" Type="http://schemas.openxmlformats.org/officeDocument/2006/relationships/hyperlink" Target="https://www.openstreetmap.org/node/630662467" TargetMode="External"/><Relationship Id="rId172" Type="http://schemas.openxmlformats.org/officeDocument/2006/relationships/hyperlink" Target="https://www.bistrotdeletoile.fr/" TargetMode="External"/><Relationship Id="rId173" Type="http://schemas.openxmlformats.org/officeDocument/2006/relationships/hyperlink" Target="https://www.google.com/maps/search/?api=1&amp;query=43.6015372,1.45288" TargetMode="External"/><Relationship Id="rId174" Type="http://schemas.openxmlformats.org/officeDocument/2006/relationships/hyperlink" Target="https://www.openstreetmap.org/node/563700499" TargetMode="External"/><Relationship Id="rId175" Type="http://schemas.openxmlformats.org/officeDocument/2006/relationships/hyperlink" Target="https://www.google.com/maps/search/?api=1&amp;query=43.6002525,1.4539683" TargetMode="External"/><Relationship Id="rId176" Type="http://schemas.openxmlformats.org/officeDocument/2006/relationships/hyperlink" Target="https://www.openstreetmap.org/node/1977820124" TargetMode="External"/><Relationship Id="rId177" Type="http://schemas.openxmlformats.org/officeDocument/2006/relationships/hyperlink" Target="https://www.google.com/maps/search/?api=1&amp;query=43.5991858,1.454917" TargetMode="External"/><Relationship Id="rId178" Type="http://schemas.openxmlformats.org/officeDocument/2006/relationships/hyperlink" Target="https://www.openstreetmap.org/node/3379477784" TargetMode="External"/><Relationship Id="rId179" Type="http://schemas.openxmlformats.org/officeDocument/2006/relationships/hyperlink" Target="https://leblok31.com/restaurant/" TargetMode="External"/><Relationship Id="rId180" Type="http://schemas.openxmlformats.org/officeDocument/2006/relationships/hyperlink" Target="https://www.google.com/maps/search/?api=1&amp;query=43.5642321,1.4894726" TargetMode="External"/><Relationship Id="rId181" Type="http://schemas.openxmlformats.org/officeDocument/2006/relationships/hyperlink" Target="https://www.openstreetmap.org/node/5926925086" TargetMode="External"/><Relationship Id="rId182" Type="http://schemas.openxmlformats.org/officeDocument/2006/relationships/hyperlink" Target="https://www.google.com/maps/search/?api=1&amp;query=43.6020399,1.4410547" TargetMode="External"/><Relationship Id="rId183" Type="http://schemas.openxmlformats.org/officeDocument/2006/relationships/hyperlink" Target="https://www.openstreetmap.org/node/450161376" TargetMode="External"/><Relationship Id="rId184" Type="http://schemas.openxmlformats.org/officeDocument/2006/relationships/hyperlink" Target="https://www.google.com/maps/search/?api=1&amp;query=43.6034838,1.4421463" TargetMode="External"/><Relationship Id="rId185" Type="http://schemas.openxmlformats.org/officeDocument/2006/relationships/hyperlink" Target="https://www.openstreetmap.org/node/2460954112" TargetMode="External"/><Relationship Id="rId186" Type="http://schemas.openxmlformats.org/officeDocument/2006/relationships/hyperlink" Target="https://www.google.com/maps/search/?api=1&amp;query=43.5903855,1.3795674" TargetMode="External"/><Relationship Id="rId187" Type="http://schemas.openxmlformats.org/officeDocument/2006/relationships/hyperlink" Target="https://www.openstreetmap.org/node/11494140028" TargetMode="External"/><Relationship Id="rId188" Type="http://schemas.openxmlformats.org/officeDocument/2006/relationships/hyperlink" Target="http://bangkok-bol.fr/" TargetMode="External"/><Relationship Id="rId189" Type="http://schemas.openxmlformats.org/officeDocument/2006/relationships/hyperlink" Target="https://www.google.com/maps/search/?api=1&amp;query=43.6467164,1.4330612" TargetMode="External"/><Relationship Id="rId190" Type="http://schemas.openxmlformats.org/officeDocument/2006/relationships/hyperlink" Target="https://www.openstreetmap.org/node/12995745802" TargetMode="External"/><Relationship Id="rId191" Type="http://schemas.openxmlformats.org/officeDocument/2006/relationships/hyperlink" Target="http://www.restaurant-borriquito.com/" TargetMode="External"/><Relationship Id="rId192" Type="http://schemas.openxmlformats.org/officeDocument/2006/relationships/hyperlink" Target="https://www.google.com/maps/search/?api=1&amp;query=43.5988236,1.4427046" TargetMode="External"/><Relationship Id="rId193" Type="http://schemas.openxmlformats.org/officeDocument/2006/relationships/hyperlink" Target="https://www.openstreetmap.org/node/1532531311" TargetMode="External"/><Relationship Id="rId194" Type="http://schemas.openxmlformats.org/officeDocument/2006/relationships/hyperlink" Target="https://www.google.com/maps/search/?api=1&amp;query=43.6021202,1.4427356" TargetMode="External"/><Relationship Id="rId195" Type="http://schemas.openxmlformats.org/officeDocument/2006/relationships/hyperlink" Target="https://www.openstreetmap.org/node/1631108689" TargetMode="External"/><Relationship Id="rId196" Type="http://schemas.openxmlformats.org/officeDocument/2006/relationships/hyperlink" Target="https://www.google.com/maps/search/?api=1&amp;query=43.6081113,1.3823242" TargetMode="External"/><Relationship Id="rId197" Type="http://schemas.openxmlformats.org/officeDocument/2006/relationships/hyperlink" Target="https://www.openstreetmap.org/way/74713013" TargetMode="External"/><Relationship Id="rId198" Type="http://schemas.openxmlformats.org/officeDocument/2006/relationships/hyperlink" Target="https://www.google.com/maps/search/?api=1&amp;query=43.6082381,1.4464005" TargetMode="External"/><Relationship Id="rId199" Type="http://schemas.openxmlformats.org/officeDocument/2006/relationships/hyperlink" Target="https://www.openstreetmap.org/node/1215767150" TargetMode="External"/><Relationship Id="rId200" Type="http://schemas.openxmlformats.org/officeDocument/2006/relationships/hyperlink" Target="https://www.google.com/maps/search/?api=1&amp;query=43.6319026,1.4864354" TargetMode="External"/><Relationship Id="rId201" Type="http://schemas.openxmlformats.org/officeDocument/2006/relationships/hyperlink" Target="https://www.openstreetmap.org/way/827375331" TargetMode="External"/><Relationship Id="rId202" Type="http://schemas.openxmlformats.org/officeDocument/2006/relationships/hyperlink" Target="https://brasserielesbeauxarts.fr/" TargetMode="External"/><Relationship Id="rId203" Type="http://schemas.openxmlformats.org/officeDocument/2006/relationships/hyperlink" Target="https://www.google.com/maps/search/?api=1&amp;query=43.5998208,1.4405189" TargetMode="External"/><Relationship Id="rId204" Type="http://schemas.openxmlformats.org/officeDocument/2006/relationships/hyperlink" Target="https://www.openstreetmap.org/node/803725007" TargetMode="External"/><Relationship Id="rId205" Type="http://schemas.openxmlformats.org/officeDocument/2006/relationships/hyperlink" Target="https://www.google.com/maps/search/?api=1&amp;query=43.5626017,1.3724274" TargetMode="External"/><Relationship Id="rId206" Type="http://schemas.openxmlformats.org/officeDocument/2006/relationships/hyperlink" Target="https://www.openstreetmap.org/node/2016344002" TargetMode="External"/><Relationship Id="rId207" Type="http://schemas.openxmlformats.org/officeDocument/2006/relationships/hyperlink" Target="http://www.capoul.com/brasserie/" TargetMode="External"/><Relationship Id="rId208" Type="http://schemas.openxmlformats.org/officeDocument/2006/relationships/hyperlink" Target="https://www.google.com/maps/search/?api=1&amp;query=43.6050916,1.4468081" TargetMode="External"/><Relationship Id="rId209" Type="http://schemas.openxmlformats.org/officeDocument/2006/relationships/hyperlink" Target="https://www.openstreetmap.org/node/918233735" TargetMode="External"/><Relationship Id="rId210" Type="http://schemas.openxmlformats.org/officeDocument/2006/relationships/hyperlink" Target="http://www.brasserielesfrangins.fr/" TargetMode="External"/><Relationship Id="rId211" Type="http://schemas.openxmlformats.org/officeDocument/2006/relationships/hyperlink" Target="https://www.google.com/maps/search/?api=1&amp;query=43.5568392,1.4194872" TargetMode="External"/><Relationship Id="rId212" Type="http://schemas.openxmlformats.org/officeDocument/2006/relationships/hyperlink" Target="https://www.openstreetmap.org/node/5177968428" TargetMode="External"/><Relationship Id="rId213" Type="http://schemas.openxmlformats.org/officeDocument/2006/relationships/hyperlink" Target="https://www.google.com/maps/search/?api=1&amp;query=43.581782,1.3890624" TargetMode="External"/><Relationship Id="rId214" Type="http://schemas.openxmlformats.org/officeDocument/2006/relationships/hyperlink" Target="https://www.openstreetmap.org/node/1185882703" TargetMode="External"/><Relationship Id="rId215" Type="http://schemas.openxmlformats.org/officeDocument/2006/relationships/hyperlink" Target="https://www.google.com/maps/search/?api=1&amp;query=43.6052855,1.4420183" TargetMode="External"/><Relationship Id="rId216" Type="http://schemas.openxmlformats.org/officeDocument/2006/relationships/hyperlink" Target="https://www.openstreetmap.org/node/9330517617" TargetMode="External"/><Relationship Id="rId217" Type="http://schemas.openxmlformats.org/officeDocument/2006/relationships/hyperlink" Target="https://www.burgernco.fr/" TargetMode="External"/><Relationship Id="rId218" Type="http://schemas.openxmlformats.org/officeDocument/2006/relationships/hyperlink" Target="https://www.google.com/maps/search/?api=1&amp;query=43.6013477,1.4539828" TargetMode="External"/><Relationship Id="rId219" Type="http://schemas.openxmlformats.org/officeDocument/2006/relationships/hyperlink" Target="https://www.openstreetmap.org/node/563700603" TargetMode="External"/><Relationship Id="rId220" Type="http://schemas.openxmlformats.org/officeDocument/2006/relationships/hyperlink" Target="https://www.google.com/maps/search/?api=1&amp;query=43.6043798,1.4470986" TargetMode="External"/><Relationship Id="rId221" Type="http://schemas.openxmlformats.org/officeDocument/2006/relationships/hyperlink" Target="https://www.openstreetmap.org/node/2463356511" TargetMode="External"/><Relationship Id="rId222" Type="http://schemas.openxmlformats.org/officeDocument/2006/relationships/hyperlink" Target="http://bacaro-toulouse.fr/" TargetMode="External"/><Relationship Id="rId223" Type="http://schemas.openxmlformats.org/officeDocument/2006/relationships/hyperlink" Target="https://www.google.com/maps/search/?api=1&amp;query=43.6011534,1.457286" TargetMode="External"/><Relationship Id="rId224" Type="http://schemas.openxmlformats.org/officeDocument/2006/relationships/hyperlink" Target="https://www.openstreetmap.org/node/5156746721" TargetMode="External"/><Relationship Id="rId225" Type="http://schemas.openxmlformats.org/officeDocument/2006/relationships/hyperlink" Target="https://www.google.com/maps/search/?api=1&amp;query=43.5669992,1.4725679" TargetMode="External"/><Relationship Id="rId226" Type="http://schemas.openxmlformats.org/officeDocument/2006/relationships/hyperlink" Target="https://www.openstreetmap.org/way/154096087" TargetMode="External"/><Relationship Id="rId227" Type="http://schemas.openxmlformats.org/officeDocument/2006/relationships/hyperlink" Target="https://www.google.com/maps/search/?api=1&amp;query=43.5447299,1.3921227" TargetMode="External"/><Relationship Id="rId228" Type="http://schemas.openxmlformats.org/officeDocument/2006/relationships/hyperlink" Target="https://www.openstreetmap.org/way/74253645" TargetMode="External"/><Relationship Id="rId229" Type="http://schemas.openxmlformats.org/officeDocument/2006/relationships/hyperlink" Target="https://www.google.com/maps/search/?api=1&amp;query=43.6034979,1.4491427" TargetMode="External"/><Relationship Id="rId230" Type="http://schemas.openxmlformats.org/officeDocument/2006/relationships/hyperlink" Target="https://www.openstreetmap.org/node/2993590507" TargetMode="External"/><Relationship Id="rId231" Type="http://schemas.openxmlformats.org/officeDocument/2006/relationships/hyperlink" Target="https://www.crous-toulouse.fr/restaurant/cafet-arum/" TargetMode="External"/><Relationship Id="rId232" Type="http://schemas.openxmlformats.org/officeDocument/2006/relationships/hyperlink" Target="https://www.google.com/maps/search/?api=1&amp;query=43.576925,1.4010803" TargetMode="External"/><Relationship Id="rId233" Type="http://schemas.openxmlformats.org/officeDocument/2006/relationships/hyperlink" Target="https://www.openstreetmap.org/node/9452466906" TargetMode="External"/><Relationship Id="rId234" Type="http://schemas.openxmlformats.org/officeDocument/2006/relationships/hyperlink" Target="https://www.google.com/maps/search/?api=1&amp;query=43.6022017,1.444706" TargetMode="External"/><Relationship Id="rId235" Type="http://schemas.openxmlformats.org/officeDocument/2006/relationships/hyperlink" Target="https://www.openstreetmap.org/node/2464788569" TargetMode="External"/><Relationship Id="rId236" Type="http://schemas.openxmlformats.org/officeDocument/2006/relationships/hyperlink" Target="https://www.cafe-chouchou.fr/" TargetMode="External"/><Relationship Id="rId237" Type="http://schemas.openxmlformats.org/officeDocument/2006/relationships/hyperlink" Target="https://www.google.com/maps/search/?api=1&amp;query=43.5990767,1.4439553" TargetMode="External"/><Relationship Id="rId238" Type="http://schemas.openxmlformats.org/officeDocument/2006/relationships/hyperlink" Target="https://www.openstreetmap.org/node/1486124216" TargetMode="External"/><Relationship Id="rId239" Type="http://schemas.openxmlformats.org/officeDocument/2006/relationships/hyperlink" Target="https://www.google.com/maps/search/?api=1&amp;query=43.6013014,1.4419958" TargetMode="External"/><Relationship Id="rId240" Type="http://schemas.openxmlformats.org/officeDocument/2006/relationships/hyperlink" Target="https://www.openstreetmap.org/node/1573886704" TargetMode="External"/><Relationship Id="rId241" Type="http://schemas.openxmlformats.org/officeDocument/2006/relationships/hyperlink" Target="https://www.google.com/maps/search/?api=1&amp;query=43.6386762,1.4294196" TargetMode="External"/><Relationship Id="rId242" Type="http://schemas.openxmlformats.org/officeDocument/2006/relationships/hyperlink" Target="https://www.openstreetmap.org/node/13462150690" TargetMode="External"/><Relationship Id="rId243" Type="http://schemas.openxmlformats.org/officeDocument/2006/relationships/hyperlink" Target="https://www.google.com/maps/search/?api=1&amp;query=43.5976287,1.4442447" TargetMode="External"/><Relationship Id="rId244" Type="http://schemas.openxmlformats.org/officeDocument/2006/relationships/hyperlink" Target="https://www.openstreetmap.org/node/471580157" TargetMode="External"/><Relationship Id="rId245" Type="http://schemas.openxmlformats.org/officeDocument/2006/relationships/hyperlink" Target="https://www.google.com/maps/search/?api=1&amp;query=43.5974399,1.430458" TargetMode="External"/><Relationship Id="rId246" Type="http://schemas.openxmlformats.org/officeDocument/2006/relationships/hyperlink" Target="https://www.openstreetmap.org/node/2121457812" TargetMode="External"/><Relationship Id="rId247" Type="http://schemas.openxmlformats.org/officeDocument/2006/relationships/hyperlink" Target="https://www.google.com/maps/search/?api=1&amp;query=43.6019496,1.4472475" TargetMode="External"/><Relationship Id="rId248" Type="http://schemas.openxmlformats.org/officeDocument/2006/relationships/hyperlink" Target="https://www.openstreetmap.org/node/2478393322" TargetMode="External"/><Relationship Id="rId249" Type="http://schemas.openxmlformats.org/officeDocument/2006/relationships/hyperlink" Target="https://cafe-oz.com/toulouse.html" TargetMode="External"/><Relationship Id="rId250" Type="http://schemas.openxmlformats.org/officeDocument/2006/relationships/hyperlink" Target="https://www.google.com/maps/search/?api=1&amp;query=43.6056272,1.4496086" TargetMode="External"/><Relationship Id="rId251" Type="http://schemas.openxmlformats.org/officeDocument/2006/relationships/hyperlink" Target="https://www.openstreetmap.org/node/2010420241" TargetMode="External"/><Relationship Id="rId252" Type="http://schemas.openxmlformats.org/officeDocument/2006/relationships/hyperlink" Target="https://www.google.com/maps/search/?api=1&amp;query=43.6088428,1.4415621" TargetMode="External"/><Relationship Id="rId253" Type="http://schemas.openxmlformats.org/officeDocument/2006/relationships/hyperlink" Target="https://www.openstreetmap.org/node/2020652328" TargetMode="External"/><Relationship Id="rId254" Type="http://schemas.openxmlformats.org/officeDocument/2006/relationships/hyperlink" Target="https://www.cafealaune.fr/" TargetMode="External"/><Relationship Id="rId255" Type="http://schemas.openxmlformats.org/officeDocument/2006/relationships/hyperlink" Target="https://www.google.com/maps/search/?api=1&amp;query=43.6168025,1.4728119" TargetMode="External"/><Relationship Id="rId256" Type="http://schemas.openxmlformats.org/officeDocument/2006/relationships/hyperlink" Target="https://www.openstreetmap.org/node/1179397860" TargetMode="External"/><Relationship Id="rId257" Type="http://schemas.openxmlformats.org/officeDocument/2006/relationships/hyperlink" Target="https://latopina.com/" TargetMode="External"/><Relationship Id="rId258" Type="http://schemas.openxmlformats.org/officeDocument/2006/relationships/hyperlink" Target="https://www.google.com/maps/search/?api=1&amp;query=43.601028,1.4340281" TargetMode="External"/><Relationship Id="rId259" Type="http://schemas.openxmlformats.org/officeDocument/2006/relationships/hyperlink" Target="https://www.openstreetmap.org/node/894579346" TargetMode="External"/><Relationship Id="rId260" Type="http://schemas.openxmlformats.org/officeDocument/2006/relationships/hyperlink" Target="https://camaor-restaurant.eatbu.com/?lang=fr" TargetMode="External"/><Relationship Id="rId261" Type="http://schemas.openxmlformats.org/officeDocument/2006/relationships/hyperlink" Target="https://www.google.com/maps/search/?api=1&amp;query=43.5487778,1.3999445" TargetMode="External"/><Relationship Id="rId262" Type="http://schemas.openxmlformats.org/officeDocument/2006/relationships/hyperlink" Target="https://www.openstreetmap.org/node/12234283210" TargetMode="External"/><Relationship Id="rId263" Type="http://schemas.openxmlformats.org/officeDocument/2006/relationships/hyperlink" Target="https://www.google.com/maps/search/?api=1&amp;query=43.6045459,1.4529552" TargetMode="External"/><Relationship Id="rId264" Type="http://schemas.openxmlformats.org/officeDocument/2006/relationships/hyperlink" Target="https://www.openstreetmap.org/node/4904893502" TargetMode="External"/><Relationship Id="rId265" Type="http://schemas.openxmlformats.org/officeDocument/2006/relationships/hyperlink" Target="https://caminito-toulouse.fr/" TargetMode="External"/><Relationship Id="rId266" Type="http://schemas.openxmlformats.org/officeDocument/2006/relationships/hyperlink" Target="https://www.google.com/maps/search/?api=1&amp;query=43.6031014,1.44233" TargetMode="External"/><Relationship Id="rId267" Type="http://schemas.openxmlformats.org/officeDocument/2006/relationships/hyperlink" Target="https://www.openstreetmap.org/node/2465993971" TargetMode="External"/><Relationship Id="rId268" Type="http://schemas.openxmlformats.org/officeDocument/2006/relationships/hyperlink" Target="https://campagnetoulouse.fr/" TargetMode="External"/><Relationship Id="rId269" Type="http://schemas.openxmlformats.org/officeDocument/2006/relationships/hyperlink" Target="https://www.google.com/maps/search/?api=1&amp;query=43.6060308,1.441318" TargetMode="External"/><Relationship Id="rId270" Type="http://schemas.openxmlformats.org/officeDocument/2006/relationships/hyperlink" Target="https://www.openstreetmap.org/node/2411875257" TargetMode="External"/><Relationship Id="rId271" Type="http://schemas.openxmlformats.org/officeDocument/2006/relationships/hyperlink" Target="https://www.google.com/maps/search/?api=1&amp;query=43.5708358,1.4240621" TargetMode="External"/><Relationship Id="rId272" Type="http://schemas.openxmlformats.org/officeDocument/2006/relationships/hyperlink" Target="https://www.openstreetmap.org/node/8445459697" TargetMode="External"/><Relationship Id="rId273" Type="http://schemas.openxmlformats.org/officeDocument/2006/relationships/hyperlink" Target="https://www.google.com/maps/search/?api=1&amp;query=43.5771563,1.3801239" TargetMode="External"/><Relationship Id="rId274" Type="http://schemas.openxmlformats.org/officeDocument/2006/relationships/hyperlink" Target="https://www.openstreetmap.org/way/416929236" TargetMode="External"/><Relationship Id="rId275" Type="http://schemas.openxmlformats.org/officeDocument/2006/relationships/hyperlink" Target="https://www.google.com/maps/search/?api=1&amp;query=43.5753466,1.4071284" TargetMode="External"/><Relationship Id="rId276" Type="http://schemas.openxmlformats.org/officeDocument/2006/relationships/hyperlink" Target="https://www.openstreetmap.org/node/12205194719" TargetMode="External"/><Relationship Id="rId277" Type="http://schemas.openxmlformats.org/officeDocument/2006/relationships/hyperlink" Target="https://www.google.com/maps/search/?api=1&amp;query=43.5648127,1.3895945" TargetMode="External"/><Relationship Id="rId278" Type="http://schemas.openxmlformats.org/officeDocument/2006/relationships/hyperlink" Target="https://www.openstreetmap.org/node/4781906274" TargetMode="External"/><Relationship Id="rId279" Type="http://schemas.openxmlformats.org/officeDocument/2006/relationships/hyperlink" Target="https://caracas-toulouse.com/" TargetMode="External"/><Relationship Id="rId280" Type="http://schemas.openxmlformats.org/officeDocument/2006/relationships/hyperlink" Target="https://www.google.com/maps/search/?api=1&amp;query=43.6008134,1.4688091" TargetMode="External"/><Relationship Id="rId281" Type="http://schemas.openxmlformats.org/officeDocument/2006/relationships/hyperlink" Target="https://www.openstreetmap.org/node/3751077571" TargetMode="External"/><Relationship Id="rId282" Type="http://schemas.openxmlformats.org/officeDocument/2006/relationships/hyperlink" Target="https://www.google.com/maps/search/?api=1&amp;query=43.6012188,1.4075252" TargetMode="External"/><Relationship Id="rId283" Type="http://schemas.openxmlformats.org/officeDocument/2006/relationships/hyperlink" Target="https://www.openstreetmap.org/way/1208655928" TargetMode="External"/><Relationship Id="rId284" Type="http://schemas.openxmlformats.org/officeDocument/2006/relationships/hyperlink" Target="https://restaurant-carthel.com/" TargetMode="External"/><Relationship Id="rId285" Type="http://schemas.openxmlformats.org/officeDocument/2006/relationships/hyperlink" Target="https://www.google.com/maps/search/?api=1&amp;query=43.6025489,1.4096525" TargetMode="External"/><Relationship Id="rId286" Type="http://schemas.openxmlformats.org/officeDocument/2006/relationships/hyperlink" Target="https://www.openstreetmap.org/node/8933198560" TargetMode="External"/><Relationship Id="rId287" Type="http://schemas.openxmlformats.org/officeDocument/2006/relationships/hyperlink" Target="https://www.casabomba.fr/" TargetMode="External"/><Relationship Id="rId288" Type="http://schemas.openxmlformats.org/officeDocument/2006/relationships/hyperlink" Target="https://www.google.com/maps/search/?api=1&amp;query=43.600204,1.4534851" TargetMode="External"/><Relationship Id="rId289" Type="http://schemas.openxmlformats.org/officeDocument/2006/relationships/hyperlink" Target="https://www.openstreetmap.org/node/11416659741" TargetMode="External"/><Relationship Id="rId290" Type="http://schemas.openxmlformats.org/officeDocument/2006/relationships/hyperlink" Target="https://www.google.com/maps/search/?api=1&amp;query=43.5995165,1.4542706" TargetMode="External"/><Relationship Id="rId291" Type="http://schemas.openxmlformats.org/officeDocument/2006/relationships/hyperlink" Target="https://www.openstreetmap.org/node/1969604151" TargetMode="External"/><Relationship Id="rId292" Type="http://schemas.openxmlformats.org/officeDocument/2006/relationships/hyperlink" Target="https://casanatachoutoulouse.cafecityguide.website/" TargetMode="External"/><Relationship Id="rId293" Type="http://schemas.openxmlformats.org/officeDocument/2006/relationships/hyperlink" Target="https://www.google.com/maps/search/?api=1&amp;query=43.5978723,1.4437594" TargetMode="External"/><Relationship Id="rId294" Type="http://schemas.openxmlformats.org/officeDocument/2006/relationships/hyperlink" Target="https://www.openstreetmap.org/node/7678080741" TargetMode="External"/><Relationship Id="rId295" Type="http://schemas.openxmlformats.org/officeDocument/2006/relationships/hyperlink" Target="https://www.catxo-restaurant.com/" TargetMode="External"/><Relationship Id="rId296" Type="http://schemas.openxmlformats.org/officeDocument/2006/relationships/hyperlink" Target="https://www.google.com/maps/search/?api=1&amp;query=43.5959594,1.4472323" TargetMode="External"/><Relationship Id="rId297" Type="http://schemas.openxmlformats.org/officeDocument/2006/relationships/hyperlink" Target="https://www.openstreetmap.org/node/7692842725" TargetMode="External"/><Relationship Id="rId298" Type="http://schemas.openxmlformats.org/officeDocument/2006/relationships/hyperlink" Target="https://www.google.com/maps/search/?api=1&amp;query=43.5783485,1.4500315" TargetMode="External"/><Relationship Id="rId299" Type="http://schemas.openxmlformats.org/officeDocument/2006/relationships/hyperlink" Target="https://www.openstreetmap.org/node/12470879033" TargetMode="External"/><Relationship Id="rId300" Type="http://schemas.openxmlformats.org/officeDocument/2006/relationships/hyperlink" Target="https://www.chefchuan.fr/" TargetMode="External"/><Relationship Id="rId301" Type="http://schemas.openxmlformats.org/officeDocument/2006/relationships/hyperlink" Target="https://www.google.com/maps/search/?api=1&amp;query=43.5918058,1.4443563" TargetMode="External"/><Relationship Id="rId302" Type="http://schemas.openxmlformats.org/officeDocument/2006/relationships/hyperlink" Target="https://www.openstreetmap.org/node/5777635253" TargetMode="External"/><Relationship Id="rId303" Type="http://schemas.openxmlformats.org/officeDocument/2006/relationships/hyperlink" Target="https://www.google.com/maps/search/?api=1&amp;query=43.5890509,1.4574749" TargetMode="External"/><Relationship Id="rId304" Type="http://schemas.openxmlformats.org/officeDocument/2006/relationships/hyperlink" Target="https://www.openstreetmap.org/node/10795670948" TargetMode="External"/><Relationship Id="rId305" Type="http://schemas.openxmlformats.org/officeDocument/2006/relationships/hyperlink" Target="https://www.google.com/maps/search/?api=1&amp;query=43.6064019,1.4465589" TargetMode="External"/><Relationship Id="rId306" Type="http://schemas.openxmlformats.org/officeDocument/2006/relationships/hyperlink" Target="https://www.openstreetmap.org/node/917437364" TargetMode="External"/><Relationship Id="rId307" Type="http://schemas.openxmlformats.org/officeDocument/2006/relationships/hyperlink" Target="https://www.chezbobonne.fr/" TargetMode="External"/><Relationship Id="rId308" Type="http://schemas.openxmlformats.org/officeDocument/2006/relationships/hyperlink" Target="https://www.google.com/maps/search/?api=1&amp;query=43.6069101,1.4423752" TargetMode="External"/><Relationship Id="rId309" Type="http://schemas.openxmlformats.org/officeDocument/2006/relationships/hyperlink" Target="https://www.openstreetmap.org/node/2444345736" TargetMode="External"/><Relationship Id="rId310" Type="http://schemas.openxmlformats.org/officeDocument/2006/relationships/hyperlink" Target="https://www.chezcarmen.fr/lerestaurant" TargetMode="External"/><Relationship Id="rId311" Type="http://schemas.openxmlformats.org/officeDocument/2006/relationships/hyperlink" Target="https://www.google.com/maps/search/?api=1&amp;query=43.5927705,1.4431787" TargetMode="External"/><Relationship Id="rId312" Type="http://schemas.openxmlformats.org/officeDocument/2006/relationships/hyperlink" Target="https://www.openstreetmap.org/node/2352495606" TargetMode="External"/><Relationship Id="rId313" Type="http://schemas.openxmlformats.org/officeDocument/2006/relationships/hyperlink" Target="https://www.chezcasi.fr/" TargetMode="External"/><Relationship Id="rId314" Type="http://schemas.openxmlformats.org/officeDocument/2006/relationships/hyperlink" Target="https://www.google.com/maps/search/?api=1&amp;query=43.6348736,1.4750713" TargetMode="External"/><Relationship Id="rId315" Type="http://schemas.openxmlformats.org/officeDocument/2006/relationships/hyperlink" Target="https://www.openstreetmap.org/way/76317550" TargetMode="External"/><Relationship Id="rId316" Type="http://schemas.openxmlformats.org/officeDocument/2006/relationships/hyperlink" Target="https://www.google.com/maps/search/?api=1&amp;query=43.628804,1.4076188" TargetMode="External"/><Relationship Id="rId317" Type="http://schemas.openxmlformats.org/officeDocument/2006/relationships/hyperlink" Target="https://www.openstreetmap.org/way/722779518" TargetMode="External"/><Relationship Id="rId318" Type="http://schemas.openxmlformats.org/officeDocument/2006/relationships/hyperlink" Target="https://chezgardel.fr/" TargetMode="External"/><Relationship Id="rId319" Type="http://schemas.openxmlformats.org/officeDocument/2006/relationships/hyperlink" Target="https://www.google.com/maps/search/?api=1&amp;query=43.59707,1.4444111" TargetMode="External"/><Relationship Id="rId320" Type="http://schemas.openxmlformats.org/officeDocument/2006/relationships/hyperlink" Target="https://www.openstreetmap.org/node/7369678040" TargetMode="External"/><Relationship Id="rId321" Type="http://schemas.openxmlformats.org/officeDocument/2006/relationships/hyperlink" Target="https://www.google.com/maps/search/?api=1&amp;query=43.6052935,1.4581853" TargetMode="External"/><Relationship Id="rId322" Type="http://schemas.openxmlformats.org/officeDocument/2006/relationships/hyperlink" Target="https://www.openstreetmap.org/node/597656000" TargetMode="External"/><Relationship Id="rId323" Type="http://schemas.openxmlformats.org/officeDocument/2006/relationships/hyperlink" Target="https://www.google.com/maps/search/?api=1&amp;query=43.5989452,1.4426953" TargetMode="External"/><Relationship Id="rId324" Type="http://schemas.openxmlformats.org/officeDocument/2006/relationships/hyperlink" Target="https://www.openstreetmap.org/node/1532531320" TargetMode="External"/><Relationship Id="rId325" Type="http://schemas.openxmlformats.org/officeDocument/2006/relationships/hyperlink" Target="https://www.google.com/maps/search/?api=1&amp;query=43.6098869,1.43923" TargetMode="External"/><Relationship Id="rId326" Type="http://schemas.openxmlformats.org/officeDocument/2006/relationships/hyperlink" Target="https://www.openstreetmap.org/node/2525414025" TargetMode="External"/><Relationship Id="rId327" Type="http://schemas.openxmlformats.org/officeDocument/2006/relationships/hyperlink" Target="http://huguettecafecantine.com/" TargetMode="External"/><Relationship Id="rId328" Type="http://schemas.openxmlformats.org/officeDocument/2006/relationships/hyperlink" Target="https://www.google.com/maps/search/?api=1&amp;query=43.6053082,1.4471994" TargetMode="External"/><Relationship Id="rId329" Type="http://schemas.openxmlformats.org/officeDocument/2006/relationships/hyperlink" Target="https://www.openstreetmap.org/node/520124626" TargetMode="External"/><Relationship Id="rId330" Type="http://schemas.openxmlformats.org/officeDocument/2006/relationships/hyperlink" Target="https://restaurant-toulouse-chez-ines.fr/" TargetMode="External"/><Relationship Id="rId331" Type="http://schemas.openxmlformats.org/officeDocument/2006/relationships/hyperlink" Target="https://www.google.com/maps/search/?api=1&amp;query=43.6003755,1.4548627" TargetMode="External"/><Relationship Id="rId332" Type="http://schemas.openxmlformats.org/officeDocument/2006/relationships/hyperlink" Target="https://www.openstreetmap.org/node/4703955392" TargetMode="External"/><Relationship Id="rId333" Type="http://schemas.openxmlformats.org/officeDocument/2006/relationships/hyperlink" Target="http://www.chezingalls.com/" TargetMode="External"/><Relationship Id="rId334" Type="http://schemas.openxmlformats.org/officeDocument/2006/relationships/hyperlink" Target="https://www.google.com/maps/search/?api=1&amp;query=43.570921,1.4974031" TargetMode="External"/><Relationship Id="rId335" Type="http://schemas.openxmlformats.org/officeDocument/2006/relationships/hyperlink" Target="https://www.openstreetmap.org/way/74574866" TargetMode="External"/><Relationship Id="rId336" Type="http://schemas.openxmlformats.org/officeDocument/2006/relationships/hyperlink" Target="https://www.google.com/maps/search/?api=1&amp;query=43.5988956,1.4330744" TargetMode="External"/><Relationship Id="rId337" Type="http://schemas.openxmlformats.org/officeDocument/2006/relationships/hyperlink" Target="https://www.openstreetmap.org/node/5405663330" TargetMode="External"/><Relationship Id="rId338" Type="http://schemas.openxmlformats.org/officeDocument/2006/relationships/hyperlink" Target="https://www.chezjeanetgabi-restaurant.com/" TargetMode="External"/><Relationship Id="rId339" Type="http://schemas.openxmlformats.org/officeDocument/2006/relationships/hyperlink" Target="https://www.google.com/maps/search/?api=1&amp;query=43.6148959,1.4377944" TargetMode="External"/><Relationship Id="rId340" Type="http://schemas.openxmlformats.org/officeDocument/2006/relationships/hyperlink" Target="https://www.openstreetmap.org/node/4285279591" TargetMode="External"/><Relationship Id="rId341" Type="http://schemas.openxmlformats.org/officeDocument/2006/relationships/hyperlink" Target="https://www.chezjeannot-restaurant.fr/" TargetMode="External"/><Relationship Id="rId342" Type="http://schemas.openxmlformats.org/officeDocument/2006/relationships/hyperlink" Target="https://www.google.com/maps/search/?api=1&amp;query=43.6082932,1.446519" TargetMode="External"/><Relationship Id="rId343" Type="http://schemas.openxmlformats.org/officeDocument/2006/relationships/hyperlink" Target="https://www.openstreetmap.org/node/2450406575" TargetMode="External"/><Relationship Id="rId344" Type="http://schemas.openxmlformats.org/officeDocument/2006/relationships/hyperlink" Target="https://chezlespotes.com/" TargetMode="External"/><Relationship Id="rId345" Type="http://schemas.openxmlformats.org/officeDocument/2006/relationships/hyperlink" Target="https://www.google.com/maps/search/?api=1&amp;query=43.5741743,1.4911562" TargetMode="External"/><Relationship Id="rId346" Type="http://schemas.openxmlformats.org/officeDocument/2006/relationships/hyperlink" Target="https://www.openstreetmap.org/way/52443608" TargetMode="External"/><Relationship Id="rId347" Type="http://schemas.openxmlformats.org/officeDocument/2006/relationships/hyperlink" Target="https://www.google.com/maps/search/?api=1&amp;query=43.6044193,1.4392158" TargetMode="External"/><Relationship Id="rId348" Type="http://schemas.openxmlformats.org/officeDocument/2006/relationships/hyperlink" Target="https://www.openstreetmap.org/node/915694559" TargetMode="External"/><Relationship Id="rId349" Type="http://schemas.openxmlformats.org/officeDocument/2006/relationships/hyperlink" Target="https://www.google.com/maps/search/?api=1&amp;query=43.598698,1.4329073" TargetMode="External"/><Relationship Id="rId350" Type="http://schemas.openxmlformats.org/officeDocument/2006/relationships/hyperlink" Target="https://www.openstreetmap.org/node/3113079885" TargetMode="External"/><Relationship Id="rId351" Type="http://schemas.openxmlformats.org/officeDocument/2006/relationships/hyperlink" Target="https://www.chezmagda.fr/" TargetMode="External"/><Relationship Id="rId352" Type="http://schemas.openxmlformats.org/officeDocument/2006/relationships/hyperlink" Target="https://www.google.com/maps/search/?api=1&amp;query=43.5812167,1.4493358" TargetMode="External"/><Relationship Id="rId353" Type="http://schemas.openxmlformats.org/officeDocument/2006/relationships/hyperlink" Target="https://www.openstreetmap.org/node/2264803582" TargetMode="External"/><Relationship Id="rId354" Type="http://schemas.openxmlformats.org/officeDocument/2006/relationships/hyperlink" Target="https://www.chezmarcel.fr/" TargetMode="External"/><Relationship Id="rId355" Type="http://schemas.openxmlformats.org/officeDocument/2006/relationships/hyperlink" Target="https://www.google.com/maps/search/?api=1&amp;query=43.6063396,1.4447265" TargetMode="External"/><Relationship Id="rId356" Type="http://schemas.openxmlformats.org/officeDocument/2006/relationships/hyperlink" Target="https://www.openstreetmap.org/node/1371907506" TargetMode="External"/><Relationship Id="rId357" Type="http://schemas.openxmlformats.org/officeDocument/2006/relationships/hyperlink" Target="https://www.google.com/maps/search/?api=1&amp;query=43.5955902,1.4856753" TargetMode="External"/><Relationship Id="rId358" Type="http://schemas.openxmlformats.org/officeDocument/2006/relationships/hyperlink" Target="https://www.openstreetmap.org/node/10715715830" TargetMode="External"/><Relationship Id="rId359" Type="http://schemas.openxmlformats.org/officeDocument/2006/relationships/hyperlink" Target="https://www.google.com/maps/search/?api=1&amp;query=43.607359,1.4450797" TargetMode="External"/><Relationship Id="rId360" Type="http://schemas.openxmlformats.org/officeDocument/2006/relationships/hyperlink" Target="https://www.openstreetmap.org/node/2445153724" TargetMode="External"/><Relationship Id="rId361" Type="http://schemas.openxmlformats.org/officeDocument/2006/relationships/hyperlink" Target="https://chezmolly.fr/" TargetMode="External"/><Relationship Id="rId362" Type="http://schemas.openxmlformats.org/officeDocument/2006/relationships/hyperlink" Target="https://www.google.com/maps/search/?api=1&amp;query=43.568689,1.4962856" TargetMode="External"/><Relationship Id="rId363" Type="http://schemas.openxmlformats.org/officeDocument/2006/relationships/hyperlink" Target="https://www.openstreetmap.org/node/10795289283" TargetMode="External"/><Relationship Id="rId364" Type="http://schemas.openxmlformats.org/officeDocument/2006/relationships/hyperlink" Target="https://www.google.com/maps/search/?api=1&amp;query=43.6420277,1.4301259" TargetMode="External"/><Relationship Id="rId365" Type="http://schemas.openxmlformats.org/officeDocument/2006/relationships/hyperlink" Target="https://www.openstreetmap.org/node/2314441203" TargetMode="External"/><Relationship Id="rId366" Type="http://schemas.openxmlformats.org/officeDocument/2006/relationships/hyperlink" Target="https://www.chez-navarre.fr/" TargetMode="External"/><Relationship Id="rId367" Type="http://schemas.openxmlformats.org/officeDocument/2006/relationships/hyperlink" Target="https://www.google.com/maps/search/?api=1&amp;query=43.5969167,1.4474213" TargetMode="External"/><Relationship Id="rId368" Type="http://schemas.openxmlformats.org/officeDocument/2006/relationships/hyperlink" Target="https://www.openstreetmap.org/node/868727687" TargetMode="External"/><Relationship Id="rId369" Type="http://schemas.openxmlformats.org/officeDocument/2006/relationships/hyperlink" Target="https://www.google.com/maps/search/?api=1&amp;query=43.6043962,1.4387149" TargetMode="External"/><Relationship Id="rId370" Type="http://schemas.openxmlformats.org/officeDocument/2006/relationships/hyperlink" Target="https://www.openstreetmap.org/node/2457312872" TargetMode="External"/><Relationship Id="rId371" Type="http://schemas.openxmlformats.org/officeDocument/2006/relationships/hyperlink" Target="https://www.google.com/maps/search/?api=1&amp;query=43.6020076,1.4406582" TargetMode="External"/><Relationship Id="rId372" Type="http://schemas.openxmlformats.org/officeDocument/2006/relationships/hyperlink" Target="https://www.openstreetmap.org/node/631816182" TargetMode="External"/><Relationship Id="rId373" Type="http://schemas.openxmlformats.org/officeDocument/2006/relationships/hyperlink" Target="https://www.google.com/maps/search/?api=1&amp;query=43.6051604,1.4464609" TargetMode="External"/><Relationship Id="rId374" Type="http://schemas.openxmlformats.org/officeDocument/2006/relationships/hyperlink" Target="https://www.openstreetmap.org/node/2447719382" TargetMode="External"/><Relationship Id="rId375" Type="http://schemas.openxmlformats.org/officeDocument/2006/relationships/hyperlink" Target="https://www.google.com/maps/search/?api=1&amp;query=43.61006,1.4424182" TargetMode="External"/><Relationship Id="rId376" Type="http://schemas.openxmlformats.org/officeDocument/2006/relationships/hyperlink" Target="https://www.openstreetmap.org/node/4730448041" TargetMode="External"/><Relationship Id="rId377" Type="http://schemas.openxmlformats.org/officeDocument/2006/relationships/hyperlink" Target="https://www.google.com/maps/search/?api=1&amp;query=43.5968747,1.4443831" TargetMode="External"/><Relationship Id="rId378" Type="http://schemas.openxmlformats.org/officeDocument/2006/relationships/hyperlink" Target="https://www.openstreetmap.org/node/7369678038" TargetMode="External"/><Relationship Id="rId379" Type="http://schemas.openxmlformats.org/officeDocument/2006/relationships/hyperlink" Target="https://www.google.com/maps/search/?api=1&amp;query=43.5749021,1.4626749" TargetMode="External"/><Relationship Id="rId380" Type="http://schemas.openxmlformats.org/officeDocument/2006/relationships/hyperlink" Target="https://www.openstreetmap.org/node/1393577665" TargetMode="External"/><Relationship Id="rId381" Type="http://schemas.openxmlformats.org/officeDocument/2006/relationships/hyperlink" Target="https://www.chez-teta.com/" TargetMode="External"/><Relationship Id="rId382" Type="http://schemas.openxmlformats.org/officeDocument/2006/relationships/hyperlink" Target="https://www.google.com/maps/search/?api=1&amp;query=43.606862,1.4521433" TargetMode="External"/><Relationship Id="rId383" Type="http://schemas.openxmlformats.org/officeDocument/2006/relationships/hyperlink" Target="https://www.openstreetmap.org/node/5981076038" TargetMode="External"/><Relationship Id="rId384" Type="http://schemas.openxmlformats.org/officeDocument/2006/relationships/hyperlink" Target="http://www.cheztran.com/" TargetMode="External"/><Relationship Id="rId385" Type="http://schemas.openxmlformats.org/officeDocument/2006/relationships/hyperlink" Target="https://www.google.com/maps/search/?api=1&amp;query=43.6043005,1.4376829" TargetMode="External"/><Relationship Id="rId386" Type="http://schemas.openxmlformats.org/officeDocument/2006/relationships/hyperlink" Target="https://www.openstreetmap.org/node/2457312595" TargetMode="External"/><Relationship Id="rId387" Type="http://schemas.openxmlformats.org/officeDocument/2006/relationships/hyperlink" Target="https://www.google.com/maps/search/?api=1&amp;query=43.6029777,1.4416879" TargetMode="External"/><Relationship Id="rId388" Type="http://schemas.openxmlformats.org/officeDocument/2006/relationships/hyperlink" Target="https://www.openstreetmap.org/node/772673561" TargetMode="External"/><Relationship Id="rId389" Type="http://schemas.openxmlformats.org/officeDocument/2006/relationships/hyperlink" Target="https://www.google.com/maps/search/?api=1&amp;query=43.6559522,1.4218772" TargetMode="External"/><Relationship Id="rId390" Type="http://schemas.openxmlformats.org/officeDocument/2006/relationships/hyperlink" Target="https://www.openstreetmap.org/node/6778273980" TargetMode="External"/><Relationship Id="rId391" Type="http://schemas.openxmlformats.org/officeDocument/2006/relationships/hyperlink" Target="https://www.google.com/maps/search/?api=1&amp;query=43.605417,1.4539787" TargetMode="External"/><Relationship Id="rId392" Type="http://schemas.openxmlformats.org/officeDocument/2006/relationships/hyperlink" Target="https://www.openstreetmap.org/node/904988825" TargetMode="External"/><Relationship Id="rId393" Type="http://schemas.openxmlformats.org/officeDocument/2006/relationships/hyperlink" Target="https://www.google.com/maps/search/?api=1&amp;query=43.6076371,1.4391243" TargetMode="External"/><Relationship Id="rId394" Type="http://schemas.openxmlformats.org/officeDocument/2006/relationships/hyperlink" Target="https://www.openstreetmap.org/node/3440812539" TargetMode="External"/><Relationship Id="rId395" Type="http://schemas.openxmlformats.org/officeDocument/2006/relationships/hyperlink" Target="https://www.chutguinguettetoulouse.fr/" TargetMode="External"/><Relationship Id="rId396" Type="http://schemas.openxmlformats.org/officeDocument/2006/relationships/hyperlink" Target="https://www.google.com/maps/search/?api=1&amp;query=43.6207507,1.4596944" TargetMode="External"/><Relationship Id="rId397" Type="http://schemas.openxmlformats.org/officeDocument/2006/relationships/hyperlink" Target="https://www.openstreetmap.org/node/11980844403" TargetMode="External"/><Relationship Id="rId398" Type="http://schemas.openxmlformats.org/officeDocument/2006/relationships/hyperlink" Target="https://www.cheri-cheri.fr/" TargetMode="External"/><Relationship Id="rId399" Type="http://schemas.openxmlformats.org/officeDocument/2006/relationships/hyperlink" Target="https://www.google.com/maps/search/?api=1&amp;query=43.6043249,1.4491653" TargetMode="External"/><Relationship Id="rId400" Type="http://schemas.openxmlformats.org/officeDocument/2006/relationships/hyperlink" Target="https://www.openstreetmap.org/node/2993590527" TargetMode="External"/><Relationship Id="rId401" Type="http://schemas.openxmlformats.org/officeDocument/2006/relationships/hyperlink" Target="https://www.google.com/maps/search/?api=1&amp;query=43.5945096,1.4116625" TargetMode="External"/><Relationship Id="rId402" Type="http://schemas.openxmlformats.org/officeDocument/2006/relationships/hyperlink" Target="https://www.openstreetmap.org/node/10860643871" TargetMode="External"/><Relationship Id="rId403" Type="http://schemas.openxmlformats.org/officeDocument/2006/relationships/hyperlink" Target="https://www.choviahe.fr/" TargetMode="External"/><Relationship Id="rId404" Type="http://schemas.openxmlformats.org/officeDocument/2006/relationships/hyperlink" Target="https://www.google.com/maps/search/?api=1&amp;query=43.5997796,1.4416951" TargetMode="External"/><Relationship Id="rId405" Type="http://schemas.openxmlformats.org/officeDocument/2006/relationships/hyperlink" Target="https://www.openstreetmap.org/node/2459884569" TargetMode="External"/><Relationship Id="rId406" Type="http://schemas.openxmlformats.org/officeDocument/2006/relationships/hyperlink" Target="https://www.cockpittoulouse.com/" TargetMode="External"/><Relationship Id="rId407" Type="http://schemas.openxmlformats.org/officeDocument/2006/relationships/hyperlink" Target="https://www.google.com/maps/search/?api=1&amp;query=43.608848,1.3796043" TargetMode="External"/><Relationship Id="rId408" Type="http://schemas.openxmlformats.org/officeDocument/2006/relationships/hyperlink" Target="https://www.openstreetmap.org/way/74712419" TargetMode="External"/><Relationship Id="rId409" Type="http://schemas.openxmlformats.org/officeDocument/2006/relationships/hyperlink" Target="https://www.google.com/maps/search/?api=1&amp;query=43.5980138,1.4460446" TargetMode="External"/><Relationship Id="rId410" Type="http://schemas.openxmlformats.org/officeDocument/2006/relationships/hyperlink" Target="https://www.openstreetmap.org/node/7598070521" TargetMode="External"/><Relationship Id="rId411" Type="http://schemas.openxmlformats.org/officeDocument/2006/relationships/hyperlink" Target="https://www.google.com/maps/search/?api=1&amp;query=43.5886829,1.4315209" TargetMode="External"/><Relationship Id="rId412" Type="http://schemas.openxmlformats.org/officeDocument/2006/relationships/hyperlink" Target="https://www.openstreetmap.org/node/11582438581" TargetMode="External"/><Relationship Id="rId413" Type="http://schemas.openxmlformats.org/officeDocument/2006/relationships/hyperlink" Target="https://www.google.com/maps/search/?api=1&amp;query=43.6099745,1.4343971" TargetMode="External"/><Relationship Id="rId414" Type="http://schemas.openxmlformats.org/officeDocument/2006/relationships/hyperlink" Target="https://www.openstreetmap.org/node/460364205" TargetMode="External"/><Relationship Id="rId415" Type="http://schemas.openxmlformats.org/officeDocument/2006/relationships/hyperlink" Target="https://www.google.com/maps/search/?api=1&amp;query=43.6013435,1.4412499" TargetMode="External"/><Relationship Id="rId416" Type="http://schemas.openxmlformats.org/officeDocument/2006/relationships/hyperlink" Target="https://www.openstreetmap.org/node/2474616470" TargetMode="External"/><Relationship Id="rId417" Type="http://schemas.openxmlformats.org/officeDocument/2006/relationships/hyperlink" Target="https://www.google.com/maps/search/?api=1&amp;query=43.6407569,1.4629117" TargetMode="External"/><Relationship Id="rId418" Type="http://schemas.openxmlformats.org/officeDocument/2006/relationships/hyperlink" Target="https://www.openstreetmap.org/node/1571652210" TargetMode="External"/><Relationship Id="rId419" Type="http://schemas.openxmlformats.org/officeDocument/2006/relationships/hyperlink" Target="https://www.google.com/maps/search/?api=1&amp;query=43.6021902,1.4472082" TargetMode="External"/><Relationship Id="rId420" Type="http://schemas.openxmlformats.org/officeDocument/2006/relationships/hyperlink" Target="https://www.openstreetmap.org/node/2478393337" TargetMode="External"/><Relationship Id="rId421" Type="http://schemas.openxmlformats.org/officeDocument/2006/relationships/hyperlink" Target="https://www.google.com/maps/search/?api=1&amp;query=43.5974243,1.4212594" TargetMode="External"/><Relationship Id="rId422" Type="http://schemas.openxmlformats.org/officeDocument/2006/relationships/hyperlink" Target="https://www.openstreetmap.org/node/5768021070" TargetMode="External"/><Relationship Id="rId423" Type="http://schemas.openxmlformats.org/officeDocument/2006/relationships/hyperlink" Target="https://www.google.com/maps/search/?api=1&amp;query=43.5971452,1.429963" TargetMode="External"/><Relationship Id="rId424" Type="http://schemas.openxmlformats.org/officeDocument/2006/relationships/hyperlink" Target="https://www.openstreetmap.org/node/13369358438" TargetMode="External"/><Relationship Id="rId425" Type="http://schemas.openxmlformats.org/officeDocument/2006/relationships/hyperlink" Target="https://www.google.com/maps/search/?api=1&amp;query=43.6312888,1.4837321" TargetMode="External"/><Relationship Id="rId426" Type="http://schemas.openxmlformats.org/officeDocument/2006/relationships/hyperlink" Target="https://www.openstreetmap.org/node/7724232637" TargetMode="External"/><Relationship Id="rId427" Type="http://schemas.openxmlformats.org/officeDocument/2006/relationships/hyperlink" Target="https://www.google.com/maps/search/?api=1&amp;query=43.6044767,1.4340863" TargetMode="External"/><Relationship Id="rId428" Type="http://schemas.openxmlformats.org/officeDocument/2006/relationships/hyperlink" Target="https://www.openstreetmap.org/node/5109989214" TargetMode="External"/><Relationship Id="rId429" Type="http://schemas.openxmlformats.org/officeDocument/2006/relationships/hyperlink" Target="https://www.google.com/maps/search/?api=1&amp;query=43.6019159,1.4473292" TargetMode="External"/><Relationship Id="rId430" Type="http://schemas.openxmlformats.org/officeDocument/2006/relationships/hyperlink" Target="https://www.openstreetmap.org/node/2478393299" TargetMode="External"/><Relationship Id="rId431" Type="http://schemas.openxmlformats.org/officeDocument/2006/relationships/hyperlink" Target="https://www.google.com/maps/search/?api=1&amp;query=43.6021229,1.4471802" TargetMode="External"/><Relationship Id="rId432" Type="http://schemas.openxmlformats.org/officeDocument/2006/relationships/hyperlink" Target="https://www.openstreetmap.org/node/2510509605" TargetMode="External"/><Relationship Id="rId433" Type="http://schemas.openxmlformats.org/officeDocument/2006/relationships/hyperlink" Target="https://www.cucinasemplice.fr/" TargetMode="External"/><Relationship Id="rId434" Type="http://schemas.openxmlformats.org/officeDocument/2006/relationships/hyperlink" Target="https://www.google.com/maps/search/?api=1&amp;query=43.5998084,1.4408174" TargetMode="External"/><Relationship Id="rId435" Type="http://schemas.openxmlformats.org/officeDocument/2006/relationships/hyperlink" Target="https://www.openstreetmap.org/node/2459884741" TargetMode="External"/><Relationship Id="rId436" Type="http://schemas.openxmlformats.org/officeDocument/2006/relationships/hyperlink" Target="https://currycafetoulouse.com/" TargetMode="External"/><Relationship Id="rId437" Type="http://schemas.openxmlformats.org/officeDocument/2006/relationships/hyperlink" Target="https://www.google.com/maps/search/?api=1&amp;query=43.602466,1.4436201" TargetMode="External"/><Relationship Id="rId438" Type="http://schemas.openxmlformats.org/officeDocument/2006/relationships/hyperlink" Target="https://www.openstreetmap.org/node/2459885060" TargetMode="External"/><Relationship Id="rId439" Type="http://schemas.openxmlformats.org/officeDocument/2006/relationships/hyperlink" Target="https://cecile-toulouse.fr/" TargetMode="External"/><Relationship Id="rId440" Type="http://schemas.openxmlformats.org/officeDocument/2006/relationships/hyperlink" Target="https://www.google.com/maps/search/?api=1&amp;query=43.5974218,1.4445604" TargetMode="External"/><Relationship Id="rId441" Type="http://schemas.openxmlformats.org/officeDocument/2006/relationships/hyperlink" Target="https://www.openstreetmap.org/node/7714947178" TargetMode="External"/><Relationship Id="rId442" Type="http://schemas.openxmlformats.org/officeDocument/2006/relationships/hyperlink" Target="https://www.google.com/maps/search/?api=1&amp;query=43.5980735,1.4442935" TargetMode="External"/><Relationship Id="rId443" Type="http://schemas.openxmlformats.org/officeDocument/2006/relationships/hyperlink" Target="https://www.openstreetmap.org/node/924250419" TargetMode="External"/><Relationship Id="rId444" Type="http://schemas.openxmlformats.org/officeDocument/2006/relationships/hyperlink" Target="https://cotegaronne-toulouse.fr/" TargetMode="External"/><Relationship Id="rId445" Type="http://schemas.openxmlformats.org/officeDocument/2006/relationships/hyperlink" Target="https://www.google.com/maps/search/?api=1&amp;query=43.5929926,1.4431703" TargetMode="External"/><Relationship Id="rId446" Type="http://schemas.openxmlformats.org/officeDocument/2006/relationships/hyperlink" Target="https://www.openstreetmap.org/node/1534037213" TargetMode="External"/><Relationship Id="rId447" Type="http://schemas.openxmlformats.org/officeDocument/2006/relationships/hyperlink" Target="https://www.coeur-damande.com/" TargetMode="External"/><Relationship Id="rId448" Type="http://schemas.openxmlformats.org/officeDocument/2006/relationships/hyperlink" Target="https://www.google.com/maps/search/?api=1&amp;query=43.6042233,1.4540834" TargetMode="External"/><Relationship Id="rId449" Type="http://schemas.openxmlformats.org/officeDocument/2006/relationships/hyperlink" Target="https://www.openstreetmap.org/node/3916792624" TargetMode="External"/><Relationship Id="rId450" Type="http://schemas.openxmlformats.org/officeDocument/2006/relationships/hyperlink" Target="https://www.google.com/maps/search/?api=1&amp;query=43.6202316,1.4572354" TargetMode="External"/><Relationship Id="rId451" Type="http://schemas.openxmlformats.org/officeDocument/2006/relationships/hyperlink" Target="https://www.openstreetmap.org/node/1532620680" TargetMode="External"/><Relationship Id="rId452" Type="http://schemas.openxmlformats.org/officeDocument/2006/relationships/hyperlink" Target="https://toulouse.danslenoir.com/" TargetMode="External"/><Relationship Id="rId453" Type="http://schemas.openxmlformats.org/officeDocument/2006/relationships/hyperlink" Target="https://www.google.com/maps/search/?api=1&amp;query=43.6084405,1.4535011" TargetMode="External"/><Relationship Id="rId454" Type="http://schemas.openxmlformats.org/officeDocument/2006/relationships/hyperlink" Target="https://www.openstreetmap.org/node/12130829248" TargetMode="External"/><Relationship Id="rId455" Type="http://schemas.openxmlformats.org/officeDocument/2006/relationships/hyperlink" Target="https://www.dardiaf.fr/" TargetMode="External"/><Relationship Id="rId456" Type="http://schemas.openxmlformats.org/officeDocument/2006/relationships/hyperlink" Target="https://www.google.com/maps/search/?api=1&amp;query=43.5984048,1.4447645" TargetMode="External"/><Relationship Id="rId457" Type="http://schemas.openxmlformats.org/officeDocument/2006/relationships/hyperlink" Target="https://www.openstreetmap.org/node/7678077873" TargetMode="External"/><Relationship Id="rId458" Type="http://schemas.openxmlformats.org/officeDocument/2006/relationships/hyperlink" Target="https://deedeethaisushi.metro.bar/" TargetMode="External"/><Relationship Id="rId459" Type="http://schemas.openxmlformats.org/officeDocument/2006/relationships/hyperlink" Target="https://www.google.com/maps/search/?api=1&amp;query=43.6001335,1.452737" TargetMode="External"/><Relationship Id="rId460" Type="http://schemas.openxmlformats.org/officeDocument/2006/relationships/hyperlink" Target="https://www.openstreetmap.org/node/7922730185" TargetMode="External"/><Relationship Id="rId461" Type="http://schemas.openxmlformats.org/officeDocument/2006/relationships/hyperlink" Target="https://www.google.com/maps/search/?api=1&amp;query=43.6179369,1.4225203" TargetMode="External"/><Relationship Id="rId462" Type="http://schemas.openxmlformats.org/officeDocument/2006/relationships/hyperlink" Target="https://www.openstreetmap.org/node/9315355134" TargetMode="External"/><Relationship Id="rId463" Type="http://schemas.openxmlformats.org/officeDocument/2006/relationships/hyperlink" Target="https://dicapo.fr/" TargetMode="External"/><Relationship Id="rId464" Type="http://schemas.openxmlformats.org/officeDocument/2006/relationships/hyperlink" Target="https://www.google.com/maps/search/?api=1&amp;query=43.5721763,1.4791094" TargetMode="External"/><Relationship Id="rId465" Type="http://schemas.openxmlformats.org/officeDocument/2006/relationships/hyperlink" Target="https://www.openstreetmap.org/node/8955038581" TargetMode="External"/><Relationship Id="rId466" Type="http://schemas.openxmlformats.org/officeDocument/2006/relationships/hyperlink" Target="https://www.google.com/maps/search/?api=1&amp;query=43.6081578,1.3634295" TargetMode="External"/><Relationship Id="rId467" Type="http://schemas.openxmlformats.org/officeDocument/2006/relationships/hyperlink" Target="https://www.openstreetmap.org/way/74704321" TargetMode="External"/><Relationship Id="rId468" Type="http://schemas.openxmlformats.org/officeDocument/2006/relationships/hyperlink" Target="https://www.doma-resto.fr/" TargetMode="External"/><Relationship Id="rId469" Type="http://schemas.openxmlformats.org/officeDocument/2006/relationships/hyperlink" Target="https://www.google.com/maps/search/?api=1&amp;query=43.5962517,1.4441738" TargetMode="External"/><Relationship Id="rId470" Type="http://schemas.openxmlformats.org/officeDocument/2006/relationships/hyperlink" Target="https://www.openstreetmap.org/node/3760244344" TargetMode="External"/><Relationship Id="rId471" Type="http://schemas.openxmlformats.org/officeDocument/2006/relationships/hyperlink" Target="http://www.donpancho.fr/" TargetMode="External"/><Relationship Id="rId472" Type="http://schemas.openxmlformats.org/officeDocument/2006/relationships/hyperlink" Target="https://www.google.com/maps/search/?api=1&amp;query=43.6133334,1.4379729" TargetMode="External"/><Relationship Id="rId473" Type="http://schemas.openxmlformats.org/officeDocument/2006/relationships/hyperlink" Target="https://www.openstreetmap.org/node/1031337044" TargetMode="External"/><Relationship Id="rId474" Type="http://schemas.openxmlformats.org/officeDocument/2006/relationships/hyperlink" Target="https://www.google.com/maps/search/?api=1&amp;query=43.597173,1.4478836" TargetMode="External"/><Relationship Id="rId475" Type="http://schemas.openxmlformats.org/officeDocument/2006/relationships/hyperlink" Target="https://www.openstreetmap.org/node/7419099449" TargetMode="External"/><Relationship Id="rId476" Type="http://schemas.openxmlformats.org/officeDocument/2006/relationships/hyperlink" Target="https://www.duplaisiralatoque.fr/" TargetMode="External"/><Relationship Id="rId477" Type="http://schemas.openxmlformats.org/officeDocument/2006/relationships/hyperlink" Target="https://www.google.com/maps/search/?api=1&amp;query=43.6021645,1.4383402" TargetMode="External"/><Relationship Id="rId478" Type="http://schemas.openxmlformats.org/officeDocument/2006/relationships/hyperlink" Target="https://www.openstreetmap.org/node/1873095810" TargetMode="External"/><Relationship Id="rId479" Type="http://schemas.openxmlformats.org/officeDocument/2006/relationships/hyperlink" Target="https://www.dumbo-toulouse.com/" TargetMode="External"/><Relationship Id="rId480" Type="http://schemas.openxmlformats.org/officeDocument/2006/relationships/hyperlink" Target="https://www.google.com/maps/search/?api=1&amp;query=43.5770566,1.4760643" TargetMode="External"/><Relationship Id="rId481" Type="http://schemas.openxmlformats.org/officeDocument/2006/relationships/hyperlink" Target="https://www.openstreetmap.org/node/9675025186" TargetMode="External"/><Relationship Id="rId482" Type="http://schemas.openxmlformats.org/officeDocument/2006/relationships/hyperlink" Target="https://www.google.com/maps/search/?api=1&amp;query=43.6179598,1.4549306" TargetMode="External"/><Relationship Id="rId483" Type="http://schemas.openxmlformats.org/officeDocument/2006/relationships/hyperlink" Target="https://www.openstreetmap.org/node/3380009065" TargetMode="External"/><Relationship Id="rId484" Type="http://schemas.openxmlformats.org/officeDocument/2006/relationships/hyperlink" Target="https://www.google.com/maps/search/?api=1&amp;query=43.566416,1.3866628" TargetMode="External"/><Relationship Id="rId485" Type="http://schemas.openxmlformats.org/officeDocument/2006/relationships/hyperlink" Target="https://www.openstreetmap.org/node/4781922596" TargetMode="External"/><Relationship Id="rId486" Type="http://schemas.openxmlformats.org/officeDocument/2006/relationships/hyperlink" Target="https://www.eatsalad.fr/" TargetMode="External"/><Relationship Id="rId487" Type="http://schemas.openxmlformats.org/officeDocument/2006/relationships/hyperlink" Target="https://www.google.com/maps/search/?api=1&amp;query=43.6037043,1.4481693" TargetMode="External"/><Relationship Id="rId488" Type="http://schemas.openxmlformats.org/officeDocument/2006/relationships/hyperlink" Target="https://www.openstreetmap.org/node/5271938526" TargetMode="External"/><Relationship Id="rId489" Type="http://schemas.openxmlformats.org/officeDocument/2006/relationships/hyperlink" Target="https://www.eatsushi.fr/nos-restaurants/toulouse-saint-cyprien" TargetMode="External"/><Relationship Id="rId490" Type="http://schemas.openxmlformats.org/officeDocument/2006/relationships/hyperlink" Target="https://www.google.com/maps/search/?api=1&amp;query=43.597686,1.4316219" TargetMode="External"/><Relationship Id="rId491" Type="http://schemas.openxmlformats.org/officeDocument/2006/relationships/hyperlink" Target="https://www.openstreetmap.org/node/5688659785" TargetMode="External"/><Relationship Id="rId492" Type="http://schemas.openxmlformats.org/officeDocument/2006/relationships/hyperlink" Target="https://www.google.com/maps/search/?api=1&amp;query=43.6003196,1.4527834" TargetMode="External"/><Relationship Id="rId493" Type="http://schemas.openxmlformats.org/officeDocument/2006/relationships/hyperlink" Target="https://www.openstreetmap.org/node/7922729785" TargetMode="External"/><Relationship Id="rId494" Type="http://schemas.openxmlformats.org/officeDocument/2006/relationships/hyperlink" Target="https://echo-toulouse.fr/" TargetMode="External"/><Relationship Id="rId495" Type="http://schemas.openxmlformats.org/officeDocument/2006/relationships/hyperlink" Target="https://www.google.com/maps/search/?api=1&amp;query=43.5995345,1.4414909" TargetMode="External"/><Relationship Id="rId496" Type="http://schemas.openxmlformats.org/officeDocument/2006/relationships/hyperlink" Target="https://www.openstreetmap.org/node/6000844527" TargetMode="External"/><Relationship Id="rId497" Type="http://schemas.openxmlformats.org/officeDocument/2006/relationships/hyperlink" Target="https://www.google.com/maps/search/?api=1&amp;query=43.6029399,1.4077164" TargetMode="External"/><Relationship Id="rId498" Type="http://schemas.openxmlformats.org/officeDocument/2006/relationships/hyperlink" Target="https://www.openstreetmap.org/node/11453080942" TargetMode="External"/><Relationship Id="rId499" Type="http://schemas.openxmlformats.org/officeDocument/2006/relationships/hyperlink" Target="https://www.google.com/maps/search/?api=1&amp;query=43.5947567,1.4436014" TargetMode="External"/><Relationship Id="rId500" Type="http://schemas.openxmlformats.org/officeDocument/2006/relationships/hyperlink" Target="https://www.openstreetmap.org/node/11358255969" TargetMode="External"/><Relationship Id="rId501" Type="http://schemas.openxmlformats.org/officeDocument/2006/relationships/hyperlink" Target="https://elchivito.fr/" TargetMode="External"/><Relationship Id="rId502" Type="http://schemas.openxmlformats.org/officeDocument/2006/relationships/hyperlink" Target="https://www.google.com/maps/search/?api=1&amp;query=43.6022863,1.4380639" TargetMode="External"/><Relationship Id="rId503" Type="http://schemas.openxmlformats.org/officeDocument/2006/relationships/hyperlink" Target="https://www.openstreetmap.org/node/3493476287" TargetMode="External"/><Relationship Id="rId504" Type="http://schemas.openxmlformats.org/officeDocument/2006/relationships/hyperlink" Target="https://eldayaa-toulouse.fr/" TargetMode="External"/><Relationship Id="rId505" Type="http://schemas.openxmlformats.org/officeDocument/2006/relationships/hyperlink" Target="https://www.google.com/maps/search/?api=1&amp;query=43.6099195,1.4341512" TargetMode="External"/><Relationship Id="rId506" Type="http://schemas.openxmlformats.org/officeDocument/2006/relationships/hyperlink" Target="https://www.openstreetmap.org/node/3669185804" TargetMode="External"/><Relationship Id="rId507" Type="http://schemas.openxmlformats.org/officeDocument/2006/relationships/hyperlink" Target="https://www.google.com/maps/search/?api=1&amp;query=43.5949991,1.4434328" TargetMode="External"/><Relationship Id="rId508" Type="http://schemas.openxmlformats.org/officeDocument/2006/relationships/hyperlink" Target="https://www.openstreetmap.org/node/7383274387" TargetMode="External"/><Relationship Id="rId509" Type="http://schemas.openxmlformats.org/officeDocument/2006/relationships/hyperlink" Target="https://www.google.com/maps/search/?api=1&amp;query=43.6047419,1.4489242" TargetMode="External"/><Relationship Id="rId510" Type="http://schemas.openxmlformats.org/officeDocument/2006/relationships/hyperlink" Target="https://www.openstreetmap.org/node/2993590468" TargetMode="External"/><Relationship Id="rId511" Type="http://schemas.openxmlformats.org/officeDocument/2006/relationships/hyperlink" Target="https://www.google.com/maps/search/?api=1&amp;query=43.5989576,1.4321511" TargetMode="External"/><Relationship Id="rId512" Type="http://schemas.openxmlformats.org/officeDocument/2006/relationships/hyperlink" Target="https://www.openstreetmap.org/node/5981066848" TargetMode="External"/><Relationship Id="rId513" Type="http://schemas.openxmlformats.org/officeDocument/2006/relationships/hyperlink" Target="https://www.google.com/maps/search/?api=1&amp;query=43.5976902,1.4442353" TargetMode="External"/><Relationship Id="rId514" Type="http://schemas.openxmlformats.org/officeDocument/2006/relationships/hyperlink" Target="https://www.openstreetmap.org/node/7369021448" TargetMode="External"/><Relationship Id="rId515" Type="http://schemas.openxmlformats.org/officeDocument/2006/relationships/hyperlink" Target="https://entrecotesetvins.orderonline.fr/" TargetMode="External"/><Relationship Id="rId516" Type="http://schemas.openxmlformats.org/officeDocument/2006/relationships/hyperlink" Target="https://www.google.com/maps/search/?api=1&amp;query=43.5485159,1.4226724" TargetMode="External"/><Relationship Id="rId517" Type="http://schemas.openxmlformats.org/officeDocument/2006/relationships/hyperlink" Target="https://www.openstreetmap.org/way/1055332412" TargetMode="External"/><Relationship Id="rId518" Type="http://schemas.openxmlformats.org/officeDocument/2006/relationships/hyperlink" Target="https://epicuriapizza.fr/" TargetMode="External"/><Relationship Id="rId519" Type="http://schemas.openxmlformats.org/officeDocument/2006/relationships/hyperlink" Target="https://www.google.com/maps/search/?api=1&amp;query=43.6314243,1.486386" TargetMode="External"/><Relationship Id="rId520" Type="http://schemas.openxmlformats.org/officeDocument/2006/relationships/hyperlink" Target="https://www.openstreetmap.org/way/827597796" TargetMode="External"/><Relationship Id="rId521" Type="http://schemas.openxmlformats.org/officeDocument/2006/relationships/hyperlink" Target="https://www.facebook.com/escaledessaveurs" TargetMode="External"/><Relationship Id="rId522" Type="http://schemas.openxmlformats.org/officeDocument/2006/relationships/hyperlink" Target="https://www.google.com/maps/search/?api=1&amp;query=43.6100645,1.4525056" TargetMode="External"/><Relationship Id="rId523" Type="http://schemas.openxmlformats.org/officeDocument/2006/relationships/hyperlink" Target="https://www.openstreetmap.org/node/3340723477" TargetMode="External"/><Relationship Id="rId524" Type="http://schemas.openxmlformats.org/officeDocument/2006/relationships/hyperlink" Target="https://fairesens-restaurant.com/" TargetMode="External"/><Relationship Id="rId525" Type="http://schemas.openxmlformats.org/officeDocument/2006/relationships/hyperlink" Target="https://www.google.com/maps/search/?api=1&amp;query=43.5989396,1.4342114" TargetMode="External"/><Relationship Id="rId526" Type="http://schemas.openxmlformats.org/officeDocument/2006/relationships/hyperlink" Target="https://www.openstreetmap.org/node/12787622484" TargetMode="External"/><Relationship Id="rId527" Type="http://schemas.openxmlformats.org/officeDocument/2006/relationships/hyperlink" Target="https://www.google.com/maps/search/?api=1&amp;query=43.5968352,1.444391" TargetMode="External"/><Relationship Id="rId528" Type="http://schemas.openxmlformats.org/officeDocument/2006/relationships/hyperlink" Target="https://www.openstreetmap.org/node/7369678039" TargetMode="External"/><Relationship Id="rId529" Type="http://schemas.openxmlformats.org/officeDocument/2006/relationships/hyperlink" Target="http://www.fastandpizza.fr/" TargetMode="External"/><Relationship Id="rId530" Type="http://schemas.openxmlformats.org/officeDocument/2006/relationships/hyperlink" Target="https://www.google.com/maps/search/?api=1&amp;query=43.6124185,1.4249672" TargetMode="External"/><Relationship Id="rId531" Type="http://schemas.openxmlformats.org/officeDocument/2006/relationships/hyperlink" Target="https://www.openstreetmap.org/node/5124537443" TargetMode="External"/><Relationship Id="rId532" Type="http://schemas.openxmlformats.org/officeDocument/2006/relationships/hyperlink" Target="https://www.google.com/maps/search/?api=1&amp;query=43.5984193,1.4558072" TargetMode="External"/><Relationship Id="rId533" Type="http://schemas.openxmlformats.org/officeDocument/2006/relationships/hyperlink" Target="https://www.openstreetmap.org/node/6053487223" TargetMode="External"/><Relationship Id="rId534" Type="http://schemas.openxmlformats.org/officeDocument/2006/relationships/hyperlink" Target="https://www.google.com/maps/search/?api=1&amp;query=43.6083273,1.4291804" TargetMode="External"/><Relationship Id="rId535" Type="http://schemas.openxmlformats.org/officeDocument/2006/relationships/hyperlink" Target="https://www.openstreetmap.org/node/6055805700" TargetMode="External"/><Relationship Id="rId536" Type="http://schemas.openxmlformats.org/officeDocument/2006/relationships/hyperlink" Target="https://flowhouse.fr/" TargetMode="External"/><Relationship Id="rId537" Type="http://schemas.openxmlformats.org/officeDocument/2006/relationships/hyperlink" Target="https://www.google.com/maps/search/?api=1&amp;query=43.6184719,1.4369659" TargetMode="External"/><Relationship Id="rId538" Type="http://schemas.openxmlformats.org/officeDocument/2006/relationships/hyperlink" Target="https://www.openstreetmap.org/node/10790696954" TargetMode="External"/><Relationship Id="rId539" Type="http://schemas.openxmlformats.org/officeDocument/2006/relationships/hyperlink" Target="https://www.flunch.fr/restaurant/toulouse/flunch-toulouse-purpan/" TargetMode="External"/><Relationship Id="rId540" Type="http://schemas.openxmlformats.org/officeDocument/2006/relationships/hyperlink" Target="https://www.google.com/maps/search/?api=1&amp;query=43.6094703,1.3941669" TargetMode="External"/><Relationship Id="rId541" Type="http://schemas.openxmlformats.org/officeDocument/2006/relationships/hyperlink" Target="https://www.openstreetmap.org/node/3693450320" TargetMode="External"/><Relationship Id="rId542" Type="http://schemas.openxmlformats.org/officeDocument/2006/relationships/hyperlink" Target="https://www.flunch.fr/restaurant/toulouse/flunch-toulouse-gramont/" TargetMode="External"/><Relationship Id="rId543" Type="http://schemas.openxmlformats.org/officeDocument/2006/relationships/hyperlink" Target="https://www.google.com/maps/search/?api=1&amp;query=43.6318099,1.4859628" TargetMode="External"/><Relationship Id="rId544" Type="http://schemas.openxmlformats.org/officeDocument/2006/relationships/hyperlink" Target="https://www.openstreetmap.org/way/827375333" TargetMode="External"/><Relationship Id="rId545" Type="http://schemas.openxmlformats.org/officeDocument/2006/relationships/hyperlink" Target="https://fogo-toulouse.fr/" TargetMode="External"/><Relationship Id="rId546" Type="http://schemas.openxmlformats.org/officeDocument/2006/relationships/hyperlink" Target="https://www.google.com/maps/search/?api=1&amp;query=43.6019219,1.4444596" TargetMode="External"/><Relationship Id="rId547" Type="http://schemas.openxmlformats.org/officeDocument/2006/relationships/hyperlink" Target="https://www.openstreetmap.org/node/2170803967" TargetMode="External"/><Relationship Id="rId548" Type="http://schemas.openxmlformats.org/officeDocument/2006/relationships/hyperlink" Target="https://www.google.com/maps/search/?api=1&amp;query=43.5873309,1.4468694" TargetMode="External"/><Relationship Id="rId549" Type="http://schemas.openxmlformats.org/officeDocument/2006/relationships/hyperlink" Target="https://www.openstreetmap.org/node/2288200928" TargetMode="External"/><Relationship Id="rId550" Type="http://schemas.openxmlformats.org/officeDocument/2006/relationships/hyperlink" Target="https://www.google.com/maps/search/?api=1&amp;query=43.5949505,1.4645195" TargetMode="External"/><Relationship Id="rId551" Type="http://schemas.openxmlformats.org/officeDocument/2006/relationships/hyperlink" Target="https://www.openstreetmap.org/node/5997779778" TargetMode="External"/><Relationship Id="rId552" Type="http://schemas.openxmlformats.org/officeDocument/2006/relationships/hyperlink" Target="https://www.casinosbarriere.com/fr/toulouse/le-fouquets.html" TargetMode="External"/><Relationship Id="rId553" Type="http://schemas.openxmlformats.org/officeDocument/2006/relationships/hyperlink" Target="https://www.google.com/maps/search/?api=1&amp;query=43.5722383,1.4343458" TargetMode="External"/><Relationship Id="rId554" Type="http://schemas.openxmlformats.org/officeDocument/2006/relationships/hyperlink" Target="https://www.openstreetmap.org/node/5540078316" TargetMode="External"/><Relationship Id="rId555" Type="http://schemas.openxmlformats.org/officeDocument/2006/relationships/hyperlink" Target="https://francesca.com/fr/restaurants/francesca-toulouse" TargetMode="External"/><Relationship Id="rId556" Type="http://schemas.openxmlformats.org/officeDocument/2006/relationships/hyperlink" Target="https://www.google.com/maps/search/?api=1&amp;query=43.5703793,1.4201023" TargetMode="External"/><Relationship Id="rId557" Type="http://schemas.openxmlformats.org/officeDocument/2006/relationships/hyperlink" Target="https://www.openstreetmap.org/node/11942751982" TargetMode="External"/><Relationship Id="rId558" Type="http://schemas.openxmlformats.org/officeDocument/2006/relationships/hyperlink" Target="https://restaurantfufu.com/" TargetMode="External"/><Relationship Id="rId559" Type="http://schemas.openxmlformats.org/officeDocument/2006/relationships/hyperlink" Target="https://www.google.com/maps/search/?api=1&amp;query=43.6028813,1.4421102" TargetMode="External"/><Relationship Id="rId560" Type="http://schemas.openxmlformats.org/officeDocument/2006/relationships/hyperlink" Target="https://www.openstreetmap.org/node/5411872140" TargetMode="External"/><Relationship Id="rId561" Type="http://schemas.openxmlformats.org/officeDocument/2006/relationships/hyperlink" Target="https://www.google.com/maps/search/?api=1&amp;query=43.6076246,1.4471766" TargetMode="External"/><Relationship Id="rId562" Type="http://schemas.openxmlformats.org/officeDocument/2006/relationships/hyperlink" Target="https://www.openstreetmap.org/node/12387200126" TargetMode="External"/><Relationship Id="rId563" Type="http://schemas.openxmlformats.org/officeDocument/2006/relationships/hyperlink" Target="https://www.google.com/maps/search/?api=1&amp;query=43.6003373,1.4496591" TargetMode="External"/><Relationship Id="rId564" Type="http://schemas.openxmlformats.org/officeDocument/2006/relationships/hyperlink" Target="https://www.openstreetmap.org/node/2994928155" TargetMode="External"/><Relationship Id="rId565" Type="http://schemas.openxmlformats.org/officeDocument/2006/relationships/hyperlink" Target="https://gaia-toulouse.com/" TargetMode="External"/><Relationship Id="rId566" Type="http://schemas.openxmlformats.org/officeDocument/2006/relationships/hyperlink" Target="https://www.google.com/maps/search/?api=1&amp;query=43.6000993,1.4479845" TargetMode="External"/><Relationship Id="rId567" Type="http://schemas.openxmlformats.org/officeDocument/2006/relationships/hyperlink" Target="https://www.openstreetmap.org/node/12996865752" TargetMode="External"/><Relationship Id="rId568" Type="http://schemas.openxmlformats.org/officeDocument/2006/relationships/hyperlink" Target="https://www.leclandesmamma.com/restaurant/gina/" TargetMode="External"/><Relationship Id="rId569" Type="http://schemas.openxmlformats.org/officeDocument/2006/relationships/hyperlink" Target="https://www.google.com/maps/search/?api=1&amp;query=43.5951816,1.4439551" TargetMode="External"/><Relationship Id="rId570" Type="http://schemas.openxmlformats.org/officeDocument/2006/relationships/hyperlink" Target="https://www.openstreetmap.org/node/5695040461" TargetMode="External"/><Relationship Id="rId571" Type="http://schemas.openxmlformats.org/officeDocument/2006/relationships/hyperlink" Target="https://www.google.com/maps/search/?api=1&amp;query=43.6238347,1.4340936" TargetMode="External"/><Relationship Id="rId572" Type="http://schemas.openxmlformats.org/officeDocument/2006/relationships/hyperlink" Target="https://www.openstreetmap.org/node/10980482095" TargetMode="External"/><Relationship Id="rId573" Type="http://schemas.openxmlformats.org/officeDocument/2006/relationships/hyperlink" Target="https://www.google.com/maps/search/?api=1&amp;query=43.6047628,1.4547347" TargetMode="External"/><Relationship Id="rId574" Type="http://schemas.openxmlformats.org/officeDocument/2006/relationships/hyperlink" Target="https://www.openstreetmap.org/node/10159937717" TargetMode="External"/><Relationship Id="rId575" Type="http://schemas.openxmlformats.org/officeDocument/2006/relationships/hyperlink" Target="https://www.google.com/maps/search/?api=1&amp;query=43.6106862,1.4395101" TargetMode="External"/><Relationship Id="rId576" Type="http://schemas.openxmlformats.org/officeDocument/2006/relationships/hyperlink" Target="https://www.openstreetmap.org/node/2525414054" TargetMode="External"/><Relationship Id="rId577" Type="http://schemas.openxmlformats.org/officeDocument/2006/relationships/hyperlink" Target="https://www.google.com/maps/search/?api=1&amp;query=43.598507,1.4349748" TargetMode="External"/><Relationship Id="rId578" Type="http://schemas.openxmlformats.org/officeDocument/2006/relationships/hyperlink" Target="https://www.openstreetmap.org/node/12002662770" TargetMode="External"/><Relationship Id="rId579" Type="http://schemas.openxmlformats.org/officeDocument/2006/relationships/hyperlink" Target="https://www.google.com/maps/search/?api=1&amp;query=43.6066406,1.4470214" TargetMode="External"/><Relationship Id="rId580" Type="http://schemas.openxmlformats.org/officeDocument/2006/relationships/hyperlink" Target="https://www.openstreetmap.org/node/2316954259" TargetMode="External"/><Relationship Id="rId581" Type="http://schemas.openxmlformats.org/officeDocument/2006/relationships/hyperlink" Target="https://www.gruppomimo.com/nos-restaurants/gruppomimo-toulouse" TargetMode="External"/><Relationship Id="rId582" Type="http://schemas.openxmlformats.org/officeDocument/2006/relationships/hyperlink" Target="https://www.google.com/maps/search/?api=1&amp;query=43.6073887,1.4465939" TargetMode="External"/><Relationship Id="rId583" Type="http://schemas.openxmlformats.org/officeDocument/2006/relationships/hyperlink" Target="https://www.openstreetmap.org/node/3553704056" TargetMode="External"/><Relationship Id="rId584" Type="http://schemas.openxmlformats.org/officeDocument/2006/relationships/hyperlink" Target="https://guapo-toulouse.fr/" TargetMode="External"/><Relationship Id="rId585" Type="http://schemas.openxmlformats.org/officeDocument/2006/relationships/hyperlink" Target="https://www.google.com/maps/search/?api=1&amp;query=43.6045301,1.4494502" TargetMode="External"/><Relationship Id="rId586" Type="http://schemas.openxmlformats.org/officeDocument/2006/relationships/hyperlink" Target="https://www.openstreetmap.org/node/12245869055" TargetMode="External"/><Relationship Id="rId587" Type="http://schemas.openxmlformats.org/officeDocument/2006/relationships/hyperlink" Target="https://www.guayoyo-toulouse.com/" TargetMode="External"/><Relationship Id="rId588" Type="http://schemas.openxmlformats.org/officeDocument/2006/relationships/hyperlink" Target="https://www.google.com/maps/search/?api=1&amp;query=43.6077781,1.4570953" TargetMode="External"/><Relationship Id="rId589" Type="http://schemas.openxmlformats.org/officeDocument/2006/relationships/hyperlink" Target="https://www.openstreetmap.org/node/7468452182" TargetMode="External"/><Relationship Id="rId590" Type="http://schemas.openxmlformats.org/officeDocument/2006/relationships/hyperlink" Target="https://www.gueuleton.fr/le-gueuleton-toulouse/" TargetMode="External"/><Relationship Id="rId591" Type="http://schemas.openxmlformats.org/officeDocument/2006/relationships/hyperlink" Target="https://www.google.com/maps/search/?api=1&amp;query=43.6013635,1.4407281" TargetMode="External"/><Relationship Id="rId592" Type="http://schemas.openxmlformats.org/officeDocument/2006/relationships/hyperlink" Target="https://www.openstreetmap.org/node/772727737" TargetMode="External"/><Relationship Id="rId593" Type="http://schemas.openxmlformats.org/officeDocument/2006/relationships/hyperlink" Target="https://guoguoji.fr/fr" TargetMode="External"/><Relationship Id="rId594" Type="http://schemas.openxmlformats.org/officeDocument/2006/relationships/hyperlink" Target="https://www.google.com/maps/search/?api=1&amp;query=43.6141729,1.4372269" TargetMode="External"/><Relationship Id="rId595" Type="http://schemas.openxmlformats.org/officeDocument/2006/relationships/hyperlink" Target="https://www.openstreetmap.org/node/6696868022" TargetMode="External"/><Relationship Id="rId596" Type="http://schemas.openxmlformats.org/officeDocument/2006/relationships/hyperlink" Target="https://gustonapoli.fr/" TargetMode="External"/><Relationship Id="rId597" Type="http://schemas.openxmlformats.org/officeDocument/2006/relationships/hyperlink" Target="https://www.google.com/maps/search/?api=1&amp;query=43.6261936,1.4665624" TargetMode="External"/><Relationship Id="rId598" Type="http://schemas.openxmlformats.org/officeDocument/2006/relationships/hyperlink" Target="https://www.openstreetmap.org/node/13650166170" TargetMode="External"/><Relationship Id="rId599" Type="http://schemas.openxmlformats.org/officeDocument/2006/relationships/hyperlink" Target="https://www.gusto-pizza.net/" TargetMode="External"/><Relationship Id="rId600" Type="http://schemas.openxmlformats.org/officeDocument/2006/relationships/hyperlink" Target="https://www.google.com/maps/search/?api=1&amp;query=43.5532596,1.4682846" TargetMode="External"/><Relationship Id="rId601" Type="http://schemas.openxmlformats.org/officeDocument/2006/relationships/hyperlink" Target="https://www.openstreetmap.org/node/668637542" TargetMode="External"/><Relationship Id="rId602" Type="http://schemas.openxmlformats.org/officeDocument/2006/relationships/hyperlink" Target="https://www.google.com/maps/search/?api=1&amp;query=43.5990221,1.4550637" TargetMode="External"/><Relationship Id="rId603" Type="http://schemas.openxmlformats.org/officeDocument/2006/relationships/hyperlink" Target="https://www.openstreetmap.org/node/9588734845" TargetMode="External"/><Relationship Id="rId604" Type="http://schemas.openxmlformats.org/officeDocument/2006/relationships/hyperlink" Target="https://haozai.fr/" TargetMode="External"/><Relationship Id="rId605" Type="http://schemas.openxmlformats.org/officeDocument/2006/relationships/hyperlink" Target="https://www.google.com/maps/search/?api=1&amp;query=43.6076254,1.4485432" TargetMode="External"/><Relationship Id="rId606" Type="http://schemas.openxmlformats.org/officeDocument/2006/relationships/hyperlink" Target="https://www.openstreetmap.org/node/7724315051" TargetMode="External"/><Relationship Id="rId607" Type="http://schemas.openxmlformats.org/officeDocument/2006/relationships/hyperlink" Target="https://www.helloravioli.fr/" TargetMode="External"/><Relationship Id="rId608" Type="http://schemas.openxmlformats.org/officeDocument/2006/relationships/hyperlink" Target="https://www.google.com/maps/search/?api=1&amp;query=43.611734,1.4377462" TargetMode="External"/><Relationship Id="rId609" Type="http://schemas.openxmlformats.org/officeDocument/2006/relationships/hyperlink" Target="https://www.openstreetmap.org/node/5966375060" TargetMode="External"/><Relationship Id="rId610" Type="http://schemas.openxmlformats.org/officeDocument/2006/relationships/hyperlink" Target="https://www.google.com/maps/search/?api=1&amp;query=43.6084491,1.3793214" TargetMode="External"/><Relationship Id="rId611" Type="http://schemas.openxmlformats.org/officeDocument/2006/relationships/hyperlink" Target="https://www.openstreetmap.org/node/12855149511" TargetMode="External"/><Relationship Id="rId612" Type="http://schemas.openxmlformats.org/officeDocument/2006/relationships/hyperlink" Target="https://www.facebook.com/BloomyRiveGauche/;bloomyrivegauche.eatbu.com" TargetMode="External"/><Relationship Id="rId613" Type="http://schemas.openxmlformats.org/officeDocument/2006/relationships/hyperlink" Target="https://www.google.com/maps/search/?api=1&amp;query=43.5984589,1.434784" TargetMode="External"/><Relationship Id="rId614" Type="http://schemas.openxmlformats.org/officeDocument/2006/relationships/hyperlink" Target="https://www.openstreetmap.org/node/9926503711" TargetMode="External"/><Relationship Id="rId615" Type="http://schemas.openxmlformats.org/officeDocument/2006/relationships/hyperlink" Target="https://www.restaurant-hinode.fr/" TargetMode="External"/><Relationship Id="rId616" Type="http://schemas.openxmlformats.org/officeDocument/2006/relationships/hyperlink" Target="https://www.google.com/maps/search/?api=1&amp;query=43.6064872,1.4473507" TargetMode="External"/><Relationship Id="rId617" Type="http://schemas.openxmlformats.org/officeDocument/2006/relationships/hyperlink" Target="https://www.openstreetmap.org/node/2447719410" TargetMode="External"/><Relationship Id="rId618" Type="http://schemas.openxmlformats.org/officeDocument/2006/relationships/hyperlink" Target="https://restaurants.hippopotamus.fr/france/occitanie/haute-garonne/toulouse/toulouse-wilson" TargetMode="External"/><Relationship Id="rId619" Type="http://schemas.openxmlformats.org/officeDocument/2006/relationships/hyperlink" Target="https://www.google.com/maps/search/?api=1&amp;query=43.6058692,1.448176" TargetMode="External"/><Relationship Id="rId620" Type="http://schemas.openxmlformats.org/officeDocument/2006/relationships/hyperlink" Target="https://www.openstreetmap.org/node/775985755" TargetMode="External"/><Relationship Id="rId621" Type="http://schemas.openxmlformats.org/officeDocument/2006/relationships/hyperlink" Target="https://www.google.com/maps/search/?api=1&amp;query=43.5951868,1.4433248" TargetMode="External"/><Relationship Id="rId622" Type="http://schemas.openxmlformats.org/officeDocument/2006/relationships/hyperlink" Target="https://www.openstreetmap.org/node/7383274386" TargetMode="External"/><Relationship Id="rId623" Type="http://schemas.openxmlformats.org/officeDocument/2006/relationships/hyperlink" Target="https://www.google.com/maps/search/?api=1&amp;query=43.6079321,1.4487635" TargetMode="External"/><Relationship Id="rId624" Type="http://schemas.openxmlformats.org/officeDocument/2006/relationships/hyperlink" Target="https://www.openstreetmap.org/node/11392595242" TargetMode="External"/><Relationship Id="rId625" Type="http://schemas.openxmlformats.org/officeDocument/2006/relationships/hyperlink" Target="https://www.google.com/maps/search/?api=1&amp;query=43.6091799,1.4444106" TargetMode="External"/><Relationship Id="rId626" Type="http://schemas.openxmlformats.org/officeDocument/2006/relationships/hyperlink" Target="https://www.openstreetmap.org/node/2445153710" TargetMode="External"/><Relationship Id="rId627" Type="http://schemas.openxmlformats.org/officeDocument/2006/relationships/hyperlink" Target="https://www.google.com/maps/search/?api=1&amp;query=43.5996043,1.4466608" TargetMode="External"/><Relationship Id="rId628" Type="http://schemas.openxmlformats.org/officeDocument/2006/relationships/hyperlink" Target="https://www.openstreetmap.org/node/4314907757" TargetMode="External"/><Relationship Id="rId629" Type="http://schemas.openxmlformats.org/officeDocument/2006/relationships/hyperlink" Target="https://restauranthuongviet.com/" TargetMode="External"/><Relationship Id="rId630" Type="http://schemas.openxmlformats.org/officeDocument/2006/relationships/hyperlink" Target="https://www.google.com/maps/search/?api=1&amp;query=43.5652054,1.4057845" TargetMode="External"/><Relationship Id="rId631" Type="http://schemas.openxmlformats.org/officeDocument/2006/relationships/hyperlink" Target="https://www.openstreetmap.org/way/74235174" TargetMode="External"/><Relationship Id="rId632" Type="http://schemas.openxmlformats.org/officeDocument/2006/relationships/hyperlink" Target="https://www.google.com/maps/search/?api=1&amp;query=43.5960189,1.4191639" TargetMode="External"/><Relationship Id="rId633" Type="http://schemas.openxmlformats.org/officeDocument/2006/relationships/hyperlink" Target="https://www.openstreetmap.org/node/13075707841" TargetMode="External"/><Relationship Id="rId634" Type="http://schemas.openxmlformats.org/officeDocument/2006/relationships/hyperlink" Target="https://www.google.com/maps/search/?api=1&amp;query=43.6354029,1.4305658" TargetMode="External"/><Relationship Id="rId635" Type="http://schemas.openxmlformats.org/officeDocument/2006/relationships/hyperlink" Target="https://www.openstreetmap.org/node/10057007549" TargetMode="External"/><Relationship Id="rId636" Type="http://schemas.openxmlformats.org/officeDocument/2006/relationships/hyperlink" Target="https://www.google.com/maps/search/?api=1&amp;query=43.665424,1.4304055" TargetMode="External"/><Relationship Id="rId637" Type="http://schemas.openxmlformats.org/officeDocument/2006/relationships/hyperlink" Target="https://www.openstreetmap.org/node/12444529662" TargetMode="External"/><Relationship Id="rId638" Type="http://schemas.openxmlformats.org/officeDocument/2006/relationships/hyperlink" Target="http://www.italianspizza.fr/" TargetMode="External"/><Relationship Id="rId639" Type="http://schemas.openxmlformats.org/officeDocument/2006/relationships/hyperlink" Target="https://www.google.com/maps/search/?api=1&amp;query=43.5844778,1.3765434" TargetMode="External"/><Relationship Id="rId640" Type="http://schemas.openxmlformats.org/officeDocument/2006/relationships/hyperlink" Target="https://www.openstreetmap.org/node/2670551164" TargetMode="External"/><Relationship Id="rId641" Type="http://schemas.openxmlformats.org/officeDocument/2006/relationships/hyperlink" Target="https://www.iori.fr/" TargetMode="External"/><Relationship Id="rId642" Type="http://schemas.openxmlformats.org/officeDocument/2006/relationships/hyperlink" Target="https://www.google.com/maps/search/?api=1&amp;query=43.5988879,1.4428219" TargetMode="External"/><Relationship Id="rId643" Type="http://schemas.openxmlformats.org/officeDocument/2006/relationships/hyperlink" Target="https://www.openstreetmap.org/node/7387442477" TargetMode="External"/><Relationship Id="rId644" Type="http://schemas.openxmlformats.org/officeDocument/2006/relationships/hyperlink" Target="https://www.google.com/maps/search/?api=1&amp;query=43.6075659,1.3973911" TargetMode="External"/><Relationship Id="rId645" Type="http://schemas.openxmlformats.org/officeDocument/2006/relationships/hyperlink" Target="https://www.openstreetmap.org/node/12883887837" TargetMode="External"/><Relationship Id="rId646" Type="http://schemas.openxmlformats.org/officeDocument/2006/relationships/hyperlink" Target="https://www.google.com/maps/search/?api=1&amp;query=43.5986948,1.4440947" TargetMode="External"/><Relationship Id="rId647" Type="http://schemas.openxmlformats.org/officeDocument/2006/relationships/hyperlink" Target="https://www.openstreetmap.org/node/2471591446" TargetMode="External"/><Relationship Id="rId648" Type="http://schemas.openxmlformats.org/officeDocument/2006/relationships/hyperlink" Target="https://lejgo.com/toulouse" TargetMode="External"/><Relationship Id="rId649" Type="http://schemas.openxmlformats.org/officeDocument/2006/relationships/hyperlink" Target="https://www.google.com/maps/search/?api=1&amp;query=43.6063722,1.447325" TargetMode="External"/><Relationship Id="rId650" Type="http://schemas.openxmlformats.org/officeDocument/2006/relationships/hyperlink" Target="https://www.openstreetmap.org/node/2447719448" TargetMode="External"/><Relationship Id="rId651" Type="http://schemas.openxmlformats.org/officeDocument/2006/relationships/hyperlink" Target="https://www.google.com/maps/search/?api=1&amp;query=43.6062039,1.4475445" TargetMode="External"/><Relationship Id="rId652" Type="http://schemas.openxmlformats.org/officeDocument/2006/relationships/hyperlink" Target="https://www.openstreetmap.org/node/2447719415" TargetMode="External"/><Relationship Id="rId653" Type="http://schemas.openxmlformats.org/officeDocument/2006/relationships/hyperlink" Target="https://www.facebook.com/jem.goodfood/" TargetMode="External"/><Relationship Id="rId654" Type="http://schemas.openxmlformats.org/officeDocument/2006/relationships/hyperlink" Target="https://www.google.com/maps/search/?api=1&amp;query=43.5705002,1.4206254" TargetMode="External"/><Relationship Id="rId655" Type="http://schemas.openxmlformats.org/officeDocument/2006/relationships/hyperlink" Target="https://www.openstreetmap.org/node/1208490613" TargetMode="External"/><Relationship Id="rId656" Type="http://schemas.openxmlformats.org/officeDocument/2006/relationships/hyperlink" Target="https://jiaoziguan.fr/" TargetMode="External"/><Relationship Id="rId657" Type="http://schemas.openxmlformats.org/officeDocument/2006/relationships/hyperlink" Target="https://www.google.com/maps/search/?api=1&amp;query=43.6071241,1.4450382" TargetMode="External"/><Relationship Id="rId658" Type="http://schemas.openxmlformats.org/officeDocument/2006/relationships/hyperlink" Target="https://www.openstreetmap.org/node/2445153715" TargetMode="External"/><Relationship Id="rId659" Type="http://schemas.openxmlformats.org/officeDocument/2006/relationships/hyperlink" Target="https://jiaoziguan.fr/" TargetMode="External"/><Relationship Id="rId660" Type="http://schemas.openxmlformats.org/officeDocument/2006/relationships/hyperlink" Target="https://www.google.com/maps/search/?api=1&amp;query=43.6058117,1.4463101" TargetMode="External"/><Relationship Id="rId661" Type="http://schemas.openxmlformats.org/officeDocument/2006/relationships/hyperlink" Target="https://www.openstreetmap.org/node/2447719432" TargetMode="External"/><Relationship Id="rId662" Type="http://schemas.openxmlformats.org/officeDocument/2006/relationships/hyperlink" Target="https://www.jifu-restaurant.fr/" TargetMode="External"/><Relationship Id="rId663" Type="http://schemas.openxmlformats.org/officeDocument/2006/relationships/hyperlink" Target="https://www.google.com/maps/search/?api=1&amp;query=43.6047943,1.4549127" TargetMode="External"/><Relationship Id="rId664" Type="http://schemas.openxmlformats.org/officeDocument/2006/relationships/hyperlink" Target="https://www.openstreetmap.org/node/6402665987" TargetMode="External"/><Relationship Id="rId665" Type="http://schemas.openxmlformats.org/officeDocument/2006/relationships/hyperlink" Target="http://jipoonthai.com/" TargetMode="External"/><Relationship Id="rId666" Type="http://schemas.openxmlformats.org/officeDocument/2006/relationships/hyperlink" Target="https://www.google.com/maps/search/?api=1&amp;query=43.5823949,1.4488584" TargetMode="External"/><Relationship Id="rId667" Type="http://schemas.openxmlformats.org/officeDocument/2006/relationships/hyperlink" Target="https://www.openstreetmap.org/node/1875049780" TargetMode="External"/><Relationship Id="rId668" Type="http://schemas.openxmlformats.org/officeDocument/2006/relationships/hyperlink" Target="https://www.facebook.com/joshoreroadtoulouse/" TargetMode="External"/><Relationship Id="rId669" Type="http://schemas.openxmlformats.org/officeDocument/2006/relationships/hyperlink" Target="https://www.google.com/maps/search/?api=1&amp;query=43.5984022,1.4447033" TargetMode="External"/><Relationship Id="rId670" Type="http://schemas.openxmlformats.org/officeDocument/2006/relationships/hyperlink" Target="https://www.openstreetmap.org/node/6000899948" TargetMode="External"/><Relationship Id="rId671" Type="http://schemas.openxmlformats.org/officeDocument/2006/relationships/hyperlink" Target="https://www.google.com/maps/search/?api=1&amp;query=43.6056072,1.4531034" TargetMode="External"/><Relationship Id="rId672" Type="http://schemas.openxmlformats.org/officeDocument/2006/relationships/hyperlink" Target="https://www.openstreetmap.org/node/6855499234" TargetMode="External"/><Relationship Id="rId673" Type="http://schemas.openxmlformats.org/officeDocument/2006/relationships/hyperlink" Target="https://www.juguem.fr/" TargetMode="External"/><Relationship Id="rId674" Type="http://schemas.openxmlformats.org/officeDocument/2006/relationships/hyperlink" Target="https://www.google.com/maps/search/?api=1&amp;query=43.6027519,1.4441086" TargetMode="External"/><Relationship Id="rId675" Type="http://schemas.openxmlformats.org/officeDocument/2006/relationships/hyperlink" Target="https://www.openstreetmap.org/node/2465994087" TargetMode="External"/><Relationship Id="rId676" Type="http://schemas.openxmlformats.org/officeDocument/2006/relationships/hyperlink" Target="https://www.google.com/maps/search/?api=1&amp;query=43.6401377,1.4516863" TargetMode="External"/><Relationship Id="rId677" Type="http://schemas.openxmlformats.org/officeDocument/2006/relationships/hyperlink" Target="https://www.openstreetmap.org/node/7164865630" TargetMode="External"/><Relationship Id="rId678" Type="http://schemas.openxmlformats.org/officeDocument/2006/relationships/hyperlink" Target="https://www.google.com/maps/search/?api=1&amp;query=43.6321963,1.48633" TargetMode="External"/><Relationship Id="rId679" Type="http://schemas.openxmlformats.org/officeDocument/2006/relationships/hyperlink" Target="https://www.openstreetmap.org/way/827365092" TargetMode="External"/><Relationship Id="rId680" Type="http://schemas.openxmlformats.org/officeDocument/2006/relationships/hyperlink" Target="https://www.google.com/maps/search/?api=1&amp;query=43.6097237,1.4426784" TargetMode="External"/><Relationship Id="rId681" Type="http://schemas.openxmlformats.org/officeDocument/2006/relationships/hyperlink" Target="https://www.openstreetmap.org/node/7700436682" TargetMode="External"/><Relationship Id="rId682" Type="http://schemas.openxmlformats.org/officeDocument/2006/relationships/hyperlink" Target="http://www.restaurant-kashmir.fr/" TargetMode="External"/><Relationship Id="rId683" Type="http://schemas.openxmlformats.org/officeDocument/2006/relationships/hyperlink" Target="https://www.google.com/maps/search/?api=1&amp;query=43.5988974,1.4331477" TargetMode="External"/><Relationship Id="rId684" Type="http://schemas.openxmlformats.org/officeDocument/2006/relationships/hyperlink" Target="https://www.openstreetmap.org/node/768593857" TargetMode="External"/><Relationship Id="rId685" Type="http://schemas.openxmlformats.org/officeDocument/2006/relationships/hyperlink" Target="https://www.google.com/maps/search/?api=1&amp;query=43.6075046,1.4498925" TargetMode="External"/><Relationship Id="rId686" Type="http://schemas.openxmlformats.org/officeDocument/2006/relationships/hyperlink" Target="https://www.openstreetmap.org/node/6186763198" TargetMode="External"/><Relationship Id="rId687" Type="http://schemas.openxmlformats.org/officeDocument/2006/relationships/hyperlink" Target="https://kawok-toulouse.fr/" TargetMode="External"/><Relationship Id="rId688" Type="http://schemas.openxmlformats.org/officeDocument/2006/relationships/hyperlink" Target="https://www.google.com/maps/search/?api=1&amp;query=43.5992835,1.4169357" TargetMode="External"/><Relationship Id="rId689" Type="http://schemas.openxmlformats.org/officeDocument/2006/relationships/hyperlink" Target="https://www.openstreetmap.org/node/12886004804" TargetMode="External"/><Relationship Id="rId690" Type="http://schemas.openxmlformats.org/officeDocument/2006/relationships/hyperlink" Target="https://www.google.com/maps/search/?api=1&amp;query=43.6077285,1.3957192" TargetMode="External"/><Relationship Id="rId691" Type="http://schemas.openxmlformats.org/officeDocument/2006/relationships/hyperlink" Target="https://www.openstreetmap.org/node/2872082167" TargetMode="External"/><Relationship Id="rId692" Type="http://schemas.openxmlformats.org/officeDocument/2006/relationships/hyperlink" Target="https://www.kingfat.fr/" TargetMode="External"/><Relationship Id="rId693" Type="http://schemas.openxmlformats.org/officeDocument/2006/relationships/hyperlink" Target="https://www.google.com/maps/search/?api=1&amp;query=43.5685798,1.4980939" TargetMode="External"/><Relationship Id="rId694" Type="http://schemas.openxmlformats.org/officeDocument/2006/relationships/hyperlink" Target="https://www.openstreetmap.org/node/940809095" TargetMode="External"/><Relationship Id="rId695" Type="http://schemas.openxmlformats.org/officeDocument/2006/relationships/hyperlink" Target="https://www.google.com/maps/search/?api=1&amp;query=43.6049421,1.4523746" TargetMode="External"/><Relationship Id="rId696" Type="http://schemas.openxmlformats.org/officeDocument/2006/relationships/hyperlink" Target="https://www.openstreetmap.org/node/2810775014" TargetMode="External"/><Relationship Id="rId697" Type="http://schemas.openxmlformats.org/officeDocument/2006/relationships/hyperlink" Target="https://www.koboon-resto.fr/" TargetMode="External"/><Relationship Id="rId698" Type="http://schemas.openxmlformats.org/officeDocument/2006/relationships/hyperlink" Target="https://www.google.com/maps/search/?api=1&amp;query=43.6403607,1.4521578" TargetMode="External"/><Relationship Id="rId699" Type="http://schemas.openxmlformats.org/officeDocument/2006/relationships/hyperlink" Target="https://www.openstreetmap.org/way/197727235" TargetMode="External"/><Relationship Id="rId700" Type="http://schemas.openxmlformats.org/officeDocument/2006/relationships/hyperlink" Target="https://www.google.com/maps/search/?api=1&amp;query=43.5929958,1.445775" TargetMode="External"/><Relationship Id="rId701" Type="http://schemas.openxmlformats.org/officeDocument/2006/relationships/hyperlink" Target="https://www.openstreetmap.org/node/2288246548" TargetMode="External"/><Relationship Id="rId702" Type="http://schemas.openxmlformats.org/officeDocument/2006/relationships/hyperlink" Target="https://www.google.com/maps/search/?api=1&amp;query=43.597394,1.4302414" TargetMode="External"/><Relationship Id="rId703" Type="http://schemas.openxmlformats.org/officeDocument/2006/relationships/hyperlink" Target="https://www.openstreetmap.org/node/13287682255" TargetMode="External"/><Relationship Id="rId704" Type="http://schemas.openxmlformats.org/officeDocument/2006/relationships/hyperlink" Target="https://www.google.com/maps/search/?api=1&amp;query=43.6070157,1.4400907" TargetMode="External"/><Relationship Id="rId705" Type="http://schemas.openxmlformats.org/officeDocument/2006/relationships/hyperlink" Target="https://www.openstreetmap.org/node/2443447121" TargetMode="External"/><Relationship Id="rId706" Type="http://schemas.openxmlformats.org/officeDocument/2006/relationships/hyperlink" Target="https://airdefamilletoulouse.fr/" TargetMode="External"/><Relationship Id="rId707" Type="http://schemas.openxmlformats.org/officeDocument/2006/relationships/hyperlink" Target="https://www.google.com/maps/search/?api=1&amp;query=43.6022329,1.4442298" TargetMode="External"/><Relationship Id="rId708" Type="http://schemas.openxmlformats.org/officeDocument/2006/relationships/hyperlink" Target="https://www.openstreetmap.org/node/2464788571" TargetMode="External"/><Relationship Id="rId709" Type="http://schemas.openxmlformats.org/officeDocument/2006/relationships/hyperlink" Target="https://lalouette.metro.rest/" TargetMode="External"/><Relationship Id="rId710" Type="http://schemas.openxmlformats.org/officeDocument/2006/relationships/hyperlink" Target="https://www.google.com/maps/search/?api=1&amp;query=43.6068224,1.4469862" TargetMode="External"/><Relationship Id="rId711" Type="http://schemas.openxmlformats.org/officeDocument/2006/relationships/hyperlink" Target="https://www.openstreetmap.org/node/5191825353" TargetMode="External"/><Relationship Id="rId712" Type="http://schemas.openxmlformats.org/officeDocument/2006/relationships/hyperlink" Target="http://lamourapizza.fr/" TargetMode="External"/><Relationship Id="rId713" Type="http://schemas.openxmlformats.org/officeDocument/2006/relationships/hyperlink" Target="https://www.google.com/maps/search/?api=1&amp;query=43.5970213,1.4220052" TargetMode="External"/><Relationship Id="rId714" Type="http://schemas.openxmlformats.org/officeDocument/2006/relationships/hyperlink" Target="https://www.openstreetmap.org/node/1998786144" TargetMode="External"/><Relationship Id="rId715" Type="http://schemas.openxmlformats.org/officeDocument/2006/relationships/hyperlink" Target="https://www.google.com/maps/search/?api=1&amp;query=43.6130926,1.4126938" TargetMode="External"/><Relationship Id="rId716" Type="http://schemas.openxmlformats.org/officeDocument/2006/relationships/hyperlink" Target="https://www.openstreetmap.org/node/9759499676" TargetMode="External"/><Relationship Id="rId717" Type="http://schemas.openxmlformats.org/officeDocument/2006/relationships/hyperlink" Target="https://www.labraisiere.fr/annexe/" TargetMode="External"/><Relationship Id="rId718" Type="http://schemas.openxmlformats.org/officeDocument/2006/relationships/hyperlink" Target="https://www.google.com/maps/search/?api=1&amp;query=43.5967134,1.4443878" TargetMode="External"/><Relationship Id="rId719" Type="http://schemas.openxmlformats.org/officeDocument/2006/relationships/hyperlink" Target="https://www.openstreetmap.org/node/894533408" TargetMode="External"/><Relationship Id="rId720" Type="http://schemas.openxmlformats.org/officeDocument/2006/relationships/hyperlink" Target="https://lanticapizzeria.fr/" TargetMode="External"/><Relationship Id="rId721" Type="http://schemas.openxmlformats.org/officeDocument/2006/relationships/hyperlink" Target="https://www.google.com/maps/search/?api=1&amp;query=43.6091875,1.455893" TargetMode="External"/><Relationship Id="rId722" Type="http://schemas.openxmlformats.org/officeDocument/2006/relationships/hyperlink" Target="https://www.openstreetmap.org/node/5429302901" TargetMode="External"/><Relationship Id="rId723" Type="http://schemas.openxmlformats.org/officeDocument/2006/relationships/hyperlink" Target="https://lanticapizzeria.fr/" TargetMode="External"/><Relationship Id="rId724" Type="http://schemas.openxmlformats.org/officeDocument/2006/relationships/hyperlink" Target="https://www.google.com/maps/search/?api=1&amp;query=43.6289829,1.4486447" TargetMode="External"/><Relationship Id="rId725" Type="http://schemas.openxmlformats.org/officeDocument/2006/relationships/hyperlink" Target="https://www.openstreetmap.org/node/10187793128" TargetMode="External"/><Relationship Id="rId726" Type="http://schemas.openxmlformats.org/officeDocument/2006/relationships/hyperlink" Target="https://www.google.com/maps/search/?api=1&amp;query=43.6052827,1.4464836" TargetMode="External"/><Relationship Id="rId727" Type="http://schemas.openxmlformats.org/officeDocument/2006/relationships/hyperlink" Target="https://www.openstreetmap.org/node/2447719461" TargetMode="External"/><Relationship Id="rId728" Type="http://schemas.openxmlformats.org/officeDocument/2006/relationships/hyperlink" Target="https://larbreasushi.eatbu.com/" TargetMode="External"/><Relationship Id="rId729" Type="http://schemas.openxmlformats.org/officeDocument/2006/relationships/hyperlink" Target="https://www.google.com/maps/search/?api=1&amp;query=43.6021325,1.4384348" TargetMode="External"/><Relationship Id="rId730" Type="http://schemas.openxmlformats.org/officeDocument/2006/relationships/hyperlink" Target="https://www.openstreetmap.org/node/6295888394" TargetMode="External"/><Relationship Id="rId731" Type="http://schemas.openxmlformats.org/officeDocument/2006/relationships/hyperlink" Target="https://www.google.com/maps/search/?api=1&amp;query=43.6006259,1.4513418" TargetMode="External"/><Relationship Id="rId732" Type="http://schemas.openxmlformats.org/officeDocument/2006/relationships/hyperlink" Target="https://www.openstreetmap.org/node/776087732" TargetMode="External"/><Relationship Id="rId733" Type="http://schemas.openxmlformats.org/officeDocument/2006/relationships/hyperlink" Target="https://www.crous-toulouse.fr/restaurant/resto-u-arum/" TargetMode="External"/><Relationship Id="rId734" Type="http://schemas.openxmlformats.org/officeDocument/2006/relationships/hyperlink" Target="https://www.google.com/maps/search/?api=1&amp;query=43.5766816,1.401208" TargetMode="External"/><Relationship Id="rId735" Type="http://schemas.openxmlformats.org/officeDocument/2006/relationships/hyperlink" Target="https://www.openstreetmap.org/way/412449630" TargetMode="External"/><Relationship Id="rId736" Type="http://schemas.openxmlformats.org/officeDocument/2006/relationships/hyperlink" Target="http://www.latelierdelecharpe.fr/" TargetMode="External"/><Relationship Id="rId737" Type="http://schemas.openxmlformats.org/officeDocument/2006/relationships/hyperlink" Target="https://www.google.com/maps/search/?api=1&amp;query=43.6002622,1.441469" TargetMode="External"/><Relationship Id="rId738" Type="http://schemas.openxmlformats.org/officeDocument/2006/relationships/hyperlink" Target="https://www.openstreetmap.org/node/2410430110" TargetMode="External"/><Relationship Id="rId739" Type="http://schemas.openxmlformats.org/officeDocument/2006/relationships/hyperlink" Target="https://www.atelierdeschefs.fr/" TargetMode="External"/><Relationship Id="rId740" Type="http://schemas.openxmlformats.org/officeDocument/2006/relationships/hyperlink" Target="https://www.google.com/maps/search/?api=1&amp;query=43.6011182,1.4529954" TargetMode="External"/><Relationship Id="rId741" Type="http://schemas.openxmlformats.org/officeDocument/2006/relationships/hyperlink" Target="https://www.openstreetmap.org/node/6149694780" TargetMode="External"/><Relationship Id="rId742" Type="http://schemas.openxmlformats.org/officeDocument/2006/relationships/hyperlink" Target="http://latelierdesplats.wixsite.com/restaurant" TargetMode="External"/><Relationship Id="rId743" Type="http://schemas.openxmlformats.org/officeDocument/2006/relationships/hyperlink" Target="https://www.google.com/maps/search/?api=1&amp;query=43.6458969,1.4267723" TargetMode="External"/><Relationship Id="rId744" Type="http://schemas.openxmlformats.org/officeDocument/2006/relationships/hyperlink" Target="https://www.openstreetmap.org/node/8925913111" TargetMode="External"/><Relationship Id="rId745" Type="http://schemas.openxmlformats.org/officeDocument/2006/relationships/hyperlink" Target="https://www.google.com/maps/search/?api=1&amp;query=43.5985275,1.4363991" TargetMode="External"/><Relationship Id="rId746" Type="http://schemas.openxmlformats.org/officeDocument/2006/relationships/hyperlink" Target="https://www.openstreetmap.org/node/11087438884" TargetMode="External"/><Relationship Id="rId747" Type="http://schemas.openxmlformats.org/officeDocument/2006/relationships/hyperlink" Target="https://restaurantatrium.fr/" TargetMode="External"/><Relationship Id="rId748" Type="http://schemas.openxmlformats.org/officeDocument/2006/relationships/hyperlink" Target="https://www.google.com/maps/search/?api=1&amp;query=43.6036763,1.4426685" TargetMode="External"/><Relationship Id="rId749" Type="http://schemas.openxmlformats.org/officeDocument/2006/relationships/hyperlink" Target="https://www.openstreetmap.org/node/2459885077" TargetMode="External"/><Relationship Id="rId750" Type="http://schemas.openxmlformats.org/officeDocument/2006/relationships/hyperlink" Target="https://www.google.com/maps/search/?api=1&amp;query=43.5962991,1.4467145" TargetMode="External"/><Relationship Id="rId751" Type="http://schemas.openxmlformats.org/officeDocument/2006/relationships/hyperlink" Target="https://www.openstreetmap.org/node/7419099454" TargetMode="External"/><Relationship Id="rId752" Type="http://schemas.openxmlformats.org/officeDocument/2006/relationships/hyperlink" Target="https://www.restaurant-laubrac.fr/" TargetMode="External"/><Relationship Id="rId753" Type="http://schemas.openxmlformats.org/officeDocument/2006/relationships/hyperlink" Target="https://www.google.com/maps/search/?api=1&amp;query=43.6043936,1.4513523" TargetMode="External"/><Relationship Id="rId754" Type="http://schemas.openxmlformats.org/officeDocument/2006/relationships/hyperlink" Target="https://www.openstreetmap.org/node/776623621" TargetMode="External"/><Relationship Id="rId755" Type="http://schemas.openxmlformats.org/officeDocument/2006/relationships/hyperlink" Target="https://www.emulation-nautique.com/" TargetMode="External"/><Relationship Id="rId756" Type="http://schemas.openxmlformats.org/officeDocument/2006/relationships/hyperlink" Target="https://www.google.com/maps/search/?api=1&amp;query=43.5909341,1.4366537" TargetMode="External"/><Relationship Id="rId757" Type="http://schemas.openxmlformats.org/officeDocument/2006/relationships/hyperlink" Target="https://www.openstreetmap.org/node/730717579" TargetMode="External"/><Relationship Id="rId758" Type="http://schemas.openxmlformats.org/officeDocument/2006/relationships/hyperlink" Target="https://www.entrecote.fr/" TargetMode="External"/><Relationship Id="rId759" Type="http://schemas.openxmlformats.org/officeDocument/2006/relationships/hyperlink" Target="https://www.google.com/maps/search/?api=1&amp;query=43.6067064,1.447284" TargetMode="External"/><Relationship Id="rId760" Type="http://schemas.openxmlformats.org/officeDocument/2006/relationships/hyperlink" Target="https://www.openstreetmap.org/node/1480282071" TargetMode="External"/><Relationship Id="rId761" Type="http://schemas.openxmlformats.org/officeDocument/2006/relationships/hyperlink" Target="https://www.google.com/maps/search/?api=1&amp;query=43.5846263,1.4282865" TargetMode="External"/><Relationship Id="rId762" Type="http://schemas.openxmlformats.org/officeDocument/2006/relationships/hyperlink" Target="https://www.openstreetmap.org/node/12202552351" TargetMode="External"/><Relationship Id="rId763" Type="http://schemas.openxmlformats.org/officeDocument/2006/relationships/hyperlink" Target="https://www.google.com/maps/search/?api=1&amp;query=43.6120413,1.4363706" TargetMode="External"/><Relationship Id="rId764" Type="http://schemas.openxmlformats.org/officeDocument/2006/relationships/hyperlink" Target="https://www.openstreetmap.org/node/13128797507" TargetMode="External"/><Relationship Id="rId765" Type="http://schemas.openxmlformats.org/officeDocument/2006/relationships/hyperlink" Target="https://limperiale-restaurant.fr/" TargetMode="External"/><Relationship Id="rId766" Type="http://schemas.openxmlformats.org/officeDocument/2006/relationships/hyperlink" Target="https://www.google.com/maps/search/?api=1&amp;query=43.6061847,1.4466151" TargetMode="External"/><Relationship Id="rId767" Type="http://schemas.openxmlformats.org/officeDocument/2006/relationships/hyperlink" Target="https://www.openstreetmap.org/node/917438390" TargetMode="External"/><Relationship Id="rId768" Type="http://schemas.openxmlformats.org/officeDocument/2006/relationships/hyperlink" Target="https://www.google.com/maps/search/?api=1&amp;query=43.5951941,1.4443383" TargetMode="External"/><Relationship Id="rId769" Type="http://schemas.openxmlformats.org/officeDocument/2006/relationships/hyperlink" Target="https://www.openstreetmap.org/node/2459885121" TargetMode="External"/><Relationship Id="rId770" Type="http://schemas.openxmlformats.org/officeDocument/2006/relationships/hyperlink" Target="https://www.google.com/maps/search/?api=1&amp;query=43.5984739,1.4322233" TargetMode="External"/><Relationship Id="rId771" Type="http://schemas.openxmlformats.org/officeDocument/2006/relationships/hyperlink" Target="https://www.openstreetmap.org/node/13388509458" TargetMode="External"/><Relationship Id="rId772" Type="http://schemas.openxmlformats.org/officeDocument/2006/relationships/hyperlink" Target="https://www.google.com/maps/search/?api=1&amp;query=43.5981857,1.4489549" TargetMode="External"/><Relationship Id="rId773" Type="http://schemas.openxmlformats.org/officeDocument/2006/relationships/hyperlink" Target="https://www.openstreetmap.org/node/3885017084" TargetMode="External"/><Relationship Id="rId774" Type="http://schemas.openxmlformats.org/officeDocument/2006/relationships/hyperlink" Target="https://www.losamoelletoulouse.com/" TargetMode="External"/><Relationship Id="rId775" Type="http://schemas.openxmlformats.org/officeDocument/2006/relationships/hyperlink" Target="https://www.google.com/maps/search/?api=1&amp;query=43.6105902,1.4454214" TargetMode="External"/><Relationship Id="rId776" Type="http://schemas.openxmlformats.org/officeDocument/2006/relationships/hyperlink" Target="https://www.openstreetmap.org/node/7639743090" TargetMode="External"/><Relationship Id="rId777" Type="http://schemas.openxmlformats.org/officeDocument/2006/relationships/hyperlink" Target="https://leclusetls.wixsite.com/lecluse-toulouse" TargetMode="External"/><Relationship Id="rId778" Type="http://schemas.openxmlformats.org/officeDocument/2006/relationships/hyperlink" Target="https://www.google.com/maps/search/?api=1&amp;query=43.5929288,1.4405233" TargetMode="External"/><Relationship Id="rId779" Type="http://schemas.openxmlformats.org/officeDocument/2006/relationships/hyperlink" Target="https://www.openstreetmap.org/node/5820222253" TargetMode="External"/><Relationship Id="rId780" Type="http://schemas.openxmlformats.org/officeDocument/2006/relationships/hyperlink" Target="https://www.lecorce.com/" TargetMode="External"/><Relationship Id="rId781" Type="http://schemas.openxmlformats.org/officeDocument/2006/relationships/hyperlink" Target="https://www.google.com/maps/search/?api=1&amp;query=43.6063573,1.4418429" TargetMode="External"/><Relationship Id="rId782" Type="http://schemas.openxmlformats.org/officeDocument/2006/relationships/hyperlink" Target="https://www.openstreetmap.org/node/5981079077" TargetMode="External"/><Relationship Id="rId783" Type="http://schemas.openxmlformats.org/officeDocument/2006/relationships/hyperlink" Target="https://www.google.com/maps/search/?api=1&amp;query=43.5617849,1.4065648" TargetMode="External"/><Relationship Id="rId784" Type="http://schemas.openxmlformats.org/officeDocument/2006/relationships/hyperlink" Target="https://www.openstreetmap.org/node/12222370408" TargetMode="External"/><Relationship Id="rId785" Type="http://schemas.openxmlformats.org/officeDocument/2006/relationships/hyperlink" Target="https://lemulsion.fr/" TargetMode="External"/><Relationship Id="rId786" Type="http://schemas.openxmlformats.org/officeDocument/2006/relationships/hyperlink" Target="https://www.google.com/maps/search/?api=1&amp;query=43.5974921,1.4481977" TargetMode="External"/><Relationship Id="rId787" Type="http://schemas.openxmlformats.org/officeDocument/2006/relationships/hyperlink" Target="https://www.openstreetmap.org/node/972419780" TargetMode="External"/><Relationship Id="rId788" Type="http://schemas.openxmlformats.org/officeDocument/2006/relationships/hyperlink" Target="https://www.google.com/maps/search/?api=1&amp;query=43.6063937,1.4521805" TargetMode="External"/><Relationship Id="rId789" Type="http://schemas.openxmlformats.org/officeDocument/2006/relationships/hyperlink" Target="https://www.openstreetmap.org/node/7787123019" TargetMode="External"/><Relationship Id="rId790" Type="http://schemas.openxmlformats.org/officeDocument/2006/relationships/hyperlink" Target="https://www.google.com/maps/search/?api=1&amp;query=43.5783677,1.40027" TargetMode="External"/><Relationship Id="rId791" Type="http://schemas.openxmlformats.org/officeDocument/2006/relationships/hyperlink" Target="https://www.openstreetmap.org/node/7010954718" TargetMode="External"/><Relationship Id="rId792" Type="http://schemas.openxmlformats.org/officeDocument/2006/relationships/hyperlink" Target="https://www.google.com/maps/search/?api=1&amp;query=43.631648,1.4120536" TargetMode="External"/><Relationship Id="rId793" Type="http://schemas.openxmlformats.org/officeDocument/2006/relationships/hyperlink" Target="https://www.openstreetmap.org/node/6387389877" TargetMode="External"/><Relationship Id="rId794" Type="http://schemas.openxmlformats.org/officeDocument/2006/relationships/hyperlink" Target="https://www.google.com/maps/search/?api=1&amp;query=43.6018667,1.4440967" TargetMode="External"/><Relationship Id="rId795" Type="http://schemas.openxmlformats.org/officeDocument/2006/relationships/hyperlink" Target="https://www.openstreetmap.org/node/2464788561" TargetMode="External"/><Relationship Id="rId796" Type="http://schemas.openxmlformats.org/officeDocument/2006/relationships/hyperlink" Target="https://www.google.com/maps/search/?api=1&amp;query=43.6019798,1.4484439" TargetMode="External"/><Relationship Id="rId797" Type="http://schemas.openxmlformats.org/officeDocument/2006/relationships/hyperlink" Target="https://www.openstreetmap.org/node/1054522267" TargetMode="External"/><Relationship Id="rId798" Type="http://schemas.openxmlformats.org/officeDocument/2006/relationships/hyperlink" Target="https://www.labonita.fr/" TargetMode="External"/><Relationship Id="rId799" Type="http://schemas.openxmlformats.org/officeDocument/2006/relationships/hyperlink" Target="https://www.google.com/maps/search/?api=1&amp;query=43.5902539,1.4456921" TargetMode="External"/><Relationship Id="rId800" Type="http://schemas.openxmlformats.org/officeDocument/2006/relationships/hyperlink" Target="https://www.openstreetmap.org/node/914709609" TargetMode="External"/><Relationship Id="rId801" Type="http://schemas.openxmlformats.org/officeDocument/2006/relationships/hyperlink" Target="https://www.google.com/maps/search/?api=1&amp;query=43.5505835,1.4019701" TargetMode="External"/><Relationship Id="rId802" Type="http://schemas.openxmlformats.org/officeDocument/2006/relationships/hyperlink" Target="https://www.openstreetmap.org/node/730695445" TargetMode="External"/><Relationship Id="rId803" Type="http://schemas.openxmlformats.org/officeDocument/2006/relationships/hyperlink" Target="https://www.labraisiere.fr/" TargetMode="External"/><Relationship Id="rId804" Type="http://schemas.openxmlformats.org/officeDocument/2006/relationships/hyperlink" Target="https://www.google.com/maps/search/?api=1&amp;query=43.5965905,1.4443862" TargetMode="External"/><Relationship Id="rId805" Type="http://schemas.openxmlformats.org/officeDocument/2006/relationships/hyperlink" Target="https://www.openstreetmap.org/node/894533411" TargetMode="External"/><Relationship Id="rId806" Type="http://schemas.openxmlformats.org/officeDocument/2006/relationships/hyperlink" Target="https://www.google.com/maps/search/?api=1&amp;query=43.6426871,1.4145707" TargetMode="External"/><Relationship Id="rId807" Type="http://schemas.openxmlformats.org/officeDocument/2006/relationships/hyperlink" Target="https://www.openstreetmap.org/way/75549703" TargetMode="External"/><Relationship Id="rId808" Type="http://schemas.openxmlformats.org/officeDocument/2006/relationships/hyperlink" Target="https://www.google.com/maps/search/?api=1&amp;query=43.5952389,1.4433014" TargetMode="External"/><Relationship Id="rId809" Type="http://schemas.openxmlformats.org/officeDocument/2006/relationships/hyperlink" Target="https://www.openstreetmap.org/node/1912022547" TargetMode="External"/><Relationship Id="rId810" Type="http://schemas.openxmlformats.org/officeDocument/2006/relationships/hyperlink" Target="http://toulousefruitsdemer.fr/" TargetMode="External"/><Relationship Id="rId811" Type="http://schemas.openxmlformats.org/officeDocument/2006/relationships/hyperlink" Target="https://www.google.com/maps/search/?api=1&amp;query=43.5975204,1.4202754" TargetMode="External"/><Relationship Id="rId812" Type="http://schemas.openxmlformats.org/officeDocument/2006/relationships/hyperlink" Target="https://www.openstreetmap.org/node/3355526595" TargetMode="External"/><Relationship Id="rId813" Type="http://schemas.openxmlformats.org/officeDocument/2006/relationships/hyperlink" Target="https://www.google.com/maps/search/?api=1&amp;query=43.6020555,1.4481266" TargetMode="External"/><Relationship Id="rId814" Type="http://schemas.openxmlformats.org/officeDocument/2006/relationships/hyperlink" Target="https://www.openstreetmap.org/node/2478393286" TargetMode="External"/><Relationship Id="rId815" Type="http://schemas.openxmlformats.org/officeDocument/2006/relationships/hyperlink" Target="https://www.google.com/maps/search/?api=1&amp;query=43.6474376,1.4635239" TargetMode="External"/><Relationship Id="rId816" Type="http://schemas.openxmlformats.org/officeDocument/2006/relationships/hyperlink" Target="https://www.openstreetmap.org/node/13626368620" TargetMode="External"/><Relationship Id="rId817" Type="http://schemas.openxmlformats.org/officeDocument/2006/relationships/hyperlink" Target="https://www.google.com/maps/search/?api=1&amp;query=43.5881231,1.4507726" TargetMode="External"/><Relationship Id="rId818" Type="http://schemas.openxmlformats.org/officeDocument/2006/relationships/hyperlink" Target="https://www.openstreetmap.org/node/1818039833" TargetMode="External"/><Relationship Id="rId819" Type="http://schemas.openxmlformats.org/officeDocument/2006/relationships/hyperlink" Target="https://www.lacave-serebiffe.fr/" TargetMode="External"/><Relationship Id="rId820" Type="http://schemas.openxmlformats.org/officeDocument/2006/relationships/hyperlink" Target="https://www.google.com/maps/search/?api=1&amp;query=43.5983911,1.4432313" TargetMode="External"/><Relationship Id="rId821" Type="http://schemas.openxmlformats.org/officeDocument/2006/relationships/hyperlink" Target="https://www.openstreetmap.org/node/6000894747" TargetMode="External"/><Relationship Id="rId822" Type="http://schemas.openxmlformats.org/officeDocument/2006/relationships/hyperlink" Target="https://www.lacendree.com/" TargetMode="External"/><Relationship Id="rId823" Type="http://schemas.openxmlformats.org/officeDocument/2006/relationships/hyperlink" Target="https://www.google.com/maps/search/?api=1&amp;query=43.5998656,1.4452018" TargetMode="External"/><Relationship Id="rId824" Type="http://schemas.openxmlformats.org/officeDocument/2006/relationships/hyperlink" Target="https://www.openstreetmap.org/node/2459885033" TargetMode="External"/><Relationship Id="rId825" Type="http://schemas.openxmlformats.org/officeDocument/2006/relationships/hyperlink" Target="https://www.google.com/maps/search/?api=1&amp;query=43.5804404,1.4295854" TargetMode="External"/><Relationship Id="rId826" Type="http://schemas.openxmlformats.org/officeDocument/2006/relationships/hyperlink" Target="https://www.openstreetmap.org/node/4971682673" TargetMode="External"/><Relationship Id="rId827" Type="http://schemas.openxmlformats.org/officeDocument/2006/relationships/hyperlink" Target="https://www.la-compagnie-francaise.fr/" TargetMode="External"/><Relationship Id="rId828" Type="http://schemas.openxmlformats.org/officeDocument/2006/relationships/hyperlink" Target="https://www.google.com/maps/search/?api=1&amp;query=43.6079494,1.4458548" TargetMode="External"/><Relationship Id="rId829" Type="http://schemas.openxmlformats.org/officeDocument/2006/relationships/hyperlink" Target="https://www.openstreetmap.org/node/2515629027" TargetMode="External"/><Relationship Id="rId830" Type="http://schemas.openxmlformats.org/officeDocument/2006/relationships/hyperlink" Target="https://www.google.com/maps/search/?api=1&amp;query=43.5910351,1.4471592" TargetMode="External"/><Relationship Id="rId831" Type="http://schemas.openxmlformats.org/officeDocument/2006/relationships/hyperlink" Target="https://www.openstreetmap.org/node/13188243599" TargetMode="External"/><Relationship Id="rId832" Type="http://schemas.openxmlformats.org/officeDocument/2006/relationships/hyperlink" Target="https://restaurantlaconserverie.com/" TargetMode="External"/><Relationship Id="rId833" Type="http://schemas.openxmlformats.org/officeDocument/2006/relationships/hyperlink" Target="https://www.google.com/maps/search/?api=1&amp;query=43.5956322,1.4462106" TargetMode="External"/><Relationship Id="rId834" Type="http://schemas.openxmlformats.org/officeDocument/2006/relationships/hyperlink" Target="https://www.openstreetmap.org/node/13506792323" TargetMode="External"/><Relationship Id="rId835" Type="http://schemas.openxmlformats.org/officeDocument/2006/relationships/hyperlink" Target="https://www.google.com/maps/search/?api=1&amp;query=43.6031462,1.4563634" TargetMode="External"/><Relationship Id="rId836" Type="http://schemas.openxmlformats.org/officeDocument/2006/relationships/hyperlink" Target="https://www.openstreetmap.org/node/610534138" TargetMode="External"/><Relationship Id="rId837" Type="http://schemas.openxmlformats.org/officeDocument/2006/relationships/hyperlink" Target="https://www.la-criee-des-gourmands.fr/" TargetMode="External"/><Relationship Id="rId838" Type="http://schemas.openxmlformats.org/officeDocument/2006/relationships/hyperlink" Target="https://www.google.com/maps/search/?api=1&amp;query=43.6246112,1.4751491" TargetMode="External"/><Relationship Id="rId839" Type="http://schemas.openxmlformats.org/officeDocument/2006/relationships/hyperlink" Target="https://www.openstreetmap.org/node/4329279134" TargetMode="External"/><Relationship Id="rId840" Type="http://schemas.openxmlformats.org/officeDocument/2006/relationships/hyperlink" Target="http://lacuisinedejean.fr/" TargetMode="External"/><Relationship Id="rId841" Type="http://schemas.openxmlformats.org/officeDocument/2006/relationships/hyperlink" Target="https://www.google.com/maps/search/?api=1&amp;query=43.5762972,1.4551901" TargetMode="External"/><Relationship Id="rId842" Type="http://schemas.openxmlformats.org/officeDocument/2006/relationships/hyperlink" Target="https://www.openstreetmap.org/node/1660615320" TargetMode="External"/><Relationship Id="rId843" Type="http://schemas.openxmlformats.org/officeDocument/2006/relationships/hyperlink" Target="https://www.google.com/maps/search/?api=1&amp;query=43.6100979,1.4390798" TargetMode="External"/><Relationship Id="rId844" Type="http://schemas.openxmlformats.org/officeDocument/2006/relationships/hyperlink" Target="https://www.openstreetmap.org/node/2460246687" TargetMode="External"/><Relationship Id="rId845" Type="http://schemas.openxmlformats.org/officeDocument/2006/relationships/hyperlink" Target="https://www.google.com/maps/search/?api=1&amp;query=43.6157193,1.463807" TargetMode="External"/><Relationship Id="rId846" Type="http://schemas.openxmlformats.org/officeDocument/2006/relationships/hyperlink" Target="https://www.openstreetmap.org/way/1277898231" TargetMode="External"/><Relationship Id="rId847" Type="http://schemas.openxmlformats.org/officeDocument/2006/relationships/hyperlink" Target="https://www.lacuisineameme.fr/" TargetMode="External"/><Relationship Id="rId848" Type="http://schemas.openxmlformats.org/officeDocument/2006/relationships/hyperlink" Target="https://www.google.com/maps/search/?api=1&amp;query=43.5984028,1.441688" TargetMode="External"/><Relationship Id="rId849" Type="http://schemas.openxmlformats.org/officeDocument/2006/relationships/hyperlink" Target="https://www.openstreetmap.org/node/7383272442" TargetMode="External"/><Relationship Id="rId850" Type="http://schemas.openxmlformats.org/officeDocument/2006/relationships/hyperlink" Target="https://www.google.com/maps/search/?api=1&amp;query=43.6108684,1.4376105" TargetMode="External"/><Relationship Id="rId851" Type="http://schemas.openxmlformats.org/officeDocument/2006/relationships/hyperlink" Target="https://www.openstreetmap.org/node/12638029827" TargetMode="External"/><Relationship Id="rId852" Type="http://schemas.openxmlformats.org/officeDocument/2006/relationships/hyperlink" Target="https://lacotedeboeuftoulouse.fr/" TargetMode="External"/><Relationship Id="rId853" Type="http://schemas.openxmlformats.org/officeDocument/2006/relationships/hyperlink" Target="https://www.google.com/maps/search/?api=1&amp;query=43.6029371,1.4427576" TargetMode="External"/><Relationship Id="rId854" Type="http://schemas.openxmlformats.org/officeDocument/2006/relationships/hyperlink" Target="https://www.openstreetmap.org/node/2465994034" TargetMode="External"/><Relationship Id="rId855" Type="http://schemas.openxmlformats.org/officeDocument/2006/relationships/hyperlink" Target="https://lafabrictoulousecptle.wordpress.com/" TargetMode="External"/><Relationship Id="rId856" Type="http://schemas.openxmlformats.org/officeDocument/2006/relationships/hyperlink" Target="https://www.google.com/maps/search/?api=1&amp;query=43.603921,1.4428256" TargetMode="External"/><Relationship Id="rId857" Type="http://schemas.openxmlformats.org/officeDocument/2006/relationships/hyperlink" Target="https://www.openstreetmap.org/node/3594991727" TargetMode="External"/><Relationship Id="rId858" Type="http://schemas.openxmlformats.org/officeDocument/2006/relationships/hyperlink" Target="https://fabriqduburger.com/" TargetMode="External"/><Relationship Id="rId859" Type="http://schemas.openxmlformats.org/officeDocument/2006/relationships/hyperlink" Target="https://www.google.com/maps/search/?api=1&amp;query=43.6219974,1.4598752" TargetMode="External"/><Relationship Id="rId860" Type="http://schemas.openxmlformats.org/officeDocument/2006/relationships/hyperlink" Target="https://www.openstreetmap.org/node/1532620945" TargetMode="External"/><Relationship Id="rId861" Type="http://schemas.openxmlformats.org/officeDocument/2006/relationships/hyperlink" Target="http://www.lafaimdesharicots.fr/" TargetMode="External"/><Relationship Id="rId862" Type="http://schemas.openxmlformats.org/officeDocument/2006/relationships/hyperlink" Target="https://www.google.com/maps/search/?api=1&amp;query=43.6017706,1.4439027" TargetMode="External"/><Relationship Id="rId863" Type="http://schemas.openxmlformats.org/officeDocument/2006/relationships/hyperlink" Target="https://www.openstreetmap.org/node/1585734411" TargetMode="External"/><Relationship Id="rId864" Type="http://schemas.openxmlformats.org/officeDocument/2006/relationships/hyperlink" Target="https://www.google.com/maps/search/?api=1&amp;query=43.6089774,1.3797689" TargetMode="External"/><Relationship Id="rId865" Type="http://schemas.openxmlformats.org/officeDocument/2006/relationships/hyperlink" Target="https://www.openstreetmap.org/way/74703114" TargetMode="External"/><Relationship Id="rId866" Type="http://schemas.openxmlformats.org/officeDocument/2006/relationships/hyperlink" Target="https://www.google.com/maps/search/?api=1&amp;query=43.550616,1.393221" TargetMode="External"/><Relationship Id="rId867" Type="http://schemas.openxmlformats.org/officeDocument/2006/relationships/hyperlink" Target="https://www.openstreetmap.org/node/9992561081" TargetMode="External"/><Relationship Id="rId868" Type="http://schemas.openxmlformats.org/officeDocument/2006/relationships/hyperlink" Target="https://www.galinette-rotisserie.fr/" TargetMode="External"/><Relationship Id="rId869" Type="http://schemas.openxmlformats.org/officeDocument/2006/relationships/hyperlink" Target="https://www.google.com/maps/search/?api=1&amp;query=43.6006119,1.4682553" TargetMode="External"/><Relationship Id="rId870" Type="http://schemas.openxmlformats.org/officeDocument/2006/relationships/hyperlink" Target="https://www.openstreetmap.org/node/3751077603" TargetMode="External"/><Relationship Id="rId871" Type="http://schemas.openxmlformats.org/officeDocument/2006/relationships/hyperlink" Target="https://www.google.com/maps/search/?api=1&amp;query=43.6022768,1.4508762" TargetMode="External"/><Relationship Id="rId872" Type="http://schemas.openxmlformats.org/officeDocument/2006/relationships/hyperlink" Target="https://www.openstreetmap.org/node/2994928219" TargetMode="External"/><Relationship Id="rId873" Type="http://schemas.openxmlformats.org/officeDocument/2006/relationships/hyperlink" Target="http://www.la-gaite.com/" TargetMode="External"/><Relationship Id="rId874" Type="http://schemas.openxmlformats.org/officeDocument/2006/relationships/hyperlink" Target="https://www.google.com/maps/search/?api=1&amp;query=43.609304,1.4387168" TargetMode="External"/><Relationship Id="rId875" Type="http://schemas.openxmlformats.org/officeDocument/2006/relationships/hyperlink" Target="https://www.openstreetmap.org/node/772899474" TargetMode="External"/><Relationship Id="rId876" Type="http://schemas.openxmlformats.org/officeDocument/2006/relationships/hyperlink" Target="https://lagina-ristorante.fr/" TargetMode="External"/><Relationship Id="rId877" Type="http://schemas.openxmlformats.org/officeDocument/2006/relationships/hyperlink" Target="https://www.google.com/maps/search/?api=1&amp;query=43.5736065,1.4923591" TargetMode="External"/><Relationship Id="rId878" Type="http://schemas.openxmlformats.org/officeDocument/2006/relationships/hyperlink" Target="https://www.openstreetmap.org/way/52443623" TargetMode="External"/><Relationship Id="rId879" Type="http://schemas.openxmlformats.org/officeDocument/2006/relationships/hyperlink" Target="https://www.la-gouaille-restaurant-toulouse.fr/" TargetMode="External"/><Relationship Id="rId880" Type="http://schemas.openxmlformats.org/officeDocument/2006/relationships/hyperlink" Target="https://www.google.com/maps/search/?api=1&amp;query=43.5984085,1.4438652" TargetMode="External"/><Relationship Id="rId881" Type="http://schemas.openxmlformats.org/officeDocument/2006/relationships/hyperlink" Target="https://www.openstreetmap.org/node/450165917" TargetMode="External"/><Relationship Id="rId882" Type="http://schemas.openxmlformats.org/officeDocument/2006/relationships/hyperlink" Target="https://lagourmandinecotecathedrale.fr/" TargetMode="External"/><Relationship Id="rId883" Type="http://schemas.openxmlformats.org/officeDocument/2006/relationships/hyperlink" Target="https://www.google.com/maps/search/?api=1&amp;query=43.6005225,1.4508244" TargetMode="External"/><Relationship Id="rId884" Type="http://schemas.openxmlformats.org/officeDocument/2006/relationships/hyperlink" Target="https://www.openstreetmap.org/node/776088713" TargetMode="External"/><Relationship Id="rId885" Type="http://schemas.openxmlformats.org/officeDocument/2006/relationships/hyperlink" Target="https://www.la-gourmandine.fr/" TargetMode="External"/><Relationship Id="rId886" Type="http://schemas.openxmlformats.org/officeDocument/2006/relationships/hyperlink" Target="https://www.google.com/maps/search/?api=1&amp;query=43.6059151,1.4463028" TargetMode="External"/><Relationship Id="rId887" Type="http://schemas.openxmlformats.org/officeDocument/2006/relationships/hyperlink" Target="https://www.openstreetmap.org/node/917441829" TargetMode="External"/><Relationship Id="rId888" Type="http://schemas.openxmlformats.org/officeDocument/2006/relationships/hyperlink" Target="https://www.facebook.com/La-Grange-31200-715638678509900/" TargetMode="External"/><Relationship Id="rId889" Type="http://schemas.openxmlformats.org/officeDocument/2006/relationships/hyperlink" Target="https://www.google.com/maps/search/?api=1&amp;query=43.6281541,1.411207" TargetMode="External"/><Relationship Id="rId890" Type="http://schemas.openxmlformats.org/officeDocument/2006/relationships/hyperlink" Target="https://www.openstreetmap.org/node/2078535143" TargetMode="External"/><Relationship Id="rId891" Type="http://schemas.openxmlformats.org/officeDocument/2006/relationships/hyperlink" Target="https://www.google.com/maps/search/?api=1&amp;query=43.578975,1.4235721" TargetMode="External"/><Relationship Id="rId892" Type="http://schemas.openxmlformats.org/officeDocument/2006/relationships/hyperlink" Target="https://www.openstreetmap.org/node/12202431303" TargetMode="External"/><Relationship Id="rId893" Type="http://schemas.openxmlformats.org/officeDocument/2006/relationships/hyperlink" Target="https://www.lakasbah.fr/" TargetMode="External"/><Relationship Id="rId894" Type="http://schemas.openxmlformats.org/officeDocument/2006/relationships/hyperlink" Target="https://www.google.com/maps/search/?api=1&amp;query=43.6094211,1.4394585" TargetMode="External"/><Relationship Id="rId895" Type="http://schemas.openxmlformats.org/officeDocument/2006/relationships/hyperlink" Target="https://www.openstreetmap.org/node/2525414074" TargetMode="External"/><Relationship Id="rId896" Type="http://schemas.openxmlformats.org/officeDocument/2006/relationships/hyperlink" Target="https://www.google.com/maps/search/?api=1&amp;query=43.5978235,1.444558" TargetMode="External"/><Relationship Id="rId897" Type="http://schemas.openxmlformats.org/officeDocument/2006/relationships/hyperlink" Target="https://www.openstreetmap.org/node/7779399782" TargetMode="External"/><Relationship Id="rId898" Type="http://schemas.openxmlformats.org/officeDocument/2006/relationships/hyperlink" Target="https://www.google.com/maps/search/?api=1&amp;query=43.6009326,1.440674" TargetMode="External"/><Relationship Id="rId899" Type="http://schemas.openxmlformats.org/officeDocument/2006/relationships/hyperlink" Target="https://www.openstreetmap.org/node/12282027357" TargetMode="External"/><Relationship Id="rId900" Type="http://schemas.openxmlformats.org/officeDocument/2006/relationships/hyperlink" Target="https://www.facebook.com/Maison-d&#224;-c&#244;t&#233;-Toulouse-2346101538944605/" TargetMode="External"/><Relationship Id="rId901" Type="http://schemas.openxmlformats.org/officeDocument/2006/relationships/hyperlink" Target="https://www.google.com/maps/search/?api=1&amp;query=43.5966823,1.4277551" TargetMode="External"/><Relationship Id="rId902" Type="http://schemas.openxmlformats.org/officeDocument/2006/relationships/hyperlink" Target="https://www.openstreetmap.org/node/7635190359" TargetMode="External"/><Relationship Id="rId903" Type="http://schemas.openxmlformats.org/officeDocument/2006/relationships/hyperlink" Target="https://www.google.com/maps/search/?api=1&amp;query=43.6029079,1.4417926" TargetMode="External"/><Relationship Id="rId904" Type="http://schemas.openxmlformats.org/officeDocument/2006/relationships/hyperlink" Target="https://www.openstreetmap.org/node/772674693" TargetMode="External"/><Relationship Id="rId905" Type="http://schemas.openxmlformats.org/officeDocument/2006/relationships/hyperlink" Target="http://www.mare-aux-canards.com/" TargetMode="External"/><Relationship Id="rId906" Type="http://schemas.openxmlformats.org/officeDocument/2006/relationships/hyperlink" Target="https://www.google.com/maps/search/?api=1&amp;query=43.6029466,1.4429008" TargetMode="External"/><Relationship Id="rId907" Type="http://schemas.openxmlformats.org/officeDocument/2006/relationships/hyperlink" Target="https://www.openstreetmap.org/node/2465994038" TargetMode="External"/><Relationship Id="rId908" Type="http://schemas.openxmlformats.org/officeDocument/2006/relationships/hyperlink" Target="https://www.google.com/maps/search/?api=1&amp;query=43.611319,1.4475699" TargetMode="External"/><Relationship Id="rId909" Type="http://schemas.openxmlformats.org/officeDocument/2006/relationships/hyperlink" Target="https://www.openstreetmap.org/node/4200305810" TargetMode="External"/><Relationship Id="rId910" Type="http://schemas.openxmlformats.org/officeDocument/2006/relationships/hyperlink" Target="https://www.google.com/maps/search/?api=1&amp;query=43.5917423,1.4472696" TargetMode="External"/><Relationship Id="rId911" Type="http://schemas.openxmlformats.org/officeDocument/2006/relationships/hyperlink" Target="https://www.openstreetmap.org/node/6594102142" TargetMode="External"/><Relationship Id="rId912" Type="http://schemas.openxmlformats.org/officeDocument/2006/relationships/hyperlink" Target="https://lamesadelola.com/" TargetMode="External"/><Relationship Id="rId913" Type="http://schemas.openxmlformats.org/officeDocument/2006/relationships/hyperlink" Target="https://www.google.com/maps/search/?api=1&amp;query=43.6078537,1.4568706" TargetMode="External"/><Relationship Id="rId914" Type="http://schemas.openxmlformats.org/officeDocument/2006/relationships/hyperlink" Target="https://www.openstreetmap.org/node/11772275476" TargetMode="External"/><Relationship Id="rId915" Type="http://schemas.openxmlformats.org/officeDocument/2006/relationships/hyperlink" Target="https://www.google.com/maps/search/?api=1&amp;query=43.6111842,1.4518064" TargetMode="External"/><Relationship Id="rId916" Type="http://schemas.openxmlformats.org/officeDocument/2006/relationships/hyperlink" Target="https://www.openstreetmap.org/node/2450406602" TargetMode="External"/><Relationship Id="rId917" Type="http://schemas.openxmlformats.org/officeDocument/2006/relationships/hyperlink" Target="https://www.restaurant-lamignardise.fr/" TargetMode="External"/><Relationship Id="rId918" Type="http://schemas.openxmlformats.org/officeDocument/2006/relationships/hyperlink" Target="https://www.google.com/maps/search/?api=1&amp;query=43.6204511,1.4360175" TargetMode="External"/><Relationship Id="rId919" Type="http://schemas.openxmlformats.org/officeDocument/2006/relationships/hyperlink" Target="https://www.openstreetmap.org/node/1450473393" TargetMode="External"/><Relationship Id="rId920" Type="http://schemas.openxmlformats.org/officeDocument/2006/relationships/hyperlink" Target="http://www.lamilonga-toulouse.fr/" TargetMode="External"/><Relationship Id="rId921" Type="http://schemas.openxmlformats.org/officeDocument/2006/relationships/hyperlink" Target="https://www.google.com/maps/search/?api=1&amp;query=43.6198512,1.4362988" TargetMode="External"/><Relationship Id="rId922" Type="http://schemas.openxmlformats.org/officeDocument/2006/relationships/hyperlink" Target="https://www.openstreetmap.org/way/76308566" TargetMode="External"/><Relationship Id="rId923" Type="http://schemas.openxmlformats.org/officeDocument/2006/relationships/hyperlink" Target="https://lesmonediers.fr/" TargetMode="External"/><Relationship Id="rId924" Type="http://schemas.openxmlformats.org/officeDocument/2006/relationships/hyperlink" Target="https://www.google.com/maps/search/?api=1&amp;query=43.5729193,1.3796483" TargetMode="External"/><Relationship Id="rId925" Type="http://schemas.openxmlformats.org/officeDocument/2006/relationships/hyperlink" Target="https://www.openstreetmap.org/node/866644054" TargetMode="External"/><Relationship Id="rId926" Type="http://schemas.openxmlformats.org/officeDocument/2006/relationships/hyperlink" Target="https://www.google.com/maps/search/?api=1&amp;query=43.6091137,1.4392572" TargetMode="External"/><Relationship Id="rId927" Type="http://schemas.openxmlformats.org/officeDocument/2006/relationships/hyperlink" Target="https://www.openstreetmap.org/node/4185374044" TargetMode="External"/><Relationship Id="rId928" Type="http://schemas.openxmlformats.org/officeDocument/2006/relationships/hyperlink" Target="https://lanoria-toulouse.fr/" TargetMode="External"/><Relationship Id="rId929" Type="http://schemas.openxmlformats.org/officeDocument/2006/relationships/hyperlink" Target="https://www.google.com/maps/search/?api=1&amp;query=43.6322391,1.4517882" TargetMode="External"/><Relationship Id="rId930" Type="http://schemas.openxmlformats.org/officeDocument/2006/relationships/hyperlink" Target="https://www.openstreetmap.org/node/1411595857" TargetMode="External"/><Relationship Id="rId931" Type="http://schemas.openxmlformats.org/officeDocument/2006/relationships/hyperlink" Target="https://www.google.com/maps/search/?api=1&amp;query=43.6016063,1.4408263" TargetMode="External"/><Relationship Id="rId932" Type="http://schemas.openxmlformats.org/officeDocument/2006/relationships/hyperlink" Target="https://www.openstreetmap.org/node/772724827" TargetMode="External"/><Relationship Id="rId933" Type="http://schemas.openxmlformats.org/officeDocument/2006/relationships/hyperlink" Target="https://www.hotel-restaurant-la-palmeraie.fr/" TargetMode="External"/><Relationship Id="rId934" Type="http://schemas.openxmlformats.org/officeDocument/2006/relationships/hyperlink" Target="https://www.google.com/maps/search/?api=1&amp;query=43.6445748,1.4262164" TargetMode="External"/><Relationship Id="rId935" Type="http://schemas.openxmlformats.org/officeDocument/2006/relationships/hyperlink" Target="https://www.openstreetmap.org/node/12839652040" TargetMode="External"/><Relationship Id="rId936" Type="http://schemas.openxmlformats.org/officeDocument/2006/relationships/hyperlink" Target="https://www.lapaniolade.fr/" TargetMode="External"/><Relationship Id="rId937" Type="http://schemas.openxmlformats.org/officeDocument/2006/relationships/hyperlink" Target="https://www.google.com/maps/search/?api=1&amp;query=43.6198001,1.4239488" TargetMode="External"/><Relationship Id="rId938" Type="http://schemas.openxmlformats.org/officeDocument/2006/relationships/hyperlink" Target="https://www.openstreetmap.org/node/617755381" TargetMode="External"/><Relationship Id="rId939" Type="http://schemas.openxmlformats.org/officeDocument/2006/relationships/hyperlink" Target="https://lapastasciutta.fr/" TargetMode="External"/><Relationship Id="rId940" Type="http://schemas.openxmlformats.org/officeDocument/2006/relationships/hyperlink" Target="https://www.google.com/maps/search/?api=1&amp;query=43.6063048,1.454889" TargetMode="External"/><Relationship Id="rId941" Type="http://schemas.openxmlformats.org/officeDocument/2006/relationships/hyperlink" Target="https://www.openstreetmap.org/node/637945273" TargetMode="External"/><Relationship Id="rId942" Type="http://schemas.openxmlformats.org/officeDocument/2006/relationships/hyperlink" Target="https://commande-en-ligne.laddition.com/commande-en-ligne/lapecoranera-click-and-collect" TargetMode="External"/><Relationship Id="rId943" Type="http://schemas.openxmlformats.org/officeDocument/2006/relationships/hyperlink" Target="https://www.google.com/maps/search/?api=1&amp;query=43.575707,1.4733055" TargetMode="External"/><Relationship Id="rId944" Type="http://schemas.openxmlformats.org/officeDocument/2006/relationships/hyperlink" Target="https://www.openstreetmap.org/node/3876791193" TargetMode="External"/><Relationship Id="rId945" Type="http://schemas.openxmlformats.org/officeDocument/2006/relationships/hyperlink" Target="http://lacompagniedespergos.fr/" TargetMode="External"/><Relationship Id="rId946" Type="http://schemas.openxmlformats.org/officeDocument/2006/relationships/hyperlink" Target="https://www.google.com/maps/search/?api=1&amp;query=43.5903996,1.3790608" TargetMode="External"/><Relationship Id="rId947" Type="http://schemas.openxmlformats.org/officeDocument/2006/relationships/hyperlink" Target="https://www.openstreetmap.org/node/2343567986" TargetMode="External"/><Relationship Id="rId948" Type="http://schemas.openxmlformats.org/officeDocument/2006/relationships/hyperlink" Target="https://www.google.com/maps/search/?api=1&amp;query=43.6285216,1.4492166" TargetMode="External"/><Relationship Id="rId949" Type="http://schemas.openxmlformats.org/officeDocument/2006/relationships/hyperlink" Target="https://www.openstreetmap.org/node/13953678139" TargetMode="External"/><Relationship Id="rId950" Type="http://schemas.openxmlformats.org/officeDocument/2006/relationships/hyperlink" Target="https://la-perse-restaurant-toulouse.fr/" TargetMode="External"/><Relationship Id="rId951" Type="http://schemas.openxmlformats.org/officeDocument/2006/relationships/hyperlink" Target="https://www.google.com/maps/search/?api=1&amp;query=43.6107557,1.4388536" TargetMode="External"/><Relationship Id="rId952" Type="http://schemas.openxmlformats.org/officeDocument/2006/relationships/hyperlink" Target="https://www.openstreetmap.org/node/2460246697" TargetMode="External"/><Relationship Id="rId953" Type="http://schemas.openxmlformats.org/officeDocument/2006/relationships/hyperlink" Target="https://www.google.com/maps/search/?api=1&amp;query=43.60631,1.4539278" TargetMode="External"/><Relationship Id="rId954" Type="http://schemas.openxmlformats.org/officeDocument/2006/relationships/hyperlink" Target="https://www.openstreetmap.org/node/10608534925" TargetMode="External"/><Relationship Id="rId955" Type="http://schemas.openxmlformats.org/officeDocument/2006/relationships/hyperlink" Target="https://petiteitalie.fr/" TargetMode="External"/><Relationship Id="rId956" Type="http://schemas.openxmlformats.org/officeDocument/2006/relationships/hyperlink" Target="https://www.google.com/maps/search/?api=1&amp;query=43.605467,1.4589794" TargetMode="External"/><Relationship Id="rId957" Type="http://schemas.openxmlformats.org/officeDocument/2006/relationships/hyperlink" Target="https://www.openstreetmap.org/node/3125457117" TargetMode="External"/><Relationship Id="rId958" Type="http://schemas.openxmlformats.org/officeDocument/2006/relationships/hyperlink" Target="https://la-petite-robe-noire.fr/" TargetMode="External"/><Relationship Id="rId959" Type="http://schemas.openxmlformats.org/officeDocument/2006/relationships/hyperlink" Target="https://www.google.com/maps/search/?api=1&amp;query=43.6042806,1.4543227" TargetMode="External"/><Relationship Id="rId960" Type="http://schemas.openxmlformats.org/officeDocument/2006/relationships/hyperlink" Target="https://www.openstreetmap.org/node/10875284703" TargetMode="External"/><Relationship Id="rId961" Type="http://schemas.openxmlformats.org/officeDocument/2006/relationships/hyperlink" Target="https://www.lapizzeria31.fr/" TargetMode="External"/><Relationship Id="rId962" Type="http://schemas.openxmlformats.org/officeDocument/2006/relationships/hyperlink" Target="https://www.google.com/maps/search/?api=1&amp;query=43.6049132,1.45739" TargetMode="External"/><Relationship Id="rId963" Type="http://schemas.openxmlformats.org/officeDocument/2006/relationships/hyperlink" Target="https://www.openstreetmap.org/node/3542452446" TargetMode="External"/><Relationship Id="rId964" Type="http://schemas.openxmlformats.org/officeDocument/2006/relationships/hyperlink" Target="https://www.google.com/maps/search/?api=1&amp;query=43.6065685,1.4828077" TargetMode="External"/><Relationship Id="rId965" Type="http://schemas.openxmlformats.org/officeDocument/2006/relationships/hyperlink" Target="https://www.openstreetmap.org/node/1531905944" TargetMode="External"/><Relationship Id="rId966" Type="http://schemas.openxmlformats.org/officeDocument/2006/relationships/hyperlink" Target="https://www.larajasthani.fr/" TargetMode="External"/><Relationship Id="rId967" Type="http://schemas.openxmlformats.org/officeDocument/2006/relationships/hyperlink" Target="https://www.google.com/maps/search/?api=1&amp;query=43.6029525,1.4426" TargetMode="External"/><Relationship Id="rId968" Type="http://schemas.openxmlformats.org/officeDocument/2006/relationships/hyperlink" Target="https://www.openstreetmap.org/node/2465994048" TargetMode="External"/><Relationship Id="rId969" Type="http://schemas.openxmlformats.org/officeDocument/2006/relationships/hyperlink" Target="https://www.fratellirizzo.fr/" TargetMode="External"/><Relationship Id="rId970" Type="http://schemas.openxmlformats.org/officeDocument/2006/relationships/hyperlink" Target="https://www.google.com/maps/search/?api=1&amp;query=43.6337162,1.4330277" TargetMode="External"/><Relationship Id="rId971" Type="http://schemas.openxmlformats.org/officeDocument/2006/relationships/hyperlink" Target="https://www.openstreetmap.org/node/1259663318" TargetMode="External"/><Relationship Id="rId972" Type="http://schemas.openxmlformats.org/officeDocument/2006/relationships/hyperlink" Target="https://www.google.com/maps/search/?api=1&amp;query=43.5712783,1.4249448" TargetMode="External"/><Relationship Id="rId973" Type="http://schemas.openxmlformats.org/officeDocument/2006/relationships/hyperlink" Target="https://www.openstreetmap.org/node/450625102" TargetMode="External"/><Relationship Id="rId974" Type="http://schemas.openxmlformats.org/officeDocument/2006/relationships/hyperlink" Target="https://victor-hugo.rosa-negra.fr/la-rosa-cote-victor-hugo" TargetMode="External"/><Relationship Id="rId975" Type="http://schemas.openxmlformats.org/officeDocument/2006/relationships/hyperlink" Target="https://www.google.com/maps/search/?api=1&amp;query=43.605632,1.4465482" TargetMode="External"/><Relationship Id="rId976" Type="http://schemas.openxmlformats.org/officeDocument/2006/relationships/hyperlink" Target="https://www.openstreetmap.org/node/6032272329" TargetMode="External"/><Relationship Id="rId977" Type="http://schemas.openxmlformats.org/officeDocument/2006/relationships/hyperlink" Target="https://cote-barcelone.rosa-negra.fr/la-rosa-cote-barcelone" TargetMode="External"/><Relationship Id="rId978" Type="http://schemas.openxmlformats.org/officeDocument/2006/relationships/hyperlink" Target="https://www.google.com/maps/search/?api=1&amp;query=43.6069138,1.4303011" TargetMode="External"/><Relationship Id="rId979" Type="http://schemas.openxmlformats.org/officeDocument/2006/relationships/hyperlink" Target="https://www.openstreetmap.org/node/4391765186" TargetMode="External"/><Relationship Id="rId980" Type="http://schemas.openxmlformats.org/officeDocument/2006/relationships/hyperlink" Target="https://www.google.com/maps/search/?api=1&amp;query=43.5980208,1.4299942" TargetMode="External"/><Relationship Id="rId981" Type="http://schemas.openxmlformats.org/officeDocument/2006/relationships/hyperlink" Target="https://www.openstreetmap.org/node/637944751" TargetMode="External"/><Relationship Id="rId982" Type="http://schemas.openxmlformats.org/officeDocument/2006/relationships/hyperlink" Target="https://cote-cancha.rosa-negra.fr/la-rosa-cote-cancha" TargetMode="External"/><Relationship Id="rId983" Type="http://schemas.openxmlformats.org/officeDocument/2006/relationships/hyperlink" Target="https://www.google.com/maps/search/?api=1&amp;query=43.6287842,1.410775" TargetMode="External"/><Relationship Id="rId984" Type="http://schemas.openxmlformats.org/officeDocument/2006/relationships/hyperlink" Target="https://www.openstreetmap.org/node/4953587105" TargetMode="External"/><Relationship Id="rId985" Type="http://schemas.openxmlformats.org/officeDocument/2006/relationships/hyperlink" Target="https://www.lareservetoulouse.fr/" TargetMode="External"/><Relationship Id="rId986" Type="http://schemas.openxmlformats.org/officeDocument/2006/relationships/hyperlink" Target="https://www.google.com/maps/search/?api=1&amp;query=43.6021082,1.4408518" TargetMode="External"/><Relationship Id="rId987" Type="http://schemas.openxmlformats.org/officeDocument/2006/relationships/hyperlink" Target="https://www.openstreetmap.org/node/632704752" TargetMode="External"/><Relationship Id="rId988" Type="http://schemas.openxmlformats.org/officeDocument/2006/relationships/hyperlink" Target="https://www.google.com/maps/search/?api=1&amp;query=43.6048289,1.4523793" TargetMode="External"/><Relationship Id="rId989" Type="http://schemas.openxmlformats.org/officeDocument/2006/relationships/hyperlink" Target="https://www.openstreetmap.org/node/2578303612" TargetMode="External"/><Relationship Id="rId990" Type="http://schemas.openxmlformats.org/officeDocument/2006/relationships/hyperlink" Target="https://www.la-santine.com/" TargetMode="External"/><Relationship Id="rId991" Type="http://schemas.openxmlformats.org/officeDocument/2006/relationships/hyperlink" Target="https://www.google.com/maps/search/?api=1&amp;query=43.6018241,1.4400097" TargetMode="External"/><Relationship Id="rId992" Type="http://schemas.openxmlformats.org/officeDocument/2006/relationships/hyperlink" Target="https://www.openstreetmap.org/node/772602036" TargetMode="External"/><Relationship Id="rId993" Type="http://schemas.openxmlformats.org/officeDocument/2006/relationships/hyperlink" Target="https://sauterelletoulouse.wordpress.com/" TargetMode="External"/><Relationship Id="rId994" Type="http://schemas.openxmlformats.org/officeDocument/2006/relationships/hyperlink" Target="https://www.google.com/maps/search/?api=1&amp;query=43.6019201,1.4427732" TargetMode="External"/><Relationship Id="rId995" Type="http://schemas.openxmlformats.org/officeDocument/2006/relationships/hyperlink" Target="https://www.openstreetmap.org/node/10035890582" TargetMode="External"/><Relationship Id="rId996" Type="http://schemas.openxmlformats.org/officeDocument/2006/relationships/hyperlink" Target="https://www.google.com/maps/search/?api=1&amp;query=43.6060623,1.4424687" TargetMode="External"/><Relationship Id="rId997" Type="http://schemas.openxmlformats.org/officeDocument/2006/relationships/hyperlink" Target="https://www.openstreetmap.org/node/2444345598" TargetMode="External"/><Relationship Id="rId998" Type="http://schemas.openxmlformats.org/officeDocument/2006/relationships/hyperlink" Target="http://lasoupeaucaillou.fr/" TargetMode="External"/><Relationship Id="rId999" Type="http://schemas.openxmlformats.org/officeDocument/2006/relationships/hyperlink" Target="https://www.google.com/maps/search/?api=1&amp;query=43.6137858,1.4241974" TargetMode="External"/><Relationship Id="rId1000" Type="http://schemas.openxmlformats.org/officeDocument/2006/relationships/hyperlink" Target="https://www.openstreetmap.org/node/3595010787" TargetMode="External"/><Relationship Id="rId1001" Type="http://schemas.openxmlformats.org/officeDocument/2006/relationships/hyperlink" Target="https://www.google.com/maps/search/?api=1&amp;query=43.5637758,1.4036757" TargetMode="External"/><Relationship Id="rId1002" Type="http://schemas.openxmlformats.org/officeDocument/2006/relationships/hyperlink" Target="https://www.openstreetmap.org/node/11263411680" TargetMode="External"/><Relationship Id="rId1003" Type="http://schemas.openxmlformats.org/officeDocument/2006/relationships/hyperlink" Target="https://www.hotel-ariane-toulouse.fr/fr/page/la-table-d-ariane" TargetMode="External"/><Relationship Id="rId1004" Type="http://schemas.openxmlformats.org/officeDocument/2006/relationships/hyperlink" Target="https://www.google.com/maps/search/?api=1&amp;query=43.559789,1.4956421" TargetMode="External"/><Relationship Id="rId1005" Type="http://schemas.openxmlformats.org/officeDocument/2006/relationships/hyperlink" Target="https://www.openstreetmap.org/node/2294604973" TargetMode="External"/><Relationship Id="rId1006" Type="http://schemas.openxmlformats.org/officeDocument/2006/relationships/hyperlink" Target="https://www.latabledemiletoulouse.fr/" TargetMode="External"/><Relationship Id="rId1007" Type="http://schemas.openxmlformats.org/officeDocument/2006/relationships/hyperlink" Target="https://www.google.com/maps/search/?api=1&amp;query=43.6581542,1.4319907" TargetMode="External"/><Relationship Id="rId1008" Type="http://schemas.openxmlformats.org/officeDocument/2006/relationships/hyperlink" Target="https://www.openstreetmap.org/node/3753343385" TargetMode="External"/><Relationship Id="rId1009" Type="http://schemas.openxmlformats.org/officeDocument/2006/relationships/hyperlink" Target="https://tantinadelaplaya.com/restaurant-poisson-toulouse/" TargetMode="External"/><Relationship Id="rId1010" Type="http://schemas.openxmlformats.org/officeDocument/2006/relationships/hyperlink" Target="https://www.google.com/maps/search/?api=1&amp;query=43.5859236,1.4652795" TargetMode="External"/><Relationship Id="rId1011" Type="http://schemas.openxmlformats.org/officeDocument/2006/relationships/hyperlink" Target="https://www.openstreetmap.org/node/2005338549" TargetMode="External"/><Relationship Id="rId1012" Type="http://schemas.openxmlformats.org/officeDocument/2006/relationships/hyperlink" Target="https://lataqueriatoulouse.fr/" TargetMode="External"/><Relationship Id="rId1013" Type="http://schemas.openxmlformats.org/officeDocument/2006/relationships/hyperlink" Target="https://www.google.com/maps/search/?api=1&amp;query=43.6062814,1.4509309" TargetMode="External"/><Relationship Id="rId1014" Type="http://schemas.openxmlformats.org/officeDocument/2006/relationships/hyperlink" Target="https://www.openstreetmap.org/node/2742267394" TargetMode="External"/><Relationship Id="rId1015" Type="http://schemas.openxmlformats.org/officeDocument/2006/relationships/hyperlink" Target="https://lataqueriatoulouse.fr/" TargetMode="External"/><Relationship Id="rId1016" Type="http://schemas.openxmlformats.org/officeDocument/2006/relationships/hyperlink" Target="https://www.google.com/maps/search/?api=1&amp;query=43.6067665,1.4518374" TargetMode="External"/><Relationship Id="rId1017" Type="http://schemas.openxmlformats.org/officeDocument/2006/relationships/hyperlink" Target="https://www.openstreetmap.org/node/2054262988" TargetMode="External"/><Relationship Id="rId1018" Type="http://schemas.openxmlformats.org/officeDocument/2006/relationships/hyperlink" Target="https://www.google.com/maps/search/?api=1&amp;query=43.5715122,1.3869742" TargetMode="External"/><Relationship Id="rId1019" Type="http://schemas.openxmlformats.org/officeDocument/2006/relationships/hyperlink" Target="https://www.openstreetmap.org/node/866639154" TargetMode="External"/><Relationship Id="rId1020" Type="http://schemas.openxmlformats.org/officeDocument/2006/relationships/hyperlink" Target="https://www.google.com/maps/search/?api=1&amp;query=43.6004296,1.3637657" TargetMode="External"/><Relationship Id="rId1021" Type="http://schemas.openxmlformats.org/officeDocument/2006/relationships/hyperlink" Target="https://www.openstreetmap.org/node/3504725005" TargetMode="External"/><Relationship Id="rId1022" Type="http://schemas.openxmlformats.org/officeDocument/2006/relationships/hyperlink" Target="https://www.laverriere-toulouse.fr/" TargetMode="External"/><Relationship Id="rId1023" Type="http://schemas.openxmlformats.org/officeDocument/2006/relationships/hyperlink" Target="https://www.google.com/maps/search/?api=1&amp;query=43.5984959,1.4438477" TargetMode="External"/><Relationship Id="rId1024" Type="http://schemas.openxmlformats.org/officeDocument/2006/relationships/hyperlink" Target="https://www.openstreetmap.org/node/6000894749" TargetMode="External"/><Relationship Id="rId1025" Type="http://schemas.openxmlformats.org/officeDocument/2006/relationships/hyperlink" Target="https://www.google.com/maps/search/?api=1&amp;query=43.6277517,1.4589918" TargetMode="External"/><Relationship Id="rId1026" Type="http://schemas.openxmlformats.org/officeDocument/2006/relationships/hyperlink" Target="https://www.openstreetmap.org/node/6679522413" TargetMode="External"/><Relationship Id="rId1027" Type="http://schemas.openxmlformats.org/officeDocument/2006/relationships/hyperlink" Target="https://www.google.com/maps/search/?api=1&amp;query=43.5452988,1.4390404" TargetMode="External"/><Relationship Id="rId1028" Type="http://schemas.openxmlformats.org/officeDocument/2006/relationships/hyperlink" Target="https://www.openstreetmap.org/node/9740841888" TargetMode="External"/><Relationship Id="rId1029" Type="http://schemas.openxmlformats.org/officeDocument/2006/relationships/hyperlink" Target="https://www.villadesoliviers.fr/" TargetMode="External"/><Relationship Id="rId1030" Type="http://schemas.openxmlformats.org/officeDocument/2006/relationships/hyperlink" Target="https://www.google.com/maps/search/?api=1&amp;query=43.5843416,1.4917546" TargetMode="External"/><Relationship Id="rId1031" Type="http://schemas.openxmlformats.org/officeDocument/2006/relationships/hyperlink" Target="https://www.openstreetmap.org/way/54411368" TargetMode="External"/><Relationship Id="rId1032" Type="http://schemas.openxmlformats.org/officeDocument/2006/relationships/hyperlink" Target="https://lady-sushi.fr/" TargetMode="External"/><Relationship Id="rId1033" Type="http://schemas.openxmlformats.org/officeDocument/2006/relationships/hyperlink" Target="https://www.google.com/maps/search/?api=1&amp;query=43.6633082,1.4310025" TargetMode="External"/><Relationship Id="rId1034" Type="http://schemas.openxmlformats.org/officeDocument/2006/relationships/hyperlink" Target="https://www.openstreetmap.org/node/4418074223" TargetMode="External"/><Relationship Id="rId1035" Type="http://schemas.openxmlformats.org/officeDocument/2006/relationships/hyperlink" Target="https://www.google.com/maps/search/?api=1&amp;query=43.6406788,1.454109" TargetMode="External"/><Relationship Id="rId1036" Type="http://schemas.openxmlformats.org/officeDocument/2006/relationships/hyperlink" Target="https://www.openstreetmap.org/node/9779128164" TargetMode="External"/><Relationship Id="rId1037" Type="http://schemas.openxmlformats.org/officeDocument/2006/relationships/hyperlink" Target="https://www.google.com/maps/search/?api=1&amp;query=43.6047373,1.449028" TargetMode="External"/><Relationship Id="rId1038" Type="http://schemas.openxmlformats.org/officeDocument/2006/relationships/hyperlink" Target="https://www.openstreetmap.org/node/2993590519" TargetMode="External"/><Relationship Id="rId1039" Type="http://schemas.openxmlformats.org/officeDocument/2006/relationships/hyperlink" Target="https://www.complexe101.fr/" TargetMode="External"/><Relationship Id="rId1040" Type="http://schemas.openxmlformats.org/officeDocument/2006/relationships/hyperlink" Target="https://www.google.com/maps/search/?api=1&amp;query=43.629251,1.4802601" TargetMode="External"/><Relationship Id="rId1041" Type="http://schemas.openxmlformats.org/officeDocument/2006/relationships/hyperlink" Target="https://www.openstreetmap.org/way/76299596" TargetMode="External"/><Relationship Id="rId1042" Type="http://schemas.openxmlformats.org/officeDocument/2006/relationships/hyperlink" Target="https://www.google.com/maps/search/?api=1&amp;query=43.6403396,1.4292295" TargetMode="External"/><Relationship Id="rId1043" Type="http://schemas.openxmlformats.org/officeDocument/2006/relationships/hyperlink" Target="https://www.openstreetmap.org/node/12085741169" TargetMode="External"/><Relationship Id="rId1044" Type="http://schemas.openxmlformats.org/officeDocument/2006/relationships/hyperlink" Target="https://www.google.com/maps/search/?api=1&amp;query=43.5836065,1.4509009" TargetMode="External"/><Relationship Id="rId1045" Type="http://schemas.openxmlformats.org/officeDocument/2006/relationships/hyperlink" Target="https://www.openstreetmap.org/node/4232501976" TargetMode="External"/><Relationship Id="rId1046" Type="http://schemas.openxmlformats.org/officeDocument/2006/relationships/hyperlink" Target="https://www.google.com/maps/search/?api=1&amp;query=43.6044933,1.45364" TargetMode="External"/><Relationship Id="rId1047" Type="http://schemas.openxmlformats.org/officeDocument/2006/relationships/hyperlink" Target="https://www.openstreetmap.org/node/632701211" TargetMode="External"/><Relationship Id="rId1048" Type="http://schemas.openxmlformats.org/officeDocument/2006/relationships/hyperlink" Target="https://www.lebaratie.com/" TargetMode="External"/><Relationship Id="rId1049" Type="http://schemas.openxmlformats.org/officeDocument/2006/relationships/hyperlink" Target="https://www.google.com/maps/search/?api=1&amp;query=43.58408,1.4437816" TargetMode="External"/><Relationship Id="rId1050" Type="http://schemas.openxmlformats.org/officeDocument/2006/relationships/hyperlink" Target="https://www.openstreetmap.org/node/7460784290" TargetMode="External"/><Relationship Id="rId1051" Type="http://schemas.openxmlformats.org/officeDocument/2006/relationships/hyperlink" Target="https://www.google.com/maps/search/?api=1&amp;query=43.602269,1.4383702" TargetMode="External"/><Relationship Id="rId1052" Type="http://schemas.openxmlformats.org/officeDocument/2006/relationships/hyperlink" Target="https://www.openstreetmap.org/node/3493476284" TargetMode="External"/><Relationship Id="rId1053" Type="http://schemas.openxmlformats.org/officeDocument/2006/relationships/hyperlink" Target="https://brasserie-lebidule.com/" TargetMode="External"/><Relationship Id="rId1054" Type="http://schemas.openxmlformats.org/officeDocument/2006/relationships/hyperlink" Target="https://www.google.com/maps/search/?api=1&amp;query=43.6165033,1.4302974" TargetMode="External"/><Relationship Id="rId1055" Type="http://schemas.openxmlformats.org/officeDocument/2006/relationships/hyperlink" Target="https://www.openstreetmap.org/node/3657345848" TargetMode="External"/><Relationship Id="rId1056" Type="http://schemas.openxmlformats.org/officeDocument/2006/relationships/hyperlink" Target="https://lebiergarten-saintmichel.fr/" TargetMode="External"/><Relationship Id="rId1057" Type="http://schemas.openxmlformats.org/officeDocument/2006/relationships/hyperlink" Target="https://www.google.com/maps/search/?api=1&amp;query=43.5884796,1.4464027" TargetMode="External"/><Relationship Id="rId1058" Type="http://schemas.openxmlformats.org/officeDocument/2006/relationships/hyperlink" Target="https://www.openstreetmap.org/node/1724055724" TargetMode="External"/><Relationship Id="rId1059" Type="http://schemas.openxmlformats.org/officeDocument/2006/relationships/hyperlink" Target="https://lemetronum.fr/bistronum/" TargetMode="External"/><Relationship Id="rId1060" Type="http://schemas.openxmlformats.org/officeDocument/2006/relationships/hyperlink" Target="https://www.google.com/maps/search/?api=1&amp;query=43.6413112,1.4505434" TargetMode="External"/><Relationship Id="rId1061" Type="http://schemas.openxmlformats.org/officeDocument/2006/relationships/hyperlink" Target="https://www.openstreetmap.org/node/13626704360" TargetMode="External"/><Relationship Id="rId1062" Type="http://schemas.openxmlformats.org/officeDocument/2006/relationships/hyperlink" Target="https://alaunefamily.com/bistroquet-toulouse/" TargetMode="External"/><Relationship Id="rId1063" Type="http://schemas.openxmlformats.org/officeDocument/2006/relationships/hyperlink" Target="https://www.google.com/maps/search/?api=1&amp;query=43.6046123,1.4489167" TargetMode="External"/><Relationship Id="rId1064" Type="http://schemas.openxmlformats.org/officeDocument/2006/relationships/hyperlink" Target="https://www.openstreetmap.org/node/3110964785" TargetMode="External"/><Relationship Id="rId1065" Type="http://schemas.openxmlformats.org/officeDocument/2006/relationships/hyperlink" Target="https://www.google.com/maps/search/?api=1&amp;query=43.6079703,1.428533" TargetMode="External"/><Relationship Id="rId1066" Type="http://schemas.openxmlformats.org/officeDocument/2006/relationships/hyperlink" Target="https://www.openstreetmap.org/way/61832927" TargetMode="External"/><Relationship Id="rId1067" Type="http://schemas.openxmlformats.org/officeDocument/2006/relationships/hyperlink" Target="https://www.google.com/maps/search/?api=1&amp;query=43.5952398,1.4558579" TargetMode="External"/><Relationship Id="rId1068" Type="http://schemas.openxmlformats.org/officeDocument/2006/relationships/hyperlink" Target="https://www.openstreetmap.org/node/4960287960" TargetMode="External"/><Relationship Id="rId1069" Type="http://schemas.openxmlformats.org/officeDocument/2006/relationships/hyperlink" Target="https://le-bistrot-libanais-toulouse.eatbu.com/" TargetMode="External"/><Relationship Id="rId1070" Type="http://schemas.openxmlformats.org/officeDocument/2006/relationships/hyperlink" Target="https://www.google.com/maps/search/?api=1&amp;query=43.6017919,1.4399286" TargetMode="External"/><Relationship Id="rId1071" Type="http://schemas.openxmlformats.org/officeDocument/2006/relationships/hyperlink" Target="https://www.openstreetmap.org/node/772601828" TargetMode="External"/><Relationship Id="rId1072" Type="http://schemas.openxmlformats.org/officeDocument/2006/relationships/hyperlink" Target="https://lebombaytoulouse.fr/" TargetMode="External"/><Relationship Id="rId1073" Type="http://schemas.openxmlformats.org/officeDocument/2006/relationships/hyperlink" Target="https://www.google.com/maps/search/?api=1&amp;query=43.6031237,1.4431133" TargetMode="External"/><Relationship Id="rId1074" Type="http://schemas.openxmlformats.org/officeDocument/2006/relationships/hyperlink" Target="https://www.openstreetmap.org/node/2465993964" TargetMode="External"/><Relationship Id="rId1075" Type="http://schemas.openxmlformats.org/officeDocument/2006/relationships/hyperlink" Target="https://www.google.com/maps/search/?api=1&amp;query=43.5628029,1.3720677" TargetMode="External"/><Relationship Id="rId1076" Type="http://schemas.openxmlformats.org/officeDocument/2006/relationships/hyperlink" Target="https://www.openstreetmap.org/node/12301862128" TargetMode="External"/><Relationship Id="rId1077" Type="http://schemas.openxmlformats.org/officeDocument/2006/relationships/hyperlink" Target="https://www.bouilloncapitole.fr/fr/" TargetMode="External"/><Relationship Id="rId1078" Type="http://schemas.openxmlformats.org/officeDocument/2006/relationships/hyperlink" Target="https://www.google.com/maps/search/?api=1&amp;query=43.6038308,1.4441688" TargetMode="External"/><Relationship Id="rId1079" Type="http://schemas.openxmlformats.org/officeDocument/2006/relationships/hyperlink" Target="https://www.openstreetmap.org/node/2459884617" TargetMode="External"/><Relationship Id="rId1080" Type="http://schemas.openxmlformats.org/officeDocument/2006/relationships/hyperlink" Target="https://restaurantleboulis.com/" TargetMode="External"/><Relationship Id="rId1081" Type="http://schemas.openxmlformats.org/officeDocument/2006/relationships/hyperlink" Target="https://www.google.com/maps/search/?api=1&amp;query=43.6248807,1.4430336" TargetMode="External"/><Relationship Id="rId1082" Type="http://schemas.openxmlformats.org/officeDocument/2006/relationships/hyperlink" Target="https://www.openstreetmap.org/node/3055549230" TargetMode="External"/><Relationship Id="rId1083" Type="http://schemas.openxmlformats.org/officeDocument/2006/relationships/hyperlink" Target="https://www.google.com/maps/search/?api=1&amp;query=43.6114157,1.4520933" TargetMode="External"/><Relationship Id="rId1084" Type="http://schemas.openxmlformats.org/officeDocument/2006/relationships/hyperlink" Target="https://www.openstreetmap.org/node/435610058" TargetMode="External"/><Relationship Id="rId1085" Type="http://schemas.openxmlformats.org/officeDocument/2006/relationships/hyperlink" Target="https://www.google.com/maps/search/?api=1&amp;query=43.6392654,1.4309767" TargetMode="External"/><Relationship Id="rId1086" Type="http://schemas.openxmlformats.org/officeDocument/2006/relationships/hyperlink" Target="https://www.openstreetmap.org/node/9654343117" TargetMode="External"/><Relationship Id="rId1087" Type="http://schemas.openxmlformats.org/officeDocument/2006/relationships/hyperlink" Target="https://lebus111.fr/" TargetMode="External"/><Relationship Id="rId1088" Type="http://schemas.openxmlformats.org/officeDocument/2006/relationships/hyperlink" Target="https://www.google.com/maps/search/?api=1&amp;query=43.5783268,1.4685455" TargetMode="External"/><Relationship Id="rId1089" Type="http://schemas.openxmlformats.org/officeDocument/2006/relationships/hyperlink" Target="https://www.openstreetmap.org/way/85789098" TargetMode="External"/><Relationship Id="rId1090" Type="http://schemas.openxmlformats.org/officeDocument/2006/relationships/hyperlink" Target="https://le-cabanon-toulouse.fr/" TargetMode="External"/><Relationship Id="rId1091" Type="http://schemas.openxmlformats.org/officeDocument/2006/relationships/hyperlink" Target="https://www.google.com/maps/search/?api=1&amp;query=43.6059819,1.4471471" TargetMode="External"/><Relationship Id="rId1092" Type="http://schemas.openxmlformats.org/officeDocument/2006/relationships/hyperlink" Target="https://www.openstreetmap.org/node/5453941454" TargetMode="External"/><Relationship Id="rId1093" Type="http://schemas.openxmlformats.org/officeDocument/2006/relationships/hyperlink" Target="https://www.google.com/maps/search/?api=1&amp;query=43.609804,1.433753" TargetMode="External"/><Relationship Id="rId1094" Type="http://schemas.openxmlformats.org/officeDocument/2006/relationships/hyperlink" Target="https://www.openstreetmap.org/node/3669185802" TargetMode="External"/><Relationship Id="rId1095" Type="http://schemas.openxmlformats.org/officeDocument/2006/relationships/hyperlink" Target="https://www.cantou.fr/" TargetMode="External"/><Relationship Id="rId1096" Type="http://schemas.openxmlformats.org/officeDocument/2006/relationships/hyperlink" Target="https://www.google.com/maps/search/?api=1&amp;query=43.6120497,1.3839032" TargetMode="External"/><Relationship Id="rId1097" Type="http://schemas.openxmlformats.org/officeDocument/2006/relationships/hyperlink" Target="https://www.openstreetmap.org/node/6119647721" TargetMode="External"/><Relationship Id="rId1098" Type="http://schemas.openxmlformats.org/officeDocument/2006/relationships/hyperlink" Target="https://www.google.com/maps/search/?api=1&amp;query=43.6307791,1.4843792" TargetMode="External"/><Relationship Id="rId1099" Type="http://schemas.openxmlformats.org/officeDocument/2006/relationships/hyperlink" Target="https://www.openstreetmap.org/way/827612897" TargetMode="External"/><Relationship Id="rId1100" Type="http://schemas.openxmlformats.org/officeDocument/2006/relationships/hyperlink" Target="https://www.google.com/maps/search/?api=1&amp;query=43.5975439,1.457889" TargetMode="External"/><Relationship Id="rId1101" Type="http://schemas.openxmlformats.org/officeDocument/2006/relationships/hyperlink" Target="https://www.openstreetmap.org/node/247685861" TargetMode="External"/><Relationship Id="rId1102" Type="http://schemas.openxmlformats.org/officeDocument/2006/relationships/hyperlink" Target="https://www.google.com/maps/search/?api=1&amp;query=43.6041788,1.4427683" TargetMode="External"/><Relationship Id="rId1103" Type="http://schemas.openxmlformats.org/officeDocument/2006/relationships/hyperlink" Target="https://www.openstreetmap.org/node/2457772055" TargetMode="External"/><Relationship Id="rId1104" Type="http://schemas.openxmlformats.org/officeDocument/2006/relationships/hyperlink" Target="https://www.google.com/maps/search/?api=1&amp;query=43.610134,1.4446559" TargetMode="External"/><Relationship Id="rId1105" Type="http://schemas.openxmlformats.org/officeDocument/2006/relationships/hyperlink" Target="https://www.openstreetmap.org/node/10575101048" TargetMode="External"/><Relationship Id="rId1106" Type="http://schemas.openxmlformats.org/officeDocument/2006/relationships/hyperlink" Target="https://lechevillard.fr/" TargetMode="External"/><Relationship Id="rId1107" Type="http://schemas.openxmlformats.org/officeDocument/2006/relationships/hyperlink" Target="https://www.google.com/maps/search/?api=1&amp;query=43.6068954,1.4309282" TargetMode="External"/><Relationship Id="rId1108" Type="http://schemas.openxmlformats.org/officeDocument/2006/relationships/hyperlink" Target="https://www.openstreetmap.org/node/4921117322" TargetMode="External"/><Relationship Id="rId1109" Type="http://schemas.openxmlformats.org/officeDocument/2006/relationships/hyperlink" Target="https://www.google.com/maps/search/?api=1&amp;query=43.5507877,1.4107649" TargetMode="External"/><Relationship Id="rId1110" Type="http://schemas.openxmlformats.org/officeDocument/2006/relationships/hyperlink" Target="https://www.openstreetmap.org/node/5337107134" TargetMode="External"/><Relationship Id="rId1111" Type="http://schemas.openxmlformats.org/officeDocument/2006/relationships/hyperlink" Target="https://www.google.com/maps/search/?api=1&amp;query=43.6086274,1.4475844" TargetMode="External"/><Relationship Id="rId1112" Type="http://schemas.openxmlformats.org/officeDocument/2006/relationships/hyperlink" Target="https://www.openstreetmap.org/node/2450406605" TargetMode="External"/><Relationship Id="rId1113" Type="http://schemas.openxmlformats.org/officeDocument/2006/relationships/hyperlink" Target="http://www.lecomptoirdurex.com/fr/" TargetMode="External"/><Relationship Id="rId1114" Type="http://schemas.openxmlformats.org/officeDocument/2006/relationships/hyperlink" Target="https://www.google.com/maps/search/?api=1&amp;query=43.6119239,1.4383727" TargetMode="External"/><Relationship Id="rId1115" Type="http://schemas.openxmlformats.org/officeDocument/2006/relationships/hyperlink" Target="https://www.openstreetmap.org/node/4250506436" TargetMode="External"/><Relationship Id="rId1116" Type="http://schemas.openxmlformats.org/officeDocument/2006/relationships/hyperlink" Target="https://www.lecomptoir-gourmand.com/" TargetMode="External"/><Relationship Id="rId1117" Type="http://schemas.openxmlformats.org/officeDocument/2006/relationships/hyperlink" Target="https://www.google.com/maps/search/?api=1&amp;query=43.6068858,1.452219" TargetMode="External"/><Relationship Id="rId1118" Type="http://schemas.openxmlformats.org/officeDocument/2006/relationships/hyperlink" Target="https://www.openstreetmap.org/node/7464957579" TargetMode="External"/><Relationship Id="rId1119" Type="http://schemas.openxmlformats.org/officeDocument/2006/relationships/hyperlink" Target="https://www.google.com/maps/search/?api=1&amp;query=43.6087896,1.3810439" TargetMode="External"/><Relationship Id="rId1120" Type="http://schemas.openxmlformats.org/officeDocument/2006/relationships/hyperlink" Target="https://www.openstreetmap.org/node/6856176349" TargetMode="External"/><Relationship Id="rId1121" Type="http://schemas.openxmlformats.org/officeDocument/2006/relationships/hyperlink" Target="https://www.comptoirapizzas.com/" TargetMode="External"/><Relationship Id="rId1122" Type="http://schemas.openxmlformats.org/officeDocument/2006/relationships/hyperlink" Target="https://www.google.com/maps/search/?api=1&amp;query=43.5968267,1.4224372" TargetMode="External"/><Relationship Id="rId1123" Type="http://schemas.openxmlformats.org/officeDocument/2006/relationships/hyperlink" Target="https://www.openstreetmap.org/node/4852683223" TargetMode="External"/><Relationship Id="rId1124" Type="http://schemas.openxmlformats.org/officeDocument/2006/relationships/hyperlink" Target="https://www.lecoqenpate-restaurant.fr/" TargetMode="External"/><Relationship Id="rId1125" Type="http://schemas.openxmlformats.org/officeDocument/2006/relationships/hyperlink" Target="https://www.google.com/maps/search/?api=1&amp;query=43.5972067,1.4437044" TargetMode="External"/><Relationship Id="rId1126" Type="http://schemas.openxmlformats.org/officeDocument/2006/relationships/hyperlink" Target="https://www.openstreetmap.org/node/7678077870" TargetMode="External"/><Relationship Id="rId1127" Type="http://schemas.openxmlformats.org/officeDocument/2006/relationships/hyperlink" Target="http://www.le-coup-de-fourchette.fr/" TargetMode="External"/><Relationship Id="rId1128" Type="http://schemas.openxmlformats.org/officeDocument/2006/relationships/hyperlink" Target="https://www.google.com/maps/search/?api=1&amp;query=43.5485668,1.4158886" TargetMode="External"/><Relationship Id="rId1129" Type="http://schemas.openxmlformats.org/officeDocument/2006/relationships/hyperlink" Target="https://www.openstreetmap.org/way/495673108" TargetMode="External"/><Relationship Id="rId1130" Type="http://schemas.openxmlformats.org/officeDocument/2006/relationships/hyperlink" Target="https://www.google.com/maps/search/?api=1&amp;query=43.598608,1.4337336" TargetMode="External"/><Relationship Id="rId1131" Type="http://schemas.openxmlformats.org/officeDocument/2006/relationships/hyperlink" Target="https://www.openstreetmap.org/node/8869728371" TargetMode="External"/><Relationship Id="rId1132" Type="http://schemas.openxmlformats.org/officeDocument/2006/relationships/hyperlink" Target="https://lecridelatruffe.com/" TargetMode="External"/><Relationship Id="rId1133" Type="http://schemas.openxmlformats.org/officeDocument/2006/relationships/hyperlink" Target="https://www.google.com/maps/search/?api=1&amp;query=43.598498,1.4439349" TargetMode="External"/><Relationship Id="rId1134" Type="http://schemas.openxmlformats.org/officeDocument/2006/relationships/hyperlink" Target="https://www.openstreetmap.org/node/775315292" TargetMode="External"/><Relationship Id="rId1135" Type="http://schemas.openxmlformats.org/officeDocument/2006/relationships/hyperlink" Target="https://www.restaurant-lecenacle.com/" TargetMode="External"/><Relationship Id="rId1136" Type="http://schemas.openxmlformats.org/officeDocument/2006/relationships/hyperlink" Target="https://www.google.com/maps/search/?api=1&amp;query=43.5995141,1.4418646" TargetMode="External"/><Relationship Id="rId1137" Type="http://schemas.openxmlformats.org/officeDocument/2006/relationships/hyperlink" Target="https://www.openstreetmap.org/node/8017003985" TargetMode="External"/><Relationship Id="rId1138" Type="http://schemas.openxmlformats.org/officeDocument/2006/relationships/hyperlink" Target="https://www.google.com/maps/search/?api=1&amp;query=43.6157666,1.421886" TargetMode="External"/><Relationship Id="rId1139" Type="http://schemas.openxmlformats.org/officeDocument/2006/relationships/hyperlink" Target="https://www.openstreetmap.org/node/9315441291" TargetMode="External"/><Relationship Id="rId1140" Type="http://schemas.openxmlformats.org/officeDocument/2006/relationships/hyperlink" Target="https://www.google.com/maps/search/?api=1&amp;query=43.602341,1.4381728" TargetMode="External"/><Relationship Id="rId1141" Type="http://schemas.openxmlformats.org/officeDocument/2006/relationships/hyperlink" Target="https://www.openstreetmap.org/node/772599201" TargetMode="External"/><Relationship Id="rId1142" Type="http://schemas.openxmlformats.org/officeDocument/2006/relationships/hyperlink" Target="https://www.google.com/maps/search/?api=1&amp;query=43.6133577,1.4496141" TargetMode="External"/><Relationship Id="rId1143" Type="http://schemas.openxmlformats.org/officeDocument/2006/relationships/hyperlink" Target="https://www.openstreetmap.org/node/4828717671" TargetMode="External"/><Relationship Id="rId1144" Type="http://schemas.openxmlformats.org/officeDocument/2006/relationships/hyperlink" Target="https://www.google.com/maps/search/?api=1&amp;query=43.5654948,1.5108699" TargetMode="External"/><Relationship Id="rId1145" Type="http://schemas.openxmlformats.org/officeDocument/2006/relationships/hyperlink" Target="https://www.openstreetmap.org/node/1467939338" TargetMode="External"/><Relationship Id="rId1146" Type="http://schemas.openxmlformats.org/officeDocument/2006/relationships/hyperlink" Target="https://www.ledynastie-toulouse.fr/" TargetMode="External"/><Relationship Id="rId1147" Type="http://schemas.openxmlformats.org/officeDocument/2006/relationships/hyperlink" Target="https://www.google.com/maps/search/?api=1&amp;query=43.6318788,1.486226" TargetMode="External"/><Relationship Id="rId1148" Type="http://schemas.openxmlformats.org/officeDocument/2006/relationships/hyperlink" Target="https://www.openstreetmap.org/way/827375332" TargetMode="External"/><Relationship Id="rId1149" Type="http://schemas.openxmlformats.org/officeDocument/2006/relationships/hyperlink" Target="https://ledeclic.pub/" TargetMode="External"/><Relationship Id="rId1150" Type="http://schemas.openxmlformats.org/officeDocument/2006/relationships/hyperlink" Target="https://www.google.com/maps/search/?api=1&amp;query=43.6040774,1.4544654" TargetMode="External"/><Relationship Id="rId1151" Type="http://schemas.openxmlformats.org/officeDocument/2006/relationships/hyperlink" Target="https://www.openstreetmap.org/node/5929157657" TargetMode="External"/><Relationship Id="rId1152" Type="http://schemas.openxmlformats.org/officeDocument/2006/relationships/hyperlink" Target="http://www.lefaubourg.fr/" TargetMode="External"/><Relationship Id="rId1153" Type="http://schemas.openxmlformats.org/officeDocument/2006/relationships/hyperlink" Target="https://www.google.com/maps/search/?api=1&amp;query=43.5540832,1.3954304" TargetMode="External"/><Relationship Id="rId1154" Type="http://schemas.openxmlformats.org/officeDocument/2006/relationships/hyperlink" Target="https://www.openstreetmap.org/node/3752239652" TargetMode="External"/><Relationship Id="rId1155" Type="http://schemas.openxmlformats.org/officeDocument/2006/relationships/hyperlink" Target="https://www.google.com/maps/search/?api=1&amp;query=43.6108387,1.374142" TargetMode="External"/><Relationship Id="rId1156" Type="http://schemas.openxmlformats.org/officeDocument/2006/relationships/hyperlink" Target="https://www.openstreetmap.org/node/856783314" TargetMode="External"/><Relationship Id="rId1157" Type="http://schemas.openxmlformats.org/officeDocument/2006/relationships/hyperlink" Target="https://www.legaluchat.club/" TargetMode="External"/><Relationship Id="rId1158" Type="http://schemas.openxmlformats.org/officeDocument/2006/relationships/hyperlink" Target="https://www.google.com/maps/search/?api=1&amp;query=43.6069865,1.4401314" TargetMode="External"/><Relationship Id="rId1159" Type="http://schemas.openxmlformats.org/officeDocument/2006/relationships/hyperlink" Target="https://www.openstreetmap.org/node/1976765814" TargetMode="External"/><Relationship Id="rId1160" Type="http://schemas.openxmlformats.org/officeDocument/2006/relationships/hyperlink" Target="https://restaurantlegandhi.com/" TargetMode="External"/><Relationship Id="rId1161" Type="http://schemas.openxmlformats.org/officeDocument/2006/relationships/hyperlink" Target="https://www.google.com/maps/search/?api=1&amp;query=43.6059945,1.4511817" TargetMode="External"/><Relationship Id="rId1162" Type="http://schemas.openxmlformats.org/officeDocument/2006/relationships/hyperlink" Target="https://www.openstreetmap.org/node/7460784291" TargetMode="External"/><Relationship Id="rId1163" Type="http://schemas.openxmlformats.org/officeDocument/2006/relationships/hyperlink" Target="https://www.legentymagre.com/" TargetMode="External"/><Relationship Id="rId1164" Type="http://schemas.openxmlformats.org/officeDocument/2006/relationships/hyperlink" Target="https://www.google.com/maps/search/?api=1&amp;query=43.6015089,1.445231" TargetMode="External"/><Relationship Id="rId1165" Type="http://schemas.openxmlformats.org/officeDocument/2006/relationships/hyperlink" Target="https://www.openstreetmap.org/node/843097451" TargetMode="External"/><Relationship Id="rId1166" Type="http://schemas.openxmlformats.org/officeDocument/2006/relationships/hyperlink" Target="https://www.google.com/maps/search/?api=1&amp;query=43.6056709,1.4461106" TargetMode="External"/><Relationship Id="rId1167" Type="http://schemas.openxmlformats.org/officeDocument/2006/relationships/hyperlink" Target="https://www.openstreetmap.org/node/1995293946" TargetMode="External"/><Relationship Id="rId1168" Type="http://schemas.openxmlformats.org/officeDocument/2006/relationships/hyperlink" Target="https://www.google.com/maps/search/?api=1&amp;query=43.6050702,1.4496913" TargetMode="External"/><Relationship Id="rId1169" Type="http://schemas.openxmlformats.org/officeDocument/2006/relationships/hyperlink" Target="https://www.openstreetmap.org/node/12253588531" TargetMode="External"/><Relationship Id="rId1170" Type="http://schemas.openxmlformats.org/officeDocument/2006/relationships/hyperlink" Target="https://www.legrenierdepepe.com/" TargetMode="External"/><Relationship Id="rId1171" Type="http://schemas.openxmlformats.org/officeDocument/2006/relationships/hyperlink" Target="https://www.google.com/maps/search/?api=1&amp;query=43.607392,1.4478955" TargetMode="External"/><Relationship Id="rId1172" Type="http://schemas.openxmlformats.org/officeDocument/2006/relationships/hyperlink" Target="https://www.openstreetmap.org/node/3340723483" TargetMode="External"/><Relationship Id="rId1173" Type="http://schemas.openxmlformats.org/officeDocument/2006/relationships/hyperlink" Target="https://www.google.com/maps/search/?api=1&amp;query=43.6090644,1.4159985" TargetMode="External"/><Relationship Id="rId1174" Type="http://schemas.openxmlformats.org/officeDocument/2006/relationships/hyperlink" Target="https://www.openstreetmap.org/node/9654461217" TargetMode="External"/><Relationship Id="rId1175" Type="http://schemas.openxmlformats.org/officeDocument/2006/relationships/hyperlink" Target="https://lejgo.com/lieux/le-jgo-toulouse/" TargetMode="External"/><Relationship Id="rId1176" Type="http://schemas.openxmlformats.org/officeDocument/2006/relationships/hyperlink" Target="https://www.google.com/maps/search/?api=1&amp;query=43.6063919,1.4470694" TargetMode="External"/><Relationship Id="rId1177" Type="http://schemas.openxmlformats.org/officeDocument/2006/relationships/hyperlink" Target="https://www.openstreetmap.org/node/1215767134" TargetMode="External"/><Relationship Id="rId1178" Type="http://schemas.openxmlformats.org/officeDocument/2006/relationships/hyperlink" Target="https://www.lejardin-toulouse.fr/fr/" TargetMode="External"/><Relationship Id="rId1179" Type="http://schemas.openxmlformats.org/officeDocument/2006/relationships/hyperlink" Target="https://www.google.com/maps/search/?api=1&amp;query=43.611802,1.4411529" TargetMode="External"/><Relationship Id="rId1180" Type="http://schemas.openxmlformats.org/officeDocument/2006/relationships/hyperlink" Target="https://www.openstreetmap.org/node/10068236192" TargetMode="External"/><Relationship Id="rId1181" Type="http://schemas.openxmlformats.org/officeDocument/2006/relationships/hyperlink" Target="https://fr-fr.facebook.com/Le-KING-272600449490147/" TargetMode="External"/><Relationship Id="rId1182" Type="http://schemas.openxmlformats.org/officeDocument/2006/relationships/hyperlink" Target="https://www.google.com/maps/search/?api=1&amp;query=43.5748523,1.4514419" TargetMode="External"/><Relationship Id="rId1183" Type="http://schemas.openxmlformats.org/officeDocument/2006/relationships/hyperlink" Target="https://www.openstreetmap.org/node/1856731297" TargetMode="External"/><Relationship Id="rId1184" Type="http://schemas.openxmlformats.org/officeDocument/2006/relationships/hyperlink" Target="https://lekiosquedelaroseraie.fr/" TargetMode="External"/><Relationship Id="rId1185" Type="http://schemas.openxmlformats.org/officeDocument/2006/relationships/hyperlink" Target="https://www.google.com/maps/search/?api=1&amp;query=43.6198137,1.4691107" TargetMode="External"/><Relationship Id="rId1186" Type="http://schemas.openxmlformats.org/officeDocument/2006/relationships/hyperlink" Target="https://www.openstreetmap.org/node/11634641516" TargetMode="External"/><Relationship Id="rId1187" Type="http://schemas.openxmlformats.org/officeDocument/2006/relationships/hyperlink" Target="http://www.leksar.fr/" TargetMode="External"/><Relationship Id="rId1188" Type="http://schemas.openxmlformats.org/officeDocument/2006/relationships/hyperlink" Target="https://www.google.com/maps/search/?api=1&amp;query=43.597137,1.4477916" TargetMode="External"/><Relationship Id="rId1189" Type="http://schemas.openxmlformats.org/officeDocument/2006/relationships/hyperlink" Target="https://www.openstreetmap.org/node/2927533266" TargetMode="External"/><Relationship Id="rId1190" Type="http://schemas.openxmlformats.org/officeDocument/2006/relationships/hyperlink" Target="https://www.google.com/maps/search/?api=1&amp;query=43.5702386,1.4553913" TargetMode="External"/><Relationship Id="rId1191" Type="http://schemas.openxmlformats.org/officeDocument/2006/relationships/hyperlink" Target="https://www.openstreetmap.org/node/803373119" TargetMode="External"/><Relationship Id="rId1192" Type="http://schemas.openxmlformats.org/officeDocument/2006/relationships/hyperlink" Target="https://www.facebook.com/pages/Le-Louchebem/128704637179698" TargetMode="External"/><Relationship Id="rId1193" Type="http://schemas.openxmlformats.org/officeDocument/2006/relationships/hyperlink" Target="https://www.google.com/maps/search/?api=1&amp;query=43.6067627,1.4464849" TargetMode="External"/><Relationship Id="rId1194" Type="http://schemas.openxmlformats.org/officeDocument/2006/relationships/hyperlink" Target="https://www.openstreetmap.org/node/917431781" TargetMode="External"/><Relationship Id="rId1195" Type="http://schemas.openxmlformats.org/officeDocument/2006/relationships/hyperlink" Target="https://www.google.com/maps/search/?api=1&amp;query=43.6082488,1.3968722" TargetMode="External"/><Relationship Id="rId1196" Type="http://schemas.openxmlformats.org/officeDocument/2006/relationships/hyperlink" Target="https://www.openstreetmap.org/node/9793378218" TargetMode="External"/><Relationship Id="rId1197" Type="http://schemas.openxmlformats.org/officeDocument/2006/relationships/hyperlink" Target="https://www.google.com/maps/search/?api=1&amp;query=43.6015875,1.4530736" TargetMode="External"/><Relationship Id="rId1198" Type="http://schemas.openxmlformats.org/officeDocument/2006/relationships/hyperlink" Target="https://www.openstreetmap.org/node/13390537010" TargetMode="External"/><Relationship Id="rId1199" Type="http://schemas.openxmlformats.org/officeDocument/2006/relationships/hyperlink" Target="http://www.restaurant-lemagret.com/" TargetMode="External"/><Relationship Id="rId1200" Type="http://schemas.openxmlformats.org/officeDocument/2006/relationships/hyperlink" Target="https://www.google.com/maps/search/?api=1&amp;query=43.6065881,1.4465191" TargetMode="External"/><Relationship Id="rId1201" Type="http://schemas.openxmlformats.org/officeDocument/2006/relationships/hyperlink" Target="https://www.openstreetmap.org/node/917433312" TargetMode="External"/><Relationship Id="rId1202" Type="http://schemas.openxmlformats.org/officeDocument/2006/relationships/hyperlink" Target="https://www.maharajatoulouse.fr/" TargetMode="External"/><Relationship Id="rId1203" Type="http://schemas.openxmlformats.org/officeDocument/2006/relationships/hyperlink" Target="https://www.google.com/maps/search/?api=1&amp;query=43.6016474,1.4408393" TargetMode="External"/><Relationship Id="rId1204" Type="http://schemas.openxmlformats.org/officeDocument/2006/relationships/hyperlink" Target="https://www.openstreetmap.org/node/2459885084" TargetMode="External"/><Relationship Id="rId1205" Type="http://schemas.openxmlformats.org/officeDocument/2006/relationships/hyperlink" Target="https://www.google.com/maps/search/?api=1&amp;query=43.6115341,1.4520815" TargetMode="External"/><Relationship Id="rId1206" Type="http://schemas.openxmlformats.org/officeDocument/2006/relationships/hyperlink" Target="https://www.openstreetmap.org/node/1457631032" TargetMode="External"/><Relationship Id="rId1207" Type="http://schemas.openxmlformats.org/officeDocument/2006/relationships/hyperlink" Target="https://www.google.com/maps/search/?api=1&amp;query=43.5771014,1.5084041" TargetMode="External"/><Relationship Id="rId1208" Type="http://schemas.openxmlformats.org/officeDocument/2006/relationships/hyperlink" Target="https://www.openstreetmap.org/node/7528490195" TargetMode="External"/><Relationship Id="rId1209" Type="http://schemas.openxmlformats.org/officeDocument/2006/relationships/hyperlink" Target="https://le-marocain.fr/" TargetMode="External"/><Relationship Id="rId1210" Type="http://schemas.openxmlformats.org/officeDocument/2006/relationships/hyperlink" Target="https://www.google.com/maps/search/?api=1&amp;query=43.5991929,1.4414959" TargetMode="External"/><Relationship Id="rId1211" Type="http://schemas.openxmlformats.org/officeDocument/2006/relationships/hyperlink" Target="https://www.openstreetmap.org/node/7383272448" TargetMode="External"/><Relationship Id="rId1212" Type="http://schemas.openxmlformats.org/officeDocument/2006/relationships/hyperlink" Target="https://www.google.com/maps/search/?api=1&amp;query=43.5759856,1.4014819" TargetMode="External"/><Relationship Id="rId1213" Type="http://schemas.openxmlformats.org/officeDocument/2006/relationships/hyperlink" Target="https://www.openstreetmap.org/node/3150818840" TargetMode="External"/><Relationship Id="rId1214" Type="http://schemas.openxmlformats.org/officeDocument/2006/relationships/hyperlink" Target="https://www.google.com/maps/search/?api=1&amp;query=43.5574917,1.4555807" TargetMode="External"/><Relationship Id="rId1215" Type="http://schemas.openxmlformats.org/officeDocument/2006/relationships/hyperlink" Target="https://www.openstreetmap.org/way/64000062" TargetMode="External"/><Relationship Id="rId1216" Type="http://schemas.openxmlformats.org/officeDocument/2006/relationships/hyperlink" Target="https://www.google.com/maps/search/?api=1&amp;query=43.583767,1.4520779" TargetMode="External"/><Relationship Id="rId1217" Type="http://schemas.openxmlformats.org/officeDocument/2006/relationships/hyperlink" Target="https://www.openstreetmap.org/node/1531814136" TargetMode="External"/><Relationship Id="rId1218" Type="http://schemas.openxmlformats.org/officeDocument/2006/relationships/hyperlink" Target="http://lemay-toulouse.fr/" TargetMode="External"/><Relationship Id="rId1219" Type="http://schemas.openxmlformats.org/officeDocument/2006/relationships/hyperlink" Target="https://www.google.com/maps/search/?api=1&amp;query=43.6020472,1.4427758" TargetMode="External"/><Relationship Id="rId1220" Type="http://schemas.openxmlformats.org/officeDocument/2006/relationships/hyperlink" Target="https://www.openstreetmap.org/way/46653399" TargetMode="External"/><Relationship Id="rId1221" Type="http://schemas.openxmlformats.org/officeDocument/2006/relationships/hyperlink" Target="https://www.google.com/maps/search/?api=1&amp;query=43.5985907,1.4354169" TargetMode="External"/><Relationship Id="rId1222" Type="http://schemas.openxmlformats.org/officeDocument/2006/relationships/hyperlink" Target="https://www.openstreetmap.org/node/6501778326" TargetMode="External"/><Relationship Id="rId1223" Type="http://schemas.openxmlformats.org/officeDocument/2006/relationships/hyperlink" Target="https://www.creperie-le-menhir-31.com/" TargetMode="External"/><Relationship Id="rId1224" Type="http://schemas.openxmlformats.org/officeDocument/2006/relationships/hyperlink" Target="https://www.google.com/maps/search/?api=1&amp;query=43.6010383,1.4570159" TargetMode="External"/><Relationship Id="rId1225" Type="http://schemas.openxmlformats.org/officeDocument/2006/relationships/hyperlink" Target="https://www.openstreetmap.org/node/1450492062" TargetMode="External"/><Relationship Id="rId1226" Type="http://schemas.openxmlformats.org/officeDocument/2006/relationships/hyperlink" Target="http://www.lemoai.com/" TargetMode="External"/><Relationship Id="rId1227" Type="http://schemas.openxmlformats.org/officeDocument/2006/relationships/hyperlink" Target="https://www.google.com/maps/search/?api=1&amp;query=43.5937962,1.4494852" TargetMode="External"/><Relationship Id="rId1228" Type="http://schemas.openxmlformats.org/officeDocument/2006/relationships/hyperlink" Target="https://www.openstreetmap.org/node/6032065621" TargetMode="External"/><Relationship Id="rId1229" Type="http://schemas.openxmlformats.org/officeDocument/2006/relationships/hyperlink" Target="https://au-monde-de-jennah.business.site/" TargetMode="External"/><Relationship Id="rId1230" Type="http://schemas.openxmlformats.org/officeDocument/2006/relationships/hyperlink" Target="https://www.google.com/maps/search/?api=1&amp;query=43.6188893,1.4361657" TargetMode="External"/><Relationship Id="rId1231" Type="http://schemas.openxmlformats.org/officeDocument/2006/relationships/hyperlink" Target="https://www.openstreetmap.org/node/6107178355" TargetMode="External"/><Relationship Id="rId1232" Type="http://schemas.openxmlformats.org/officeDocument/2006/relationships/hyperlink" Target="https://www.google.com/maps/search/?api=1&amp;query=43.5982384,1.4491162" TargetMode="External"/><Relationship Id="rId1233" Type="http://schemas.openxmlformats.org/officeDocument/2006/relationships/hyperlink" Target="https://www.openstreetmap.org/node/5272070153" TargetMode="External"/><Relationship Id="rId1234" Type="http://schemas.openxmlformats.org/officeDocument/2006/relationships/hyperlink" Target="http://www.le-monica.com/" TargetMode="External"/><Relationship Id="rId1235" Type="http://schemas.openxmlformats.org/officeDocument/2006/relationships/hyperlink" Target="https://www.google.com/maps/search/?api=1&amp;query=43.601342,1.441008" TargetMode="External"/><Relationship Id="rId1236" Type="http://schemas.openxmlformats.org/officeDocument/2006/relationships/hyperlink" Target="https://www.openstreetmap.org/node/2474616525" TargetMode="External"/><Relationship Id="rId1237" Type="http://schemas.openxmlformats.org/officeDocument/2006/relationships/hyperlink" Target="https://www.google.com/maps/search/?api=1&amp;query=43.6095413,1.388516" TargetMode="External"/><Relationship Id="rId1238" Type="http://schemas.openxmlformats.org/officeDocument/2006/relationships/hyperlink" Target="https://www.openstreetmap.org/node/415750945" TargetMode="External"/><Relationship Id="rId1239" Type="http://schemas.openxmlformats.org/officeDocument/2006/relationships/hyperlink" Target="https://le-muang-thai.fr/" TargetMode="External"/><Relationship Id="rId1240" Type="http://schemas.openxmlformats.org/officeDocument/2006/relationships/hyperlink" Target="https://www.google.com/maps/search/?api=1&amp;query=43.5907526,1.4445672" TargetMode="External"/><Relationship Id="rId1241" Type="http://schemas.openxmlformats.org/officeDocument/2006/relationships/hyperlink" Target="https://www.openstreetmap.org/node/13131111260" TargetMode="External"/><Relationship Id="rId1242" Type="http://schemas.openxmlformats.org/officeDocument/2006/relationships/hyperlink" Target="https://lemekong-thaifood.fr/" TargetMode="External"/><Relationship Id="rId1243" Type="http://schemas.openxmlformats.org/officeDocument/2006/relationships/hyperlink" Target="https://www.google.com/maps/search/?api=1&amp;query=43.6084074,1.3792389" TargetMode="External"/><Relationship Id="rId1244" Type="http://schemas.openxmlformats.org/officeDocument/2006/relationships/hyperlink" Target="https://www.openstreetmap.org/node/12855149513" TargetMode="External"/><Relationship Id="rId1245" Type="http://schemas.openxmlformats.org/officeDocument/2006/relationships/hyperlink" Target="https://restaurantindientoulouse.fr/" TargetMode="External"/><Relationship Id="rId1246" Type="http://schemas.openxmlformats.org/officeDocument/2006/relationships/hyperlink" Target="https://www.google.com/maps/search/?api=1&amp;query=43.6061021,1.4512013" TargetMode="External"/><Relationship Id="rId1247" Type="http://schemas.openxmlformats.org/officeDocument/2006/relationships/hyperlink" Target="https://www.openstreetmap.org/node/8523398283" TargetMode="External"/><Relationship Id="rId1248" Type="http://schemas.openxmlformats.org/officeDocument/2006/relationships/hyperlink" Target="https://www.lenezrouge.fr/" TargetMode="External"/><Relationship Id="rId1249" Type="http://schemas.openxmlformats.org/officeDocument/2006/relationships/hyperlink" Target="https://www.google.com/maps/search/?api=1&amp;query=43.5978881,1.4421515" TargetMode="External"/><Relationship Id="rId1250" Type="http://schemas.openxmlformats.org/officeDocument/2006/relationships/hyperlink" Target="https://www.openstreetmap.org/node/894533413" TargetMode="External"/><Relationship Id="rId1251" Type="http://schemas.openxmlformats.org/officeDocument/2006/relationships/hyperlink" Target="https://www.lenoma.fr/" TargetMode="External"/><Relationship Id="rId1252" Type="http://schemas.openxmlformats.org/officeDocument/2006/relationships/hyperlink" Target="https://www.google.com/maps/search/?api=1&amp;query=43.6306461,1.432512" TargetMode="External"/><Relationship Id="rId1253" Type="http://schemas.openxmlformats.org/officeDocument/2006/relationships/hyperlink" Target="https://www.openstreetmap.org/node/2696539495" TargetMode="External"/><Relationship Id="rId1254" Type="http://schemas.openxmlformats.org/officeDocument/2006/relationships/hyperlink" Target="https://leptitlouis.fr/" TargetMode="External"/><Relationship Id="rId1255" Type="http://schemas.openxmlformats.org/officeDocument/2006/relationships/hyperlink" Target="https://www.google.com/maps/search/?api=1&amp;query=43.5985414,1.4351563" TargetMode="External"/><Relationship Id="rId1256" Type="http://schemas.openxmlformats.org/officeDocument/2006/relationships/hyperlink" Target="https://www.openstreetmap.org/node/1532506322" TargetMode="External"/><Relationship Id="rId1257" Type="http://schemas.openxmlformats.org/officeDocument/2006/relationships/hyperlink" Target="https://www.google.com/maps/search/?api=1&amp;query=43.598211,1.4464851" TargetMode="External"/><Relationship Id="rId1258" Type="http://schemas.openxmlformats.org/officeDocument/2006/relationships/hyperlink" Target="https://www.openstreetmap.org/node/7598070513" TargetMode="External"/><Relationship Id="rId1259" Type="http://schemas.openxmlformats.org/officeDocument/2006/relationships/hyperlink" Target="https://www.google.com/maps/search/?api=1&amp;query=43.5988925,1.4441577" TargetMode="External"/><Relationship Id="rId1260" Type="http://schemas.openxmlformats.org/officeDocument/2006/relationships/hyperlink" Target="https://www.openstreetmap.org/node/6934946308" TargetMode="External"/><Relationship Id="rId1261" Type="http://schemas.openxmlformats.org/officeDocument/2006/relationships/hyperlink" Target="https://restaurantleparisien.com/" TargetMode="External"/><Relationship Id="rId1262" Type="http://schemas.openxmlformats.org/officeDocument/2006/relationships/hyperlink" Target="https://www.google.com/maps/search/?api=1&amp;query=43.6078,1.4460982" TargetMode="External"/><Relationship Id="rId1263" Type="http://schemas.openxmlformats.org/officeDocument/2006/relationships/hyperlink" Target="https://www.openstreetmap.org/node/2446506282" TargetMode="External"/><Relationship Id="rId1264" Type="http://schemas.openxmlformats.org/officeDocument/2006/relationships/hyperlink" Target="https://www.google.com/maps/search/?api=1&amp;query=43.6471853,1.432987" TargetMode="External"/><Relationship Id="rId1265" Type="http://schemas.openxmlformats.org/officeDocument/2006/relationships/hyperlink" Target="https://www.openstreetmap.org/node/4418074216" TargetMode="External"/><Relationship Id="rId1266" Type="http://schemas.openxmlformats.org/officeDocument/2006/relationships/hyperlink" Target="https://lepavedesminimes.com/" TargetMode="External"/><Relationship Id="rId1267" Type="http://schemas.openxmlformats.org/officeDocument/2006/relationships/hyperlink" Target="https://www.google.com/maps/search/?api=1&amp;query=43.626396,1.433512" TargetMode="External"/><Relationship Id="rId1268" Type="http://schemas.openxmlformats.org/officeDocument/2006/relationships/hyperlink" Target="https://www.openstreetmap.org/node/2330455415" TargetMode="External"/><Relationship Id="rId1269" Type="http://schemas.openxmlformats.org/officeDocument/2006/relationships/hyperlink" Target="https://leperchepinte.eatbu.com/" TargetMode="External"/><Relationship Id="rId1270" Type="http://schemas.openxmlformats.org/officeDocument/2006/relationships/hyperlink" Target="https://www.google.com/maps/search/?api=1&amp;query=43.5971352,1.448104" TargetMode="External"/><Relationship Id="rId1271" Type="http://schemas.openxmlformats.org/officeDocument/2006/relationships/hyperlink" Target="https://www.openstreetmap.org/node/3098486550" TargetMode="External"/><Relationship Id="rId1272" Type="http://schemas.openxmlformats.org/officeDocument/2006/relationships/hyperlink" Target="https://www.google.com/maps/search/?api=1&amp;query=43.6023971,1.4380809" TargetMode="External"/><Relationship Id="rId1273" Type="http://schemas.openxmlformats.org/officeDocument/2006/relationships/hyperlink" Target="https://www.openstreetmap.org/node/772598995" TargetMode="External"/><Relationship Id="rId1274" Type="http://schemas.openxmlformats.org/officeDocument/2006/relationships/hyperlink" Target="https://www.lepetitsalin.fr/" TargetMode="External"/><Relationship Id="rId1275" Type="http://schemas.openxmlformats.org/officeDocument/2006/relationships/hyperlink" Target="https://www.google.com/maps/search/?api=1&amp;query=43.5938173,1.4438362" TargetMode="External"/><Relationship Id="rId1276" Type="http://schemas.openxmlformats.org/officeDocument/2006/relationships/hyperlink" Target="https://www.openstreetmap.org/node/2439315689" TargetMode="External"/><Relationship Id="rId1277" Type="http://schemas.openxmlformats.org/officeDocument/2006/relationships/hyperlink" Target="https://lepetitsanseb.com/" TargetMode="External"/><Relationship Id="rId1278" Type="http://schemas.openxmlformats.org/officeDocument/2006/relationships/hyperlink" Target="https://www.google.com/maps/search/?api=1&amp;query=43.6057408,1.4465683" TargetMode="External"/><Relationship Id="rId1279" Type="http://schemas.openxmlformats.org/officeDocument/2006/relationships/hyperlink" Target="https://www.openstreetmap.org/node/6032265548" TargetMode="External"/><Relationship Id="rId1280" Type="http://schemas.openxmlformats.org/officeDocument/2006/relationships/hyperlink" Target="https://www.lepetitvictor.fr/" TargetMode="External"/><Relationship Id="rId1281" Type="http://schemas.openxmlformats.org/officeDocument/2006/relationships/hyperlink" Target="https://www.google.com/maps/search/?api=1&amp;query=43.6055021,1.4463199" TargetMode="External"/><Relationship Id="rId1282" Type="http://schemas.openxmlformats.org/officeDocument/2006/relationships/hyperlink" Target="https://www.openstreetmap.org/node/2081650657" TargetMode="External"/><Relationship Id="rId1283" Type="http://schemas.openxmlformats.org/officeDocument/2006/relationships/hyperlink" Target="https://www.google.com/maps/search/?api=1&amp;query=43.5983607,1.4427781" TargetMode="External"/><Relationship Id="rId1284" Type="http://schemas.openxmlformats.org/officeDocument/2006/relationships/hyperlink" Target="https://www.openstreetmap.org/node/6415209364" TargetMode="External"/><Relationship Id="rId1285" Type="http://schemas.openxmlformats.org/officeDocument/2006/relationships/hyperlink" Target="https://www.facebook.com/LePyreneen" TargetMode="External"/><Relationship Id="rId1286" Type="http://schemas.openxmlformats.org/officeDocument/2006/relationships/hyperlink" Target="https://www.google.com/maps/search/?api=1&amp;query=43.6053005,1.4484704" TargetMode="External"/><Relationship Id="rId1287" Type="http://schemas.openxmlformats.org/officeDocument/2006/relationships/hyperlink" Target="https://www.openstreetmap.org/node/2051884503" TargetMode="External"/><Relationship Id="rId1288" Type="http://schemas.openxmlformats.org/officeDocument/2006/relationships/hyperlink" Target="https://www.pere-leon.com/toulouse/restaurant/menu/carte" TargetMode="External"/><Relationship Id="rId1289" Type="http://schemas.openxmlformats.org/officeDocument/2006/relationships/hyperlink" Target="https://www.google.com/maps/search/?api=1&amp;query=43.6005472,1.4438573" TargetMode="External"/><Relationship Id="rId1290" Type="http://schemas.openxmlformats.org/officeDocument/2006/relationships/hyperlink" Target="https://www.openstreetmap.org/node/6877692231" TargetMode="External"/><Relationship Id="rId1291" Type="http://schemas.openxmlformats.org/officeDocument/2006/relationships/hyperlink" Target="https://www.instagram.com/leqgtoulouse/" TargetMode="External"/><Relationship Id="rId1292" Type="http://schemas.openxmlformats.org/officeDocument/2006/relationships/hyperlink" Target="https://www.google.com/maps/search/?api=1&amp;query=43.6129949,1.4773353" TargetMode="External"/><Relationship Id="rId1293" Type="http://schemas.openxmlformats.org/officeDocument/2006/relationships/hyperlink" Target="https://www.openstreetmap.org/node/11218602184" TargetMode="External"/><Relationship Id="rId1294" Type="http://schemas.openxmlformats.org/officeDocument/2006/relationships/hyperlink" Target="https://www.google.com/maps/search/?api=1&amp;query=43.6234659,1.4590888" TargetMode="External"/><Relationship Id="rId1295" Type="http://schemas.openxmlformats.org/officeDocument/2006/relationships/hyperlink" Target="https://www.openstreetmap.org/node/8225361053" TargetMode="External"/><Relationship Id="rId1296" Type="http://schemas.openxmlformats.org/officeDocument/2006/relationships/hyperlink" Target="https://www.google.com/maps/search/?api=1&amp;query=43.6019383,1.4482927" TargetMode="External"/><Relationship Id="rId1297" Type="http://schemas.openxmlformats.org/officeDocument/2006/relationships/hyperlink" Target="https://www.openstreetmap.org/node/2478393405" TargetMode="External"/><Relationship Id="rId1298" Type="http://schemas.openxmlformats.org/officeDocument/2006/relationships/hyperlink" Target="https://www.google.com/maps/search/?api=1&amp;query=43.6122921,1.4386086" TargetMode="External"/><Relationship Id="rId1299" Type="http://schemas.openxmlformats.org/officeDocument/2006/relationships/hyperlink" Target="https://www.openstreetmap.org/node/4285279179" TargetMode="External"/><Relationship Id="rId1300" Type="http://schemas.openxmlformats.org/officeDocument/2006/relationships/hyperlink" Target="https://www.google.com/maps/search/?api=1&amp;query=43.6030792,1.4435306" TargetMode="External"/><Relationship Id="rId1301" Type="http://schemas.openxmlformats.org/officeDocument/2006/relationships/hyperlink" Target="https://www.openstreetmap.org/node/2459884968" TargetMode="External"/><Relationship Id="rId1302" Type="http://schemas.openxmlformats.org/officeDocument/2006/relationships/hyperlink" Target="https://www.lerestauranttoulouse.fr/" TargetMode="External"/><Relationship Id="rId1303" Type="http://schemas.openxmlformats.org/officeDocument/2006/relationships/hyperlink" Target="https://www.google.com/maps/search/?api=1&amp;query=43.6008582,1.4406848" TargetMode="External"/><Relationship Id="rId1304" Type="http://schemas.openxmlformats.org/officeDocument/2006/relationships/hyperlink" Target="https://www.openstreetmap.org/node/450161371" TargetMode="External"/><Relationship Id="rId1305" Type="http://schemas.openxmlformats.org/officeDocument/2006/relationships/hyperlink" Target="https://www.google.com/maps/search/?api=1&amp;query=43.6014691,1.4407702" TargetMode="External"/><Relationship Id="rId1306" Type="http://schemas.openxmlformats.org/officeDocument/2006/relationships/hyperlink" Target="https://www.openstreetmap.org/node/2352297211" TargetMode="External"/><Relationship Id="rId1307" Type="http://schemas.openxmlformats.org/officeDocument/2006/relationships/hyperlink" Target="https://www.google.com/maps/search/?api=1&amp;query=43.6109715,1.4518683" TargetMode="External"/><Relationship Id="rId1308" Type="http://schemas.openxmlformats.org/officeDocument/2006/relationships/hyperlink" Target="https://www.openstreetmap.org/node/10036075001" TargetMode="External"/><Relationship Id="rId1309" Type="http://schemas.openxmlformats.org/officeDocument/2006/relationships/hyperlink" Target="https://www.google.com/maps/search/?api=1&amp;query=43.6056475,1.4531034" TargetMode="External"/><Relationship Id="rId1310" Type="http://schemas.openxmlformats.org/officeDocument/2006/relationships/hyperlink" Target="https://www.openstreetmap.org/node/6855499233" TargetMode="External"/><Relationship Id="rId1311" Type="http://schemas.openxmlformats.org/officeDocument/2006/relationships/hyperlink" Target="https://www.google.com/maps/search/?api=1&amp;query=43.6024255,1.4439014" TargetMode="External"/><Relationship Id="rId1312" Type="http://schemas.openxmlformats.org/officeDocument/2006/relationships/hyperlink" Target="https://www.openstreetmap.org/node/2464788568" TargetMode="External"/><Relationship Id="rId1313" Type="http://schemas.openxmlformats.org/officeDocument/2006/relationships/hyperlink" Target="https://www.leronddeserviette-rivegauche.fr/" TargetMode="External"/><Relationship Id="rId1314" Type="http://schemas.openxmlformats.org/officeDocument/2006/relationships/hyperlink" Target="https://www.google.com/maps/search/?api=1&amp;query=43.598608,1.434369" TargetMode="External"/><Relationship Id="rId1315" Type="http://schemas.openxmlformats.org/officeDocument/2006/relationships/hyperlink" Target="https://www.openstreetmap.org/node/4266711792" TargetMode="External"/><Relationship Id="rId1316" Type="http://schemas.openxmlformats.org/officeDocument/2006/relationships/hyperlink" Target="https://www.google.com/maps/search/?api=1&amp;query=43.590455,1.436234" TargetMode="External"/><Relationship Id="rId1317" Type="http://schemas.openxmlformats.org/officeDocument/2006/relationships/hyperlink" Target="https://www.openstreetmap.org/way/134207922" TargetMode="External"/><Relationship Id="rId1318" Type="http://schemas.openxmlformats.org/officeDocument/2006/relationships/hyperlink" Target="http://lahcen.idouakass.free.fr/" TargetMode="External"/><Relationship Id="rId1319" Type="http://schemas.openxmlformats.org/officeDocument/2006/relationships/hyperlink" Target="https://www.google.com/maps/search/?api=1&amp;query=43.6004904,1.442564" TargetMode="External"/><Relationship Id="rId1320" Type="http://schemas.openxmlformats.org/officeDocument/2006/relationships/hyperlink" Target="https://www.openstreetmap.org/node/2462248724" TargetMode="External"/><Relationship Id="rId1321" Type="http://schemas.openxmlformats.org/officeDocument/2006/relationships/hyperlink" Target="https://www.lesainthonest.fr/" TargetMode="External"/><Relationship Id="rId1322" Type="http://schemas.openxmlformats.org/officeDocument/2006/relationships/hyperlink" Target="https://www.google.com/maps/search/?api=1&amp;query=43.6146963,1.4421051" TargetMode="External"/><Relationship Id="rId1323" Type="http://schemas.openxmlformats.org/officeDocument/2006/relationships/hyperlink" Target="https://www.openstreetmap.org/node/5064181106" TargetMode="External"/><Relationship Id="rId1324" Type="http://schemas.openxmlformats.org/officeDocument/2006/relationships/hyperlink" Target="https://www.google.com/maps/search/?api=1&amp;query=43.6079153,1.4387215" TargetMode="External"/><Relationship Id="rId1325" Type="http://schemas.openxmlformats.org/officeDocument/2006/relationships/hyperlink" Target="https://www.openstreetmap.org/node/1976765821" TargetMode="External"/><Relationship Id="rId1326" Type="http://schemas.openxmlformats.org/officeDocument/2006/relationships/hyperlink" Target="https://www.lesaintsimon.fr/" TargetMode="External"/><Relationship Id="rId1327" Type="http://schemas.openxmlformats.org/officeDocument/2006/relationships/hyperlink" Target="https://www.google.com/maps/search/?api=1&amp;query=43.5579284,1.3793035" TargetMode="External"/><Relationship Id="rId1328" Type="http://schemas.openxmlformats.org/officeDocument/2006/relationships/hyperlink" Target="https://www.openstreetmap.org/node/3518152055" TargetMode="External"/><Relationship Id="rId1329" Type="http://schemas.openxmlformats.org/officeDocument/2006/relationships/hyperlink" Target="https://restaurant-semiramis.com/" TargetMode="External"/><Relationship Id="rId1330" Type="http://schemas.openxmlformats.org/officeDocument/2006/relationships/hyperlink" Target="https://www.google.com/maps/search/?api=1&amp;query=43.6008538,1.4405713" TargetMode="External"/><Relationship Id="rId1331" Type="http://schemas.openxmlformats.org/officeDocument/2006/relationships/hyperlink" Target="https://www.openstreetmap.org/node/2460954128" TargetMode="External"/><Relationship Id="rId1332" Type="http://schemas.openxmlformats.org/officeDocument/2006/relationships/hyperlink" Target="https://www.le-servant.com/" TargetMode="External"/><Relationship Id="rId1333" Type="http://schemas.openxmlformats.org/officeDocument/2006/relationships/hyperlink" Target="https://www.google.com/maps/search/?api=1&amp;query=43.596443,1.4328376" TargetMode="External"/><Relationship Id="rId1334" Type="http://schemas.openxmlformats.org/officeDocument/2006/relationships/hyperlink" Target="https://www.openstreetmap.org/node/769244212" TargetMode="External"/><Relationship Id="rId1335" Type="http://schemas.openxmlformats.org/officeDocument/2006/relationships/hyperlink" Target="https://leshahidhaba.com/" TargetMode="External"/><Relationship Id="rId1336" Type="http://schemas.openxmlformats.org/officeDocument/2006/relationships/hyperlink" Target="https://www.google.com/maps/search/?api=1&amp;query=43.6051178,1.4535025" TargetMode="External"/><Relationship Id="rId1337" Type="http://schemas.openxmlformats.org/officeDocument/2006/relationships/hyperlink" Target="https://www.openstreetmap.org/node/10069114220" TargetMode="External"/><Relationship Id="rId1338" Type="http://schemas.openxmlformats.org/officeDocument/2006/relationships/hyperlink" Target="https://www.google.com/maps/search/?api=1&amp;query=43.6109149,1.4392905" TargetMode="External"/><Relationship Id="rId1339" Type="http://schemas.openxmlformats.org/officeDocument/2006/relationships/hyperlink" Target="https://www.openstreetmap.org/node/2525414092" TargetMode="External"/><Relationship Id="rId1340" Type="http://schemas.openxmlformats.org/officeDocument/2006/relationships/hyperlink" Target="https://www.facebook.com/leshaker31/" TargetMode="External"/><Relationship Id="rId1341" Type="http://schemas.openxmlformats.org/officeDocument/2006/relationships/hyperlink" Target="https://www.google.com/maps/search/?api=1&amp;query=43.6138194,1.3965833" TargetMode="External"/><Relationship Id="rId1342" Type="http://schemas.openxmlformats.org/officeDocument/2006/relationships/hyperlink" Target="https://www.openstreetmap.org/node/5696935220" TargetMode="External"/><Relationship Id="rId1343" Type="http://schemas.openxmlformats.org/officeDocument/2006/relationships/hyperlink" Target="https://www.google.com/maps/search/?api=1&amp;query=43.6099445,1.4392299" TargetMode="External"/><Relationship Id="rId1344" Type="http://schemas.openxmlformats.org/officeDocument/2006/relationships/hyperlink" Target="https://www.openstreetmap.org/node/772898715" TargetMode="External"/><Relationship Id="rId1345" Type="http://schemas.openxmlformats.org/officeDocument/2006/relationships/hyperlink" Target="https://www.google.com/maps/search/?api=1&amp;query=43.6066824,1.4424675" TargetMode="External"/><Relationship Id="rId1346" Type="http://schemas.openxmlformats.org/officeDocument/2006/relationships/hyperlink" Target="https://www.openstreetmap.org/node/1241251804" TargetMode="External"/><Relationship Id="rId1347" Type="http://schemas.openxmlformats.org/officeDocument/2006/relationships/hyperlink" Target="https://www.google.com/maps/search/?api=1&amp;query=43.5969414,1.4500476" TargetMode="External"/><Relationship Id="rId1348" Type="http://schemas.openxmlformats.org/officeDocument/2006/relationships/hyperlink" Target="https://www.openstreetmap.org/node/868727704" TargetMode="External"/><Relationship Id="rId1349" Type="http://schemas.openxmlformats.org/officeDocument/2006/relationships/hyperlink" Target="https://www.google.com/maps/search/?api=1&amp;query=43.5872161,1.4615784" TargetMode="External"/><Relationship Id="rId1350" Type="http://schemas.openxmlformats.org/officeDocument/2006/relationships/hyperlink" Target="https://www.openstreetmap.org/node/12252366656" TargetMode="External"/><Relationship Id="rId1351" Type="http://schemas.openxmlformats.org/officeDocument/2006/relationships/hyperlink" Target="https://www.google.com/maps/search/?api=1&amp;query=43.5897121,1.4459133" TargetMode="External"/><Relationship Id="rId1352" Type="http://schemas.openxmlformats.org/officeDocument/2006/relationships/hyperlink" Target="https://www.openstreetmap.org/node/2288225869" TargetMode="External"/><Relationship Id="rId1353" Type="http://schemas.openxmlformats.org/officeDocument/2006/relationships/hyperlink" Target="https://le-sukhothai-toulouse.com/" TargetMode="External"/><Relationship Id="rId1354" Type="http://schemas.openxmlformats.org/officeDocument/2006/relationships/hyperlink" Target="https://www.google.com/maps/search/?api=1&amp;query=43.6115298,1.4477247" TargetMode="External"/><Relationship Id="rId1355" Type="http://schemas.openxmlformats.org/officeDocument/2006/relationships/hyperlink" Target="https://www.openstreetmap.org/node/10221056361" TargetMode="External"/><Relationship Id="rId1356" Type="http://schemas.openxmlformats.org/officeDocument/2006/relationships/hyperlink" Target="https://www.google.com/maps/search/?api=1&amp;query=43.5989025,1.4327048" TargetMode="External"/><Relationship Id="rId1357" Type="http://schemas.openxmlformats.org/officeDocument/2006/relationships/hyperlink" Target="https://www.openstreetmap.org/node/768591777" TargetMode="External"/><Relationship Id="rId1358" Type="http://schemas.openxmlformats.org/officeDocument/2006/relationships/hyperlink" Target="https://www.facebook.com/Le.Toec/" TargetMode="External"/><Relationship Id="rId1359" Type="http://schemas.openxmlformats.org/officeDocument/2006/relationships/hyperlink" Target="https://www.google.com/maps/search/?api=1&amp;query=43.6085675,1.4168185" TargetMode="External"/><Relationship Id="rId1360" Type="http://schemas.openxmlformats.org/officeDocument/2006/relationships/hyperlink" Target="https://www.openstreetmap.org/way/122980276" TargetMode="External"/><Relationship Id="rId1361" Type="http://schemas.openxmlformats.org/officeDocument/2006/relationships/hyperlink" Target="https://www.letroquetgaronne.fr/" TargetMode="External"/><Relationship Id="rId1362" Type="http://schemas.openxmlformats.org/officeDocument/2006/relationships/hyperlink" Target="https://www.google.com/maps/search/?api=1&amp;query=43.5845223,1.4280358" TargetMode="External"/><Relationship Id="rId1363" Type="http://schemas.openxmlformats.org/officeDocument/2006/relationships/hyperlink" Target="https://www.openstreetmap.org/node/450534500" TargetMode="External"/><Relationship Id="rId1364" Type="http://schemas.openxmlformats.org/officeDocument/2006/relationships/hyperlink" Target="https://www.google.com/maps/search/?api=1&amp;query=43.5977905,1.4442151" TargetMode="External"/><Relationship Id="rId1365" Type="http://schemas.openxmlformats.org/officeDocument/2006/relationships/hyperlink" Target="https://www.openstreetmap.org/node/2611276431" TargetMode="External"/><Relationship Id="rId1366" Type="http://schemas.openxmlformats.org/officeDocument/2006/relationships/hyperlink" Target="https://www.google.com/maps/search/?api=1&amp;query=43.6006098,1.4514356" TargetMode="External"/><Relationship Id="rId1367" Type="http://schemas.openxmlformats.org/officeDocument/2006/relationships/hyperlink" Target="https://www.openstreetmap.org/node/776084925" TargetMode="External"/><Relationship Id="rId1368" Type="http://schemas.openxmlformats.org/officeDocument/2006/relationships/hyperlink" Target="https://www.google.com/maps/search/?api=1&amp;query=43.5955085,1.4637492" TargetMode="External"/><Relationship Id="rId1369" Type="http://schemas.openxmlformats.org/officeDocument/2006/relationships/hyperlink" Target="https://www.openstreetmap.org/node/5981082884" TargetMode="External"/><Relationship Id="rId1370" Type="http://schemas.openxmlformats.org/officeDocument/2006/relationships/hyperlink" Target="https://www.google.com/maps/search/?api=1&amp;query=43.6110791,1.4520718" TargetMode="External"/><Relationship Id="rId1371" Type="http://schemas.openxmlformats.org/officeDocument/2006/relationships/hyperlink" Target="https://www.openstreetmap.org/node/2450406628" TargetMode="External"/><Relationship Id="rId1372" Type="http://schemas.openxmlformats.org/officeDocument/2006/relationships/hyperlink" Target="https://www.google.com/maps/search/?api=1&amp;query=43.5593889,1.3770419" TargetMode="External"/><Relationship Id="rId1373" Type="http://schemas.openxmlformats.org/officeDocument/2006/relationships/hyperlink" Target="https://www.openstreetmap.org/node/3518152056" TargetMode="External"/><Relationship Id="rId1374" Type="http://schemas.openxmlformats.org/officeDocument/2006/relationships/hyperlink" Target="http://lamanufacturetoulouse.fr/" TargetMode="External"/><Relationship Id="rId1375" Type="http://schemas.openxmlformats.org/officeDocument/2006/relationships/hyperlink" Target="https://www.google.com/maps/search/?api=1&amp;query=43.6040984,1.4364001" TargetMode="External"/><Relationship Id="rId1376" Type="http://schemas.openxmlformats.org/officeDocument/2006/relationships/hyperlink" Target="https://www.openstreetmap.org/node/2465994043" TargetMode="External"/><Relationship Id="rId1377" Type="http://schemas.openxmlformats.org/officeDocument/2006/relationships/hyperlink" Target="https://www.google.com/maps/search/?api=1&amp;query=43.5840961,1.3761847" TargetMode="External"/><Relationship Id="rId1378" Type="http://schemas.openxmlformats.org/officeDocument/2006/relationships/hyperlink" Target="https://www.openstreetmap.org/node/2564931332" TargetMode="External"/><Relationship Id="rId1379" Type="http://schemas.openxmlformats.org/officeDocument/2006/relationships/hyperlink" Target="https://www.lerichedesaveurs.com/" TargetMode="External"/><Relationship Id="rId1380" Type="http://schemas.openxmlformats.org/officeDocument/2006/relationships/hyperlink" Target="https://www.google.com/maps/search/?api=1&amp;query=43.595142,1.443349" TargetMode="External"/><Relationship Id="rId1381" Type="http://schemas.openxmlformats.org/officeDocument/2006/relationships/hyperlink" Target="https://www.openstreetmap.org/node/4907716555" TargetMode="External"/><Relationship Id="rId1382" Type="http://schemas.openxmlformats.org/officeDocument/2006/relationships/hyperlink" Target="https://www.restaurant-les2fontlapaire.fr/" TargetMode="External"/><Relationship Id="rId1383" Type="http://schemas.openxmlformats.org/officeDocument/2006/relationships/hyperlink" Target="https://www.google.com/maps/search/?api=1&amp;query=43.5955702,1.4459078" TargetMode="External"/><Relationship Id="rId1384" Type="http://schemas.openxmlformats.org/officeDocument/2006/relationships/hyperlink" Target="https://www.openstreetmap.org/node/7419099459" TargetMode="External"/><Relationship Id="rId1385" Type="http://schemas.openxmlformats.org/officeDocument/2006/relationships/hyperlink" Target="https://www.google.com/maps/search/?api=1&amp;query=43.5922292,1.3975685" TargetMode="External"/><Relationship Id="rId1386" Type="http://schemas.openxmlformats.org/officeDocument/2006/relationships/hyperlink" Target="https://www.openstreetmap.org/node/2679141674" TargetMode="External"/><Relationship Id="rId1387" Type="http://schemas.openxmlformats.org/officeDocument/2006/relationships/hyperlink" Target="http://brasserie-arcades.com/" TargetMode="External"/><Relationship Id="rId1388" Type="http://schemas.openxmlformats.org/officeDocument/2006/relationships/hyperlink" Target="https://www.google.com/maps/search/?api=1&amp;query=43.6045477,1.4426837" TargetMode="External"/><Relationship Id="rId1389" Type="http://schemas.openxmlformats.org/officeDocument/2006/relationships/hyperlink" Target="https://www.openstreetmap.org/node/2457772064" TargetMode="External"/><Relationship Id="rId1390" Type="http://schemas.openxmlformats.org/officeDocument/2006/relationships/hyperlink" Target="https://www.google.com/maps/search/?api=1&amp;query=43.5949961,1.4217988" TargetMode="External"/><Relationship Id="rId1391" Type="http://schemas.openxmlformats.org/officeDocument/2006/relationships/hyperlink" Target="https://www.openstreetmap.org/node/13630142586" TargetMode="External"/><Relationship Id="rId1392" Type="http://schemas.openxmlformats.org/officeDocument/2006/relationships/hyperlink" Target="https://www.lesburgersdecolette.fr/" TargetMode="External"/><Relationship Id="rId1393" Type="http://schemas.openxmlformats.org/officeDocument/2006/relationships/hyperlink" Target="https://www.google.com/maps/search/?api=1&amp;query=43.6068553,1.4471458" TargetMode="External"/><Relationship Id="rId1394" Type="http://schemas.openxmlformats.org/officeDocument/2006/relationships/hyperlink" Target="https://www.openstreetmap.org/node/2447719430" TargetMode="External"/><Relationship Id="rId1395" Type="http://schemas.openxmlformats.org/officeDocument/2006/relationships/hyperlink" Target="https://www.lescavesdelamarechale.com/" TargetMode="External"/><Relationship Id="rId1396" Type="http://schemas.openxmlformats.org/officeDocument/2006/relationships/hyperlink" Target="https://www.google.com/maps/search/?api=1&amp;query=43.6025551,1.4441834" TargetMode="External"/><Relationship Id="rId1397" Type="http://schemas.openxmlformats.org/officeDocument/2006/relationships/hyperlink" Target="https://www.openstreetmap.org/node/3389502088" TargetMode="External"/><Relationship Id="rId1398" Type="http://schemas.openxmlformats.org/officeDocument/2006/relationships/hyperlink" Target="https://www.google.com/maps/search/?api=1&amp;query=43.5976665,1.4314979" TargetMode="External"/><Relationship Id="rId1399" Type="http://schemas.openxmlformats.org/officeDocument/2006/relationships/hyperlink" Target="https://www.openstreetmap.org/node/768548459" TargetMode="External"/><Relationship Id="rId1400" Type="http://schemas.openxmlformats.org/officeDocument/2006/relationships/hyperlink" Target="https://www.lescopains.fr/" TargetMode="External"/><Relationship Id="rId1401" Type="http://schemas.openxmlformats.org/officeDocument/2006/relationships/hyperlink" Target="https://www.google.com/maps/search/?api=1&amp;query=43.6015157,1.4581042" TargetMode="External"/><Relationship Id="rId1402" Type="http://schemas.openxmlformats.org/officeDocument/2006/relationships/hyperlink" Target="https://www.openstreetmap.org/way/64850497" TargetMode="External"/><Relationship Id="rId1403" Type="http://schemas.openxmlformats.org/officeDocument/2006/relationships/hyperlink" Target="https://www.google.com/maps/search/?api=1&amp;query=43.5988865,1.449107" TargetMode="External"/><Relationship Id="rId1404" Type="http://schemas.openxmlformats.org/officeDocument/2006/relationships/hyperlink" Target="https://www.openstreetmap.org/node/7417568926" TargetMode="External"/><Relationship Id="rId1405" Type="http://schemas.openxmlformats.org/officeDocument/2006/relationships/hyperlink" Target="https://www.chezlena.fr/" TargetMode="External"/><Relationship Id="rId1406" Type="http://schemas.openxmlformats.org/officeDocument/2006/relationships/hyperlink" Target="https://www.google.com/maps/search/?api=1&amp;query=43.609752,1.420037" TargetMode="External"/><Relationship Id="rId1407" Type="http://schemas.openxmlformats.org/officeDocument/2006/relationships/hyperlink" Target="https://www.openstreetmap.org/node/5969804151" TargetMode="External"/><Relationship Id="rId1408" Type="http://schemas.openxmlformats.org/officeDocument/2006/relationships/hyperlink" Target="https://www.google.com/maps/search/?api=1&amp;query=43.6078828,1.4384745" TargetMode="External"/><Relationship Id="rId1409" Type="http://schemas.openxmlformats.org/officeDocument/2006/relationships/hyperlink" Target="https://www.openstreetmap.org/node/7394637662" TargetMode="External"/><Relationship Id="rId1410" Type="http://schemas.openxmlformats.org/officeDocument/2006/relationships/hyperlink" Target="https://www.google.com/maps/search/?api=1&amp;query=43.5971371,1.4440141" TargetMode="External"/><Relationship Id="rId1411" Type="http://schemas.openxmlformats.org/officeDocument/2006/relationships/hyperlink" Target="https://www.openstreetmap.org/node/6447597935" TargetMode="External"/><Relationship Id="rId1412" Type="http://schemas.openxmlformats.org/officeDocument/2006/relationships/hyperlink" Target="https://www.google.com/maps/search/?api=1&amp;query=43.5669492,1.3926137" TargetMode="External"/><Relationship Id="rId1413" Type="http://schemas.openxmlformats.org/officeDocument/2006/relationships/hyperlink" Target="https://www.openstreetmap.org/node/2814977193" TargetMode="External"/><Relationship Id="rId1414" Type="http://schemas.openxmlformats.org/officeDocument/2006/relationships/hyperlink" Target="https://les-filous.fr/" TargetMode="External"/><Relationship Id="rId1415" Type="http://schemas.openxmlformats.org/officeDocument/2006/relationships/hyperlink" Target="https://www.google.com/maps/search/?api=1&amp;query=43.6036011,1.4518204" TargetMode="External"/><Relationship Id="rId1416" Type="http://schemas.openxmlformats.org/officeDocument/2006/relationships/hyperlink" Target="https://www.openstreetmap.org/node/2463356564" TargetMode="External"/><Relationship Id="rId1417" Type="http://schemas.openxmlformats.org/officeDocument/2006/relationships/hyperlink" Target="https://www.google.com/maps/search/?api=1&amp;query=43.5988382,1.4454541" TargetMode="External"/><Relationship Id="rId1418" Type="http://schemas.openxmlformats.org/officeDocument/2006/relationships/hyperlink" Target="https://www.openstreetmap.org/node/2459885026" TargetMode="External"/><Relationship Id="rId1419" Type="http://schemas.openxmlformats.org/officeDocument/2006/relationships/hyperlink" Target="https://www.google.com/maps/search/?api=1&amp;query=43.5785044,1.3909346" TargetMode="External"/><Relationship Id="rId1420" Type="http://schemas.openxmlformats.org/officeDocument/2006/relationships/hyperlink" Target="https://www.openstreetmap.org/node/250665866" TargetMode="External"/><Relationship Id="rId1421" Type="http://schemas.openxmlformats.org/officeDocument/2006/relationships/hyperlink" Target="https://www.google.com/maps/search/?api=1&amp;query=43.6018533,1.4400714" TargetMode="External"/><Relationship Id="rId1422" Type="http://schemas.openxmlformats.org/officeDocument/2006/relationships/hyperlink" Target="https://www.openstreetmap.org/node/772602076" TargetMode="External"/><Relationship Id="rId1423" Type="http://schemas.openxmlformats.org/officeDocument/2006/relationships/hyperlink" Target="https://les-galopins-restaurant.eatbu.com/" TargetMode="External"/><Relationship Id="rId1424" Type="http://schemas.openxmlformats.org/officeDocument/2006/relationships/hyperlink" Target="https://www.google.com/maps/search/?api=1&amp;query=43.599521,1.440748" TargetMode="External"/><Relationship Id="rId1425" Type="http://schemas.openxmlformats.org/officeDocument/2006/relationships/hyperlink" Target="https://www.openstreetmap.org/node/1573883095" TargetMode="External"/><Relationship Id="rId1426" Type="http://schemas.openxmlformats.org/officeDocument/2006/relationships/hyperlink" Target="https://www.leshallesdadrien.fr/" TargetMode="External"/><Relationship Id="rId1427" Type="http://schemas.openxmlformats.org/officeDocument/2006/relationships/hyperlink" Target="https://www.google.com/maps/search/?api=1&amp;query=43.5542623,1.3988506" TargetMode="External"/><Relationship Id="rId1428" Type="http://schemas.openxmlformats.org/officeDocument/2006/relationships/hyperlink" Target="https://www.openstreetmap.org/node/12539600839" TargetMode="External"/><Relationship Id="rId1429" Type="http://schemas.openxmlformats.org/officeDocument/2006/relationships/hyperlink" Target="http://www.hallesdelacite.com/" TargetMode="External"/><Relationship Id="rId1430" Type="http://schemas.openxmlformats.org/officeDocument/2006/relationships/hyperlink" Target="https://www.google.com/maps/search/?api=1&amp;query=43.6042065,1.4494725" TargetMode="External"/><Relationship Id="rId1431" Type="http://schemas.openxmlformats.org/officeDocument/2006/relationships/hyperlink" Target="https://www.openstreetmap.org/node/7685021873" TargetMode="External"/><Relationship Id="rId1432" Type="http://schemas.openxmlformats.org/officeDocument/2006/relationships/hyperlink" Target="https://www.leshallesdelatransition.com/" TargetMode="External"/><Relationship Id="rId1433" Type="http://schemas.openxmlformats.org/officeDocument/2006/relationships/hyperlink" Target="https://www.google.com/maps/search/?api=1&amp;query=43.6099825,1.4500342" TargetMode="External"/><Relationship Id="rId1434" Type="http://schemas.openxmlformats.org/officeDocument/2006/relationships/hyperlink" Target="https://www.openstreetmap.org/node/7147293808" TargetMode="External"/><Relationship Id="rId1435" Type="http://schemas.openxmlformats.org/officeDocument/2006/relationships/hyperlink" Target="https://www.les-illustres.fr/" TargetMode="External"/><Relationship Id="rId1436" Type="http://schemas.openxmlformats.org/officeDocument/2006/relationships/hyperlink" Target="https://www.google.com/maps/search/?api=1&amp;query=43.6040831,1.4427886" TargetMode="External"/><Relationship Id="rId1437" Type="http://schemas.openxmlformats.org/officeDocument/2006/relationships/hyperlink" Target="https://www.openstreetmap.org/node/2457772065" TargetMode="External"/><Relationship Id="rId1438" Type="http://schemas.openxmlformats.org/officeDocument/2006/relationships/hyperlink" Target="https://les-impulsifs-toulouse.eatbu.com/" TargetMode="External"/><Relationship Id="rId1439" Type="http://schemas.openxmlformats.org/officeDocument/2006/relationships/hyperlink" Target="https://www.google.com/maps/search/?api=1&amp;query=43.5987731,1.4428253" TargetMode="External"/><Relationship Id="rId1440" Type="http://schemas.openxmlformats.org/officeDocument/2006/relationships/hyperlink" Target="https://www.openstreetmap.org/node/6000879609" TargetMode="External"/><Relationship Id="rId1441" Type="http://schemas.openxmlformats.org/officeDocument/2006/relationships/hyperlink" Target="http://www.lesjardinsdelyssa.fr/" TargetMode="External"/><Relationship Id="rId1442" Type="http://schemas.openxmlformats.org/officeDocument/2006/relationships/hyperlink" Target="https://www.google.com/maps/search/?api=1&amp;query=43.6044948,1.4513342" TargetMode="External"/><Relationship Id="rId1443" Type="http://schemas.openxmlformats.org/officeDocument/2006/relationships/hyperlink" Target="https://www.openstreetmap.org/node/3751077579" TargetMode="External"/><Relationship Id="rId1444" Type="http://schemas.openxmlformats.org/officeDocument/2006/relationships/hyperlink" Target="https://lesjardinsdecandie.com/" TargetMode="External"/><Relationship Id="rId1445" Type="http://schemas.openxmlformats.org/officeDocument/2006/relationships/hyperlink" Target="https://www.google.com/maps/search/?api=1&amp;query=43.543665,1.3891536" TargetMode="External"/><Relationship Id="rId1446" Type="http://schemas.openxmlformats.org/officeDocument/2006/relationships/hyperlink" Target="https://www.openstreetmap.org/node/12948951394" TargetMode="External"/><Relationship Id="rId1447" Type="http://schemas.openxmlformats.org/officeDocument/2006/relationships/hyperlink" Target="https://www.lesjardinsdelolympe.com/" TargetMode="External"/><Relationship Id="rId1448" Type="http://schemas.openxmlformats.org/officeDocument/2006/relationships/hyperlink" Target="https://www.google.com/maps/search/?api=1&amp;query=43.6258602,1.4026625" TargetMode="External"/><Relationship Id="rId1449" Type="http://schemas.openxmlformats.org/officeDocument/2006/relationships/hyperlink" Target="https://www.openstreetmap.org/node/2338325953" TargetMode="External"/><Relationship Id="rId1450" Type="http://schemas.openxmlformats.org/officeDocument/2006/relationships/hyperlink" Target="https://www.lesjardinsdelopera.fr/" TargetMode="External"/><Relationship Id="rId1451" Type="http://schemas.openxmlformats.org/officeDocument/2006/relationships/hyperlink" Target="https://www.google.com/maps/search/?api=1&amp;query=43.6035985,1.4442384" TargetMode="External"/><Relationship Id="rId1452" Type="http://schemas.openxmlformats.org/officeDocument/2006/relationships/hyperlink" Target="https://www.openstreetmap.org/way/780631225" TargetMode="External"/><Relationship Id="rId1453" Type="http://schemas.openxmlformats.org/officeDocument/2006/relationships/hyperlink" Target="https://www.lesjardinsdelacepiere.fr/" TargetMode="External"/><Relationship Id="rId1454" Type="http://schemas.openxmlformats.org/officeDocument/2006/relationships/hyperlink" Target="https://www.google.com/maps/search/?api=1&amp;query=43.5923035,1.4045069" TargetMode="External"/><Relationship Id="rId1455" Type="http://schemas.openxmlformats.org/officeDocument/2006/relationships/hyperlink" Target="https://www.openstreetmap.org/node/2820152912" TargetMode="External"/><Relationship Id="rId1456" Type="http://schemas.openxmlformats.org/officeDocument/2006/relationships/hyperlink" Target="https://www.google.com/maps/search/?api=1&amp;query=43.6080743,1.3822105" TargetMode="External"/><Relationship Id="rId1457" Type="http://schemas.openxmlformats.org/officeDocument/2006/relationships/hyperlink" Target="https://www.openstreetmap.org/way/74710939" TargetMode="External"/><Relationship Id="rId1458" Type="http://schemas.openxmlformats.org/officeDocument/2006/relationships/hyperlink" Target="https://kouadiopatrice.site-solocal.com/" TargetMode="External"/><Relationship Id="rId1459" Type="http://schemas.openxmlformats.org/officeDocument/2006/relationships/hyperlink" Target="https://www.google.com/maps/search/?api=1&amp;query=43.6191487,1.436876" TargetMode="External"/><Relationship Id="rId1460" Type="http://schemas.openxmlformats.org/officeDocument/2006/relationships/hyperlink" Target="https://www.openstreetmap.org/node/987401747" TargetMode="External"/><Relationship Id="rId1461" Type="http://schemas.openxmlformats.org/officeDocument/2006/relationships/hyperlink" Target="https://www.les-munitionnettes.fr/" TargetMode="External"/><Relationship Id="rId1462" Type="http://schemas.openxmlformats.org/officeDocument/2006/relationships/hyperlink" Target="https://www.google.com/maps/search/?api=1&amp;query=43.6024537,1.408394" TargetMode="External"/><Relationship Id="rId1463" Type="http://schemas.openxmlformats.org/officeDocument/2006/relationships/hyperlink" Target="https://www.openstreetmap.org/node/9862555417" TargetMode="External"/><Relationship Id="rId1464" Type="http://schemas.openxmlformats.org/officeDocument/2006/relationships/hyperlink" Target="https://www.lespassionnes-toulouse.fr/" TargetMode="External"/><Relationship Id="rId1465" Type="http://schemas.openxmlformats.org/officeDocument/2006/relationships/hyperlink" Target="https://www.google.com/maps/search/?api=1&amp;query=43.6062099,1.429901" TargetMode="External"/><Relationship Id="rId1466" Type="http://schemas.openxmlformats.org/officeDocument/2006/relationships/hyperlink" Target="https://www.openstreetmap.org/node/5325139136" TargetMode="External"/><Relationship Id="rId1467" Type="http://schemas.openxmlformats.org/officeDocument/2006/relationships/hyperlink" Target="https://www.google.com/maps/search/?api=1&amp;query=43.6054873,1.4590676" TargetMode="External"/><Relationship Id="rId1468" Type="http://schemas.openxmlformats.org/officeDocument/2006/relationships/hyperlink" Target="https://www.openstreetmap.org/node/11422260269" TargetMode="External"/><Relationship Id="rId1469" Type="http://schemas.openxmlformats.org/officeDocument/2006/relationships/hyperlink" Target="https://www.lespetitscrus.com/" TargetMode="External"/><Relationship Id="rId1470" Type="http://schemas.openxmlformats.org/officeDocument/2006/relationships/hyperlink" Target="https://www.google.com/maps/search/?api=1&amp;query=43.5982853,1.4417202" TargetMode="External"/><Relationship Id="rId1471" Type="http://schemas.openxmlformats.org/officeDocument/2006/relationships/hyperlink" Target="https://www.openstreetmap.org/node/7383272441" TargetMode="External"/><Relationship Id="rId1472" Type="http://schemas.openxmlformats.org/officeDocument/2006/relationships/hyperlink" Target="https://lesplaneurs.com/" TargetMode="External"/><Relationship Id="rId1473" Type="http://schemas.openxmlformats.org/officeDocument/2006/relationships/hyperlink" Target="https://www.google.com/maps/search/?api=1&amp;query=43.6163605,1.4395972" TargetMode="External"/><Relationship Id="rId1474" Type="http://schemas.openxmlformats.org/officeDocument/2006/relationships/hyperlink" Target="https://www.openstreetmap.org/node/11578388727" TargetMode="External"/><Relationship Id="rId1475" Type="http://schemas.openxmlformats.org/officeDocument/2006/relationships/hyperlink" Target="http://www.restaurant-4-saisons.com/" TargetMode="External"/><Relationship Id="rId1476" Type="http://schemas.openxmlformats.org/officeDocument/2006/relationships/hyperlink" Target="https://www.google.com/maps/search/?api=1&amp;query=43.5832605,1.4485132" TargetMode="External"/><Relationship Id="rId1477" Type="http://schemas.openxmlformats.org/officeDocument/2006/relationships/hyperlink" Target="https://www.openstreetmap.org/node/1875049781" TargetMode="External"/><Relationship Id="rId1478" Type="http://schemas.openxmlformats.org/officeDocument/2006/relationships/hyperlink" Target="https://www.google.com/maps/search/?api=1&amp;query=43.5828892,1.4482373" TargetMode="External"/><Relationship Id="rId1479" Type="http://schemas.openxmlformats.org/officeDocument/2006/relationships/hyperlink" Target="https://www.openstreetmap.org/node/3491925536" TargetMode="External"/><Relationship Id="rId1480" Type="http://schemas.openxmlformats.org/officeDocument/2006/relationships/hyperlink" Target="https://lesthermes-toulouse.fr/" TargetMode="External"/><Relationship Id="rId1481" Type="http://schemas.openxmlformats.org/officeDocument/2006/relationships/hyperlink" Target="https://www.google.com/maps/search/?api=1&amp;query=43.6045091,1.4502706" TargetMode="External"/><Relationship Id="rId1482" Type="http://schemas.openxmlformats.org/officeDocument/2006/relationships/hyperlink" Target="https://www.openstreetmap.org/node/6186858182" TargetMode="External"/><Relationship Id="rId1483" Type="http://schemas.openxmlformats.org/officeDocument/2006/relationships/hyperlink" Target="https://lesthermes-toulouse.fr/" TargetMode="External"/><Relationship Id="rId1484" Type="http://schemas.openxmlformats.org/officeDocument/2006/relationships/hyperlink" Target="https://www.google.com/maps/search/?api=1&amp;query=43.6046896,1.4501408" TargetMode="External"/><Relationship Id="rId1485" Type="http://schemas.openxmlformats.org/officeDocument/2006/relationships/hyperlink" Target="https://www.openstreetmap.org/node/12959674968" TargetMode="External"/><Relationship Id="rId1486" Type="http://schemas.openxmlformats.org/officeDocument/2006/relationships/hyperlink" Target="https://www.google.com/maps/search/?api=1&amp;query=43.6066342,1.4566856" TargetMode="External"/><Relationship Id="rId1487" Type="http://schemas.openxmlformats.org/officeDocument/2006/relationships/hyperlink" Target="https://www.openstreetmap.org/node/954740196" TargetMode="External"/><Relationship Id="rId1488" Type="http://schemas.openxmlformats.org/officeDocument/2006/relationships/hyperlink" Target="https://www.instagram.com/les_tontons_flingueuses/" TargetMode="External"/><Relationship Id="rId1489" Type="http://schemas.openxmlformats.org/officeDocument/2006/relationships/hyperlink" Target="https://www.google.com/maps/search/?api=1&amp;query=43.61679,1.4372323" TargetMode="External"/><Relationship Id="rId1490" Type="http://schemas.openxmlformats.org/officeDocument/2006/relationships/hyperlink" Target="https://www.openstreetmap.org/node/1544892716" TargetMode="External"/><Relationship Id="rId1491" Type="http://schemas.openxmlformats.org/officeDocument/2006/relationships/hyperlink" Target="https://lestroissoupes.fr/" TargetMode="External"/><Relationship Id="rId1492" Type="http://schemas.openxmlformats.org/officeDocument/2006/relationships/hyperlink" Target="https://www.google.com/maps/search/?api=1&amp;query=43.5995166,1.4469505" TargetMode="External"/><Relationship Id="rId1493" Type="http://schemas.openxmlformats.org/officeDocument/2006/relationships/hyperlink" Target="https://www.openstreetmap.org/node/7598070498" TargetMode="External"/><Relationship Id="rId1494" Type="http://schemas.openxmlformats.org/officeDocument/2006/relationships/hyperlink" Target="https://www.google.com/maps/search/?api=1&amp;query=43.5848883,1.4161833" TargetMode="External"/><Relationship Id="rId1495" Type="http://schemas.openxmlformats.org/officeDocument/2006/relationships/hyperlink" Target="https://www.openstreetmap.org/node/3752239653" TargetMode="External"/><Relationship Id="rId1496" Type="http://schemas.openxmlformats.org/officeDocument/2006/relationships/hyperlink" Target="https://www.google.com/maps/search/?api=1&amp;query=43.5947876,1.443582" TargetMode="External"/><Relationship Id="rId1497" Type="http://schemas.openxmlformats.org/officeDocument/2006/relationships/hyperlink" Target="https://www.openstreetmap.org/node/7376959363" TargetMode="External"/><Relationship Id="rId1498" Type="http://schemas.openxmlformats.org/officeDocument/2006/relationships/hyperlink" Target="https://www.google.com/maps/search/?api=1&amp;query=43.6042163,1.4543594" TargetMode="External"/><Relationship Id="rId1499" Type="http://schemas.openxmlformats.org/officeDocument/2006/relationships/hyperlink" Target="https://www.openstreetmap.org/node/10875284702" TargetMode="External"/><Relationship Id="rId1500" Type="http://schemas.openxmlformats.org/officeDocument/2006/relationships/hyperlink" Target="https://www.google.com/maps/search/?api=1&amp;query=43.6023114,1.4471838" TargetMode="External"/><Relationship Id="rId1501" Type="http://schemas.openxmlformats.org/officeDocument/2006/relationships/hyperlink" Target="https://www.openstreetmap.org/node/11889546545" TargetMode="External"/><Relationship Id="rId1502" Type="http://schemas.openxmlformats.org/officeDocument/2006/relationships/hyperlink" Target="https://www.google.com/maps/search/?api=1&amp;query=43.6030031,1.4423584" TargetMode="External"/><Relationship Id="rId1503" Type="http://schemas.openxmlformats.org/officeDocument/2006/relationships/hyperlink" Target="https://www.openstreetmap.org/node/2465994198" TargetMode="External"/><Relationship Id="rId1504" Type="http://schemas.openxmlformats.org/officeDocument/2006/relationships/hyperlink" Target="https://www.google.com/maps/search/?api=1&amp;query=43.603497,1.4492129" TargetMode="External"/><Relationship Id="rId1505" Type="http://schemas.openxmlformats.org/officeDocument/2006/relationships/hyperlink" Target="https://www.openstreetmap.org/node/2993590465" TargetMode="External"/><Relationship Id="rId1506" Type="http://schemas.openxmlformats.org/officeDocument/2006/relationships/hyperlink" Target="https://www.llum-toulouse.fr/" TargetMode="External"/><Relationship Id="rId1507" Type="http://schemas.openxmlformats.org/officeDocument/2006/relationships/hyperlink" Target="https://www.google.com/maps/search/?api=1&amp;query=43.5853078,1.444863" TargetMode="External"/><Relationship Id="rId1508" Type="http://schemas.openxmlformats.org/officeDocument/2006/relationships/hyperlink" Target="https://www.openstreetmap.org/node/4361346558" TargetMode="External"/><Relationship Id="rId1509" Type="http://schemas.openxmlformats.org/officeDocument/2006/relationships/hyperlink" Target="https://restaurantlostivale.com/" TargetMode="External"/><Relationship Id="rId1510" Type="http://schemas.openxmlformats.org/officeDocument/2006/relationships/hyperlink" Target="https://www.google.com/maps/search/?api=1&amp;query=43.5945342,1.4428044" TargetMode="External"/><Relationship Id="rId1511" Type="http://schemas.openxmlformats.org/officeDocument/2006/relationships/hyperlink" Target="https://www.openstreetmap.org/node/894566527" TargetMode="External"/><Relationship Id="rId1512" Type="http://schemas.openxmlformats.org/officeDocument/2006/relationships/hyperlink" Target="https://www.facebook.com/Loge-24-restaurant-2526960850671366/" TargetMode="External"/><Relationship Id="rId1513" Type="http://schemas.openxmlformats.org/officeDocument/2006/relationships/hyperlink" Target="https://www.google.com/maps/search/?api=1&amp;query=43.5976506,1.4445288" TargetMode="External"/><Relationship Id="rId1514" Type="http://schemas.openxmlformats.org/officeDocument/2006/relationships/hyperlink" Target="https://www.openstreetmap.org/node/7779399794" TargetMode="External"/><Relationship Id="rId1515" Type="http://schemas.openxmlformats.org/officeDocument/2006/relationships/hyperlink" Target="https://www.long-quan.fr/" TargetMode="External"/><Relationship Id="rId1516" Type="http://schemas.openxmlformats.org/officeDocument/2006/relationships/hyperlink" Target="https://www.google.com/maps/search/?api=1&amp;query=43.6015494,1.4407998" TargetMode="External"/><Relationship Id="rId1517" Type="http://schemas.openxmlformats.org/officeDocument/2006/relationships/hyperlink" Target="https://www.openstreetmap.org/node/772725636" TargetMode="External"/><Relationship Id="rId1518" Type="http://schemas.openxmlformats.org/officeDocument/2006/relationships/hyperlink" Target="https://www.google.com/maps/search/?api=1&amp;query=43.6055309,1.4523682" TargetMode="External"/><Relationship Id="rId1519" Type="http://schemas.openxmlformats.org/officeDocument/2006/relationships/hyperlink" Target="https://www.openstreetmap.org/node/9992581667" TargetMode="External"/><Relationship Id="rId1520" Type="http://schemas.openxmlformats.org/officeDocument/2006/relationships/hyperlink" Target="https://www.restaurant-ag-toulouse.fr/" TargetMode="External"/><Relationship Id="rId1521" Type="http://schemas.openxmlformats.org/officeDocument/2006/relationships/hyperlink" Target="https://www.google.com/maps/search/?api=1&amp;query=43.5704335,1.4198535" TargetMode="External"/><Relationship Id="rId1522" Type="http://schemas.openxmlformats.org/officeDocument/2006/relationships/hyperlink" Target="https://www.openstreetmap.org/node/2534829582" TargetMode="External"/><Relationship Id="rId1523" Type="http://schemas.openxmlformats.org/officeDocument/2006/relationships/hyperlink" Target="https://www.google.com/maps/search/?api=1&amp;query=43.5910155,1.4024852" TargetMode="External"/><Relationship Id="rId1524" Type="http://schemas.openxmlformats.org/officeDocument/2006/relationships/hyperlink" Target="https://www.openstreetmap.org/node/2820152913" TargetMode="External"/><Relationship Id="rId1525" Type="http://schemas.openxmlformats.org/officeDocument/2006/relationships/hyperlink" Target="https://m-by-mo-bachir.business.site/" TargetMode="External"/><Relationship Id="rId1526" Type="http://schemas.openxmlformats.org/officeDocument/2006/relationships/hyperlink" Target="https://www.google.com/maps/search/?api=1&amp;query=43.5973061,1.4474462" TargetMode="External"/><Relationship Id="rId1527" Type="http://schemas.openxmlformats.org/officeDocument/2006/relationships/hyperlink" Target="https://www.openstreetmap.org/node/1763983153" TargetMode="External"/><Relationship Id="rId1528" Type="http://schemas.openxmlformats.org/officeDocument/2006/relationships/hyperlink" Target="http://mets-pizzeria.fr/" TargetMode="External"/><Relationship Id="rId1529" Type="http://schemas.openxmlformats.org/officeDocument/2006/relationships/hyperlink" Target="https://www.google.com/maps/search/?api=1&amp;query=43.6135015,1.4609266" TargetMode="External"/><Relationship Id="rId1530" Type="http://schemas.openxmlformats.org/officeDocument/2006/relationships/hyperlink" Target="https://www.openstreetmap.org/node/4237846556" TargetMode="External"/><Relationship Id="rId1531" Type="http://schemas.openxmlformats.org/officeDocument/2006/relationships/hyperlink" Target="https://www.monsieurgeorges.fr/" TargetMode="External"/><Relationship Id="rId1532" Type="http://schemas.openxmlformats.org/officeDocument/2006/relationships/hyperlink" Target="https://www.google.com/maps/search/?api=1&amp;query=43.6018581,1.4481201" TargetMode="External"/><Relationship Id="rId1533" Type="http://schemas.openxmlformats.org/officeDocument/2006/relationships/hyperlink" Target="https://www.openstreetmap.org/node/2478393365" TargetMode="External"/><Relationship Id="rId1534" Type="http://schemas.openxmlformats.org/officeDocument/2006/relationships/hyperlink" Target="https://www.google.com/maps/search/?api=1&amp;query=43.6104516,1.3666363" TargetMode="External"/><Relationship Id="rId1535" Type="http://schemas.openxmlformats.org/officeDocument/2006/relationships/hyperlink" Target="https://www.openstreetmap.org/node/2126661351" TargetMode="External"/><Relationship Id="rId1536" Type="http://schemas.openxmlformats.org/officeDocument/2006/relationships/hyperlink" Target="https://www.google.com/maps/search/?api=1&amp;query=43.6119595,1.3700529" TargetMode="External"/><Relationship Id="rId1537" Type="http://schemas.openxmlformats.org/officeDocument/2006/relationships/hyperlink" Target="https://www.openstreetmap.org/way/205389839" TargetMode="External"/><Relationship Id="rId1538" Type="http://schemas.openxmlformats.org/officeDocument/2006/relationships/hyperlink" Target="https://www.google.com/maps/search/?api=1&amp;query=43.6141277,1.3562268" TargetMode="External"/><Relationship Id="rId1539" Type="http://schemas.openxmlformats.org/officeDocument/2006/relationships/hyperlink" Target="https://www.openstreetmap.org/way/74705654" TargetMode="External"/><Relationship Id="rId1540" Type="http://schemas.openxmlformats.org/officeDocument/2006/relationships/hyperlink" Target="https://www.mabichesurletoit.com/" TargetMode="External"/><Relationship Id="rId1541" Type="http://schemas.openxmlformats.org/officeDocument/2006/relationships/hyperlink" Target="https://www.google.com/maps/search/?api=1&amp;query=43.6037747,1.4463458" TargetMode="External"/><Relationship Id="rId1542" Type="http://schemas.openxmlformats.org/officeDocument/2006/relationships/hyperlink" Target="https://www.openstreetmap.org/node/5639320721" TargetMode="External"/><Relationship Id="rId1543" Type="http://schemas.openxmlformats.org/officeDocument/2006/relationships/hyperlink" Target="https://www.mamasushi.fr/" TargetMode="External"/><Relationship Id="rId1544" Type="http://schemas.openxmlformats.org/officeDocument/2006/relationships/hyperlink" Target="https://www.google.com/maps/search/?api=1&amp;query=43.6177036,1.4365515" TargetMode="External"/><Relationship Id="rId1545" Type="http://schemas.openxmlformats.org/officeDocument/2006/relationships/hyperlink" Target="https://www.openstreetmap.org/node/1544916207" TargetMode="External"/><Relationship Id="rId1546" Type="http://schemas.openxmlformats.org/officeDocument/2006/relationships/hyperlink" Target="https://www.mamasushi.fr/" TargetMode="External"/><Relationship Id="rId1547" Type="http://schemas.openxmlformats.org/officeDocument/2006/relationships/hyperlink" Target="https://www.google.com/maps/search/?api=1&amp;query=43.5985785,1.4442323" TargetMode="External"/><Relationship Id="rId1548" Type="http://schemas.openxmlformats.org/officeDocument/2006/relationships/hyperlink" Target="https://www.openstreetmap.org/node/7369021459" TargetMode="External"/><Relationship Id="rId1549" Type="http://schemas.openxmlformats.org/officeDocument/2006/relationships/hyperlink" Target="https://www.google.com/maps/search/?api=1&amp;query=43.6002843,1.4495414" TargetMode="External"/><Relationship Id="rId1550" Type="http://schemas.openxmlformats.org/officeDocument/2006/relationships/hyperlink" Target="https://www.openstreetmap.org/node/2994928143" TargetMode="External"/><Relationship Id="rId1551" Type="http://schemas.openxmlformats.org/officeDocument/2006/relationships/hyperlink" Target="https://madamebaudruche.fr/" TargetMode="External"/><Relationship Id="rId1552" Type="http://schemas.openxmlformats.org/officeDocument/2006/relationships/hyperlink" Target="https://www.google.com/maps/search/?api=1&amp;query=43.6108086,1.4370162" TargetMode="External"/><Relationship Id="rId1553" Type="http://schemas.openxmlformats.org/officeDocument/2006/relationships/hyperlink" Target="https://www.openstreetmap.org/node/467781054" TargetMode="External"/><Relationship Id="rId1554" Type="http://schemas.openxmlformats.org/officeDocument/2006/relationships/hyperlink" Target="https://restaurantmado.fr/" TargetMode="External"/><Relationship Id="rId1555" Type="http://schemas.openxmlformats.org/officeDocument/2006/relationships/hyperlink" Target="https://www.google.com/maps/search/?api=1&amp;query=43.6025661,1.4376758" TargetMode="External"/><Relationship Id="rId1556" Type="http://schemas.openxmlformats.org/officeDocument/2006/relationships/hyperlink" Target="https://www.openstreetmap.org/node/772598903" TargetMode="External"/><Relationship Id="rId1557" Type="http://schemas.openxmlformats.org/officeDocument/2006/relationships/hyperlink" Target="https://magnum-caveamanger-toulouse.eatbu.com/" TargetMode="External"/><Relationship Id="rId1558" Type="http://schemas.openxmlformats.org/officeDocument/2006/relationships/hyperlink" Target="https://www.google.com/maps/search/?api=1&amp;query=43.5971047,1.4477423" TargetMode="External"/><Relationship Id="rId1559" Type="http://schemas.openxmlformats.org/officeDocument/2006/relationships/hyperlink" Target="https://www.openstreetmap.org/node/5637538022" TargetMode="External"/><Relationship Id="rId1560" Type="http://schemas.openxmlformats.org/officeDocument/2006/relationships/hyperlink" Target="https://maisonchaya.fr/" TargetMode="External"/><Relationship Id="rId1561" Type="http://schemas.openxmlformats.org/officeDocument/2006/relationships/hyperlink" Target="https://www.google.com/maps/search/?api=1&amp;query=43.5995119,1.443855" TargetMode="External"/><Relationship Id="rId1562" Type="http://schemas.openxmlformats.org/officeDocument/2006/relationships/hyperlink" Target="https://www.openstreetmap.org/node/8221678215" TargetMode="External"/><Relationship Id="rId1563" Type="http://schemas.openxmlformats.org/officeDocument/2006/relationships/hyperlink" Target="https://maisonducassoulet.com/" TargetMode="External"/><Relationship Id="rId1564" Type="http://schemas.openxmlformats.org/officeDocument/2006/relationships/hyperlink" Target="https://www.google.com/maps/search/?api=1&amp;query=43.6059424,1.4481159" TargetMode="External"/><Relationship Id="rId1565" Type="http://schemas.openxmlformats.org/officeDocument/2006/relationships/hyperlink" Target="https://www.openstreetmap.org/node/7468652041" TargetMode="External"/><Relationship Id="rId1566" Type="http://schemas.openxmlformats.org/officeDocument/2006/relationships/hyperlink" Target="https://www.google.com/maps/search/?api=1&amp;query=43.6064361,1.4423845" TargetMode="External"/><Relationship Id="rId1567" Type="http://schemas.openxmlformats.org/officeDocument/2006/relationships/hyperlink" Target="https://www.openstreetmap.org/node/2444345559" TargetMode="External"/><Relationship Id="rId1568" Type="http://schemas.openxmlformats.org/officeDocument/2006/relationships/hyperlink" Target="https://maisonsamaran.fr/points-de-vente/victor-hugo-toulouse/" TargetMode="External"/><Relationship Id="rId1569" Type="http://schemas.openxmlformats.org/officeDocument/2006/relationships/hyperlink" Target="https://www.google.com/maps/search/?api=1&amp;query=43.6065489,1.4470368" TargetMode="External"/><Relationship Id="rId1570" Type="http://schemas.openxmlformats.org/officeDocument/2006/relationships/hyperlink" Target="https://www.openstreetmap.org/node/2447719438" TargetMode="External"/><Relationship Id="rId1571" Type="http://schemas.openxmlformats.org/officeDocument/2006/relationships/hyperlink" Target="https://maison-sarment.jimdosite.com/" TargetMode="External"/><Relationship Id="rId1572" Type="http://schemas.openxmlformats.org/officeDocument/2006/relationships/hyperlink" Target="https://www.google.com/maps/search/?api=1&amp;query=43.5980483,1.4445298" TargetMode="External"/><Relationship Id="rId1573" Type="http://schemas.openxmlformats.org/officeDocument/2006/relationships/hyperlink" Target="https://www.openstreetmap.org/node/7369021454" TargetMode="External"/><Relationship Id="rId1574" Type="http://schemas.openxmlformats.org/officeDocument/2006/relationships/hyperlink" Target="https://www.makesushi31000.fr/" TargetMode="External"/><Relationship Id="rId1575" Type="http://schemas.openxmlformats.org/officeDocument/2006/relationships/hyperlink" Target="https://www.google.com/maps/search/?api=1&amp;query=43.6282471,1.4333356" TargetMode="External"/><Relationship Id="rId1576" Type="http://schemas.openxmlformats.org/officeDocument/2006/relationships/hyperlink" Target="https://www.openstreetmap.org/node/1532857725" TargetMode="External"/><Relationship Id="rId1577" Type="http://schemas.openxmlformats.org/officeDocument/2006/relationships/hyperlink" Target="https://www.google.com/maps/search/?api=1&amp;query=43.6084625,1.4496309" TargetMode="External"/><Relationship Id="rId1578" Type="http://schemas.openxmlformats.org/officeDocument/2006/relationships/hyperlink" Target="https://www.openstreetmap.org/node/3340724142" TargetMode="External"/><Relationship Id="rId1579" Type="http://schemas.openxmlformats.org/officeDocument/2006/relationships/hyperlink" Target="https://www.google.com/maps/search/?api=1&amp;query=43.6018041,1.4480283" TargetMode="External"/><Relationship Id="rId1580" Type="http://schemas.openxmlformats.org/officeDocument/2006/relationships/hyperlink" Target="https://www.openstreetmap.org/node/450171447" TargetMode="External"/><Relationship Id="rId1581" Type="http://schemas.openxmlformats.org/officeDocument/2006/relationships/hyperlink" Target="https://mamashelter.com/toulouse/" TargetMode="External"/><Relationship Id="rId1582" Type="http://schemas.openxmlformats.org/officeDocument/2006/relationships/hyperlink" Target="https://www.google.com/maps/search/?api=1&amp;query=43.6049674,1.4498714" TargetMode="External"/><Relationship Id="rId1583" Type="http://schemas.openxmlformats.org/officeDocument/2006/relationships/hyperlink" Target="https://www.openstreetmap.org/node/12617843058" TargetMode="External"/><Relationship Id="rId1584" Type="http://schemas.openxmlformats.org/officeDocument/2006/relationships/hyperlink" Target="https://www.google.com/maps/search/?api=1&amp;query=43.6060266,1.4388987" TargetMode="External"/><Relationship Id="rId1585" Type="http://schemas.openxmlformats.org/officeDocument/2006/relationships/hyperlink" Target="https://www.openstreetmap.org/node/1972155352" TargetMode="External"/><Relationship Id="rId1586" Type="http://schemas.openxmlformats.org/officeDocument/2006/relationships/hyperlink" Target="https://mami-wata.com/" TargetMode="External"/><Relationship Id="rId1587" Type="http://schemas.openxmlformats.org/officeDocument/2006/relationships/hyperlink" Target="https://www.google.com/maps/search/?api=1&amp;query=43.6080847,1.4499211" TargetMode="External"/><Relationship Id="rId1588" Type="http://schemas.openxmlformats.org/officeDocument/2006/relationships/hyperlink" Target="https://www.openstreetmap.org/node/4683602912" TargetMode="External"/><Relationship Id="rId1589" Type="http://schemas.openxmlformats.org/officeDocument/2006/relationships/hyperlink" Target="https://www.google.com/maps/search/?api=1&amp;query=43.6074769,1.4396217" TargetMode="External"/><Relationship Id="rId1590" Type="http://schemas.openxmlformats.org/officeDocument/2006/relationships/hyperlink" Target="https://www.openstreetmap.org/node/14019386610" TargetMode="External"/><Relationship Id="rId1591" Type="http://schemas.openxmlformats.org/officeDocument/2006/relationships/hyperlink" Target="https://www.google.com/maps/search/?api=1&amp;query=43.6103316,1.4506821" TargetMode="External"/><Relationship Id="rId1592" Type="http://schemas.openxmlformats.org/officeDocument/2006/relationships/hyperlink" Target="https://www.openstreetmap.org/node/2450406606" TargetMode="External"/><Relationship Id="rId1593" Type="http://schemas.openxmlformats.org/officeDocument/2006/relationships/hyperlink" Target="https://www.google.com/maps/search/?api=1&amp;query=43.6174674,1.4544373" TargetMode="External"/><Relationship Id="rId1594" Type="http://schemas.openxmlformats.org/officeDocument/2006/relationships/hyperlink" Target="https://www.openstreetmap.org/node/11665195369" TargetMode="External"/><Relationship Id="rId1595" Type="http://schemas.openxmlformats.org/officeDocument/2006/relationships/hyperlink" Target="http://manger-autrement.com/" TargetMode="External"/><Relationship Id="rId1596" Type="http://schemas.openxmlformats.org/officeDocument/2006/relationships/hyperlink" Target="https://www.google.com/maps/search/?api=1&amp;query=43.5911033,1.4449697" TargetMode="External"/><Relationship Id="rId1597" Type="http://schemas.openxmlformats.org/officeDocument/2006/relationships/hyperlink" Target="https://www.openstreetmap.org/node/2280985826" TargetMode="External"/><Relationship Id="rId1598" Type="http://schemas.openxmlformats.org/officeDocument/2006/relationships/hyperlink" Target="https://mantesino.fr/" TargetMode="External"/><Relationship Id="rId1599" Type="http://schemas.openxmlformats.org/officeDocument/2006/relationships/hyperlink" Target="https://www.google.com/maps/search/?api=1&amp;query=43.6050121,1.4535904" TargetMode="External"/><Relationship Id="rId1600" Type="http://schemas.openxmlformats.org/officeDocument/2006/relationships/hyperlink" Target="https://www.openstreetmap.org/node/9988450278" TargetMode="External"/><Relationship Id="rId1601" Type="http://schemas.openxmlformats.org/officeDocument/2006/relationships/hyperlink" Target="https://www.marcello.pizza/" TargetMode="External"/><Relationship Id="rId1602" Type="http://schemas.openxmlformats.org/officeDocument/2006/relationships/hyperlink" Target="https://www.google.com/maps/search/?api=1&amp;query=43.6039901,1.4363736" TargetMode="External"/><Relationship Id="rId1603" Type="http://schemas.openxmlformats.org/officeDocument/2006/relationships/hyperlink" Target="https://www.openstreetmap.org/node/1667118791" TargetMode="External"/><Relationship Id="rId1604" Type="http://schemas.openxmlformats.org/officeDocument/2006/relationships/hyperlink" Target="https://www.marcello.pizza/" TargetMode="External"/><Relationship Id="rId1605" Type="http://schemas.openxmlformats.org/officeDocument/2006/relationships/hyperlink" Target="https://www.google.com/maps/search/?api=1&amp;query=43.6040402,1.4545321" TargetMode="External"/><Relationship Id="rId1606" Type="http://schemas.openxmlformats.org/officeDocument/2006/relationships/hyperlink" Target="https://www.openstreetmap.org/node/10056047066" TargetMode="External"/><Relationship Id="rId1607" Type="http://schemas.openxmlformats.org/officeDocument/2006/relationships/hyperlink" Target="https://restaurant-marcello.com/" TargetMode="External"/><Relationship Id="rId1608" Type="http://schemas.openxmlformats.org/officeDocument/2006/relationships/hyperlink" Target="https://www.google.com/maps/search/?api=1&amp;query=43.6019742,1.4471705" TargetMode="External"/><Relationship Id="rId1609" Type="http://schemas.openxmlformats.org/officeDocument/2006/relationships/hyperlink" Target="https://www.openstreetmap.org/node/2478393501" TargetMode="External"/><Relationship Id="rId1610" Type="http://schemas.openxmlformats.org/officeDocument/2006/relationships/hyperlink" Target="https://www.google.com/maps/search/?api=1&amp;query=43.601975,1.4541018" TargetMode="External"/><Relationship Id="rId1611" Type="http://schemas.openxmlformats.org/officeDocument/2006/relationships/hyperlink" Target="https://www.openstreetmap.org/node/3484435629" TargetMode="External"/><Relationship Id="rId1612" Type="http://schemas.openxmlformats.org/officeDocument/2006/relationships/hyperlink" Target="https://www.google.com/maps/search/?api=1&amp;query=43.6082012,1.3833892" TargetMode="External"/><Relationship Id="rId1613" Type="http://schemas.openxmlformats.org/officeDocument/2006/relationships/hyperlink" Target="https://www.openstreetmap.org/node/2872061458" TargetMode="External"/><Relationship Id="rId1614" Type="http://schemas.openxmlformats.org/officeDocument/2006/relationships/hyperlink" Target="https://www.marrakech-restaurant.fr/" TargetMode="External"/><Relationship Id="rId1615" Type="http://schemas.openxmlformats.org/officeDocument/2006/relationships/hyperlink" Target="https://www.google.com/maps/search/?api=1&amp;query=43.6058599,1.4503991" TargetMode="External"/><Relationship Id="rId1616" Type="http://schemas.openxmlformats.org/officeDocument/2006/relationships/hyperlink" Target="https://www.openstreetmap.org/node/13619802846" TargetMode="External"/><Relationship Id="rId1617" Type="http://schemas.openxmlformats.org/officeDocument/2006/relationships/hyperlink" Target="https://www.google.com/maps/search/?api=1&amp;query=43.6037706,1.4493474" TargetMode="External"/><Relationship Id="rId1618" Type="http://schemas.openxmlformats.org/officeDocument/2006/relationships/hyperlink" Target="https://www.openstreetmap.org/node/922869212" TargetMode="External"/><Relationship Id="rId1619" Type="http://schemas.openxmlformats.org/officeDocument/2006/relationships/hyperlink" Target="https://www.google.com/maps/search/?api=1&amp;query=43.6001805,1.4533362" TargetMode="External"/><Relationship Id="rId1620" Type="http://schemas.openxmlformats.org/officeDocument/2006/relationships/hyperlink" Target="https://www.openstreetmap.org/node/11394094090" TargetMode="External"/><Relationship Id="rId1621" Type="http://schemas.openxmlformats.org/officeDocument/2006/relationships/hyperlink" Target="https://www.google.com/maps/search/?api=1&amp;query=43.6095658,1.394372" TargetMode="External"/><Relationship Id="rId1622" Type="http://schemas.openxmlformats.org/officeDocument/2006/relationships/hyperlink" Target="https://www.openstreetmap.org/node/11530650283" TargetMode="External"/><Relationship Id="rId1623" Type="http://schemas.openxmlformats.org/officeDocument/2006/relationships/hyperlink" Target="https://mayumi-toulouse.com/" TargetMode="External"/><Relationship Id="rId1624" Type="http://schemas.openxmlformats.org/officeDocument/2006/relationships/hyperlink" Target="https://www.google.com/maps/search/?api=1&amp;query=43.5981983,1.4323901" TargetMode="External"/><Relationship Id="rId1625" Type="http://schemas.openxmlformats.org/officeDocument/2006/relationships/hyperlink" Target="https://www.openstreetmap.org/node/4048716508" TargetMode="External"/><Relationship Id="rId1626" Type="http://schemas.openxmlformats.org/officeDocument/2006/relationships/hyperlink" Target="https://mazzolina.fr/" TargetMode="External"/><Relationship Id="rId1627" Type="http://schemas.openxmlformats.org/officeDocument/2006/relationships/hyperlink" Target="https://www.google.com/maps/search/?api=1&amp;query=43.6044911,1.451106" TargetMode="External"/><Relationship Id="rId1628" Type="http://schemas.openxmlformats.org/officeDocument/2006/relationships/hyperlink" Target="https://www.openstreetmap.org/node/3751077573" TargetMode="External"/><Relationship Id="rId1629" Type="http://schemas.openxmlformats.org/officeDocument/2006/relationships/hyperlink" Target="https://www.google.com/maps/search/?api=1&amp;query=43.6013748,1.4073337" TargetMode="External"/><Relationship Id="rId1630" Type="http://schemas.openxmlformats.org/officeDocument/2006/relationships/hyperlink" Target="https://www.openstreetmap.org/way/1208655949" TargetMode="External"/><Relationship Id="rId1631" Type="http://schemas.openxmlformats.org/officeDocument/2006/relationships/hyperlink" Target="https://www.meetthemeat.fr/" TargetMode="External"/><Relationship Id="rId1632" Type="http://schemas.openxmlformats.org/officeDocument/2006/relationships/hyperlink" Target="https://www.google.com/maps/search/?api=1&amp;query=43.6072944,1.4473771" TargetMode="External"/><Relationship Id="rId1633" Type="http://schemas.openxmlformats.org/officeDocument/2006/relationships/hyperlink" Target="https://www.openstreetmap.org/node/2450406613" TargetMode="External"/><Relationship Id="rId1634" Type="http://schemas.openxmlformats.org/officeDocument/2006/relationships/hyperlink" Target="https://www.google.com/maps/search/?api=1&amp;query=43.6560443,1.421039" TargetMode="External"/><Relationship Id="rId1635" Type="http://schemas.openxmlformats.org/officeDocument/2006/relationships/hyperlink" Target="https://www.openstreetmap.org/node/5844594640" TargetMode="External"/><Relationship Id="rId1636" Type="http://schemas.openxmlformats.org/officeDocument/2006/relationships/hyperlink" Target="https://www.google.com/maps/search/?api=1&amp;query=43.5696541,1.389785" TargetMode="External"/><Relationship Id="rId1637" Type="http://schemas.openxmlformats.org/officeDocument/2006/relationships/hyperlink" Target="https://www.openstreetmap.org/node/774481202" TargetMode="External"/><Relationship Id="rId1638" Type="http://schemas.openxmlformats.org/officeDocument/2006/relationships/hyperlink" Target="https://www.google.com/maps/search/?api=1&amp;query=43.6100877,1.4407841" TargetMode="External"/><Relationship Id="rId1639" Type="http://schemas.openxmlformats.org/officeDocument/2006/relationships/hyperlink" Target="https://www.openstreetmap.org/node/3946829981" TargetMode="External"/><Relationship Id="rId1640" Type="http://schemas.openxmlformats.org/officeDocument/2006/relationships/hyperlink" Target="https://miam-miam-toulouse.eatbu.com/" TargetMode="External"/><Relationship Id="rId1641" Type="http://schemas.openxmlformats.org/officeDocument/2006/relationships/hyperlink" Target="https://www.google.com/maps/search/?api=1&amp;query=43.6021368,1.4405752" TargetMode="External"/><Relationship Id="rId1642" Type="http://schemas.openxmlformats.org/officeDocument/2006/relationships/hyperlink" Target="https://www.openstreetmap.org/node/2464788570" TargetMode="External"/><Relationship Id="rId1643" Type="http://schemas.openxmlformats.org/officeDocument/2006/relationships/hyperlink" Target="http://www.michel-sarran.com/" TargetMode="External"/><Relationship Id="rId1644" Type="http://schemas.openxmlformats.org/officeDocument/2006/relationships/hyperlink" Target="https://www.google.com/maps/search/?api=1&amp;query=43.607283,1.4345554" TargetMode="External"/><Relationship Id="rId1645" Type="http://schemas.openxmlformats.org/officeDocument/2006/relationships/hyperlink" Target="https://www.openstreetmap.org/node/7392341384" TargetMode="External"/><Relationship Id="rId1646" Type="http://schemas.openxmlformats.org/officeDocument/2006/relationships/hyperlink" Target="https://www.facebook.com/midiminuittoulouse/" TargetMode="External"/><Relationship Id="rId1647" Type="http://schemas.openxmlformats.org/officeDocument/2006/relationships/hyperlink" Target="https://www.google.com/maps/search/?api=1&amp;query=43.6075185,1.4397499" TargetMode="External"/><Relationship Id="rId1648" Type="http://schemas.openxmlformats.org/officeDocument/2006/relationships/hyperlink" Target="https://www.openstreetmap.org/node/1976765817" TargetMode="External"/><Relationship Id="rId1649" Type="http://schemas.openxmlformats.org/officeDocument/2006/relationships/hyperlink" Target="https://www.1001-pates.com/" TargetMode="External"/><Relationship Id="rId1650" Type="http://schemas.openxmlformats.org/officeDocument/2006/relationships/hyperlink" Target="https://www.google.com/maps/search/?api=1&amp;query=43.6034627,1.4418778" TargetMode="External"/><Relationship Id="rId1651" Type="http://schemas.openxmlformats.org/officeDocument/2006/relationships/hyperlink" Target="https://www.openstreetmap.org/node/2460954133" TargetMode="External"/><Relationship Id="rId1652" Type="http://schemas.openxmlformats.org/officeDocument/2006/relationships/hyperlink" Target="https://www.google.com/maps/search/?api=1&amp;query=43.6200665,1.4242563" TargetMode="External"/><Relationship Id="rId1653" Type="http://schemas.openxmlformats.org/officeDocument/2006/relationships/hyperlink" Target="https://www.openstreetmap.org/node/10064696311" TargetMode="External"/><Relationship Id="rId1654" Type="http://schemas.openxmlformats.org/officeDocument/2006/relationships/hyperlink" Target="https://www.google.com/maps/search/?api=1&amp;query=43.6201716,1.4357361" TargetMode="External"/><Relationship Id="rId1655" Type="http://schemas.openxmlformats.org/officeDocument/2006/relationships/hyperlink" Target="https://www.openstreetmap.org/node/2339916117" TargetMode="External"/><Relationship Id="rId1656" Type="http://schemas.openxmlformats.org/officeDocument/2006/relationships/hyperlink" Target="https://www.google.com/maps/search/?api=1&amp;query=43.603014,1.4427448" TargetMode="External"/><Relationship Id="rId1657" Type="http://schemas.openxmlformats.org/officeDocument/2006/relationships/hyperlink" Target="https://www.openstreetmap.org/node/2465993956" TargetMode="External"/><Relationship Id="rId1658" Type="http://schemas.openxmlformats.org/officeDocument/2006/relationships/hyperlink" Target="https://www.miss-fish.fr/" TargetMode="External"/><Relationship Id="rId1659" Type="http://schemas.openxmlformats.org/officeDocument/2006/relationships/hyperlink" Target="https://www.google.com/maps/search/?api=1&amp;query=43.5981939,1.4442648" TargetMode="External"/><Relationship Id="rId1660" Type="http://schemas.openxmlformats.org/officeDocument/2006/relationships/hyperlink" Target="https://www.openstreetmap.org/node/924250411" TargetMode="External"/><Relationship Id="rId1661" Type="http://schemas.openxmlformats.org/officeDocument/2006/relationships/hyperlink" Target="https://www.google.com/maps/search/?api=1&amp;query=43.620219,1.436092" TargetMode="External"/><Relationship Id="rId1662" Type="http://schemas.openxmlformats.org/officeDocument/2006/relationships/hyperlink" Target="https://www.openstreetmap.org/node/4418074231" TargetMode="External"/><Relationship Id="rId1663" Type="http://schemas.openxmlformats.org/officeDocument/2006/relationships/hyperlink" Target="https://eater.space/miya-fondue" TargetMode="External"/><Relationship Id="rId1664" Type="http://schemas.openxmlformats.org/officeDocument/2006/relationships/hyperlink" Target="https://www.google.com/maps/search/?api=1&amp;query=43.5994184,1.4430601" TargetMode="External"/><Relationship Id="rId1665" Type="http://schemas.openxmlformats.org/officeDocument/2006/relationships/hyperlink" Target="https://www.openstreetmap.org/node/6349866265" TargetMode="External"/><Relationship Id="rId1666" Type="http://schemas.openxmlformats.org/officeDocument/2006/relationships/hyperlink" Target="https://miyama.byclickeat.fr/" TargetMode="External"/><Relationship Id="rId1667" Type="http://schemas.openxmlformats.org/officeDocument/2006/relationships/hyperlink" Target="https://www.google.com/maps/search/?api=1&amp;query=43.596675,1.444239" TargetMode="External"/><Relationship Id="rId1668" Type="http://schemas.openxmlformats.org/officeDocument/2006/relationships/hyperlink" Target="https://www.openstreetmap.org/node/12628125955" TargetMode="External"/><Relationship Id="rId1669" Type="http://schemas.openxmlformats.org/officeDocument/2006/relationships/hyperlink" Target="https://mizuki-toulouse.fr/" TargetMode="External"/><Relationship Id="rId1670" Type="http://schemas.openxmlformats.org/officeDocument/2006/relationships/hyperlink" Target="https://www.google.com/maps/search/?api=1&amp;query=43.6022241,1.4411311" TargetMode="External"/><Relationship Id="rId1671" Type="http://schemas.openxmlformats.org/officeDocument/2006/relationships/hyperlink" Target="https://www.openstreetmap.org/node/2459885495" TargetMode="External"/><Relationship Id="rId1672" Type="http://schemas.openxmlformats.org/officeDocument/2006/relationships/hyperlink" Target="https://www.mmepompette.com/" TargetMode="External"/><Relationship Id="rId1673" Type="http://schemas.openxmlformats.org/officeDocument/2006/relationships/hyperlink" Target="https://www.google.com/maps/search/?api=1&amp;query=43.6119526,1.4135363" TargetMode="External"/><Relationship Id="rId1674" Type="http://schemas.openxmlformats.org/officeDocument/2006/relationships/hyperlink" Target="https://www.openstreetmap.org/node/7968621467" TargetMode="External"/><Relationship Id="rId1675" Type="http://schemas.openxmlformats.org/officeDocument/2006/relationships/hyperlink" Target="https://mojifusionfood.com/" TargetMode="External"/><Relationship Id="rId1676" Type="http://schemas.openxmlformats.org/officeDocument/2006/relationships/hyperlink" Target="https://www.google.com/maps/search/?api=1&amp;query=43.6097406,1.3937577" TargetMode="External"/><Relationship Id="rId1677" Type="http://schemas.openxmlformats.org/officeDocument/2006/relationships/hyperlink" Target="https://www.openstreetmap.org/node/13640543691" TargetMode="External"/><Relationship Id="rId1678" Type="http://schemas.openxmlformats.org/officeDocument/2006/relationships/hyperlink" Target="https://www.molette-restaurant.fr/" TargetMode="External"/><Relationship Id="rId1679" Type="http://schemas.openxmlformats.org/officeDocument/2006/relationships/hyperlink" Target="https://www.google.com/maps/search/?api=1&amp;query=43.6022949,1.4382991" TargetMode="External"/><Relationship Id="rId1680" Type="http://schemas.openxmlformats.org/officeDocument/2006/relationships/hyperlink" Target="https://www.openstreetmap.org/node/644841655" TargetMode="External"/><Relationship Id="rId1681" Type="http://schemas.openxmlformats.org/officeDocument/2006/relationships/hyperlink" Target="https://www.momone-toulouse.fr/" TargetMode="External"/><Relationship Id="rId1682" Type="http://schemas.openxmlformats.org/officeDocument/2006/relationships/hyperlink" Target="https://www.google.com/maps/search/?api=1&amp;query=43.6115539,1.4378907" TargetMode="External"/><Relationship Id="rId1683" Type="http://schemas.openxmlformats.org/officeDocument/2006/relationships/hyperlink" Target="https://www.openstreetmap.org/node/773935821" TargetMode="External"/><Relationship Id="rId1684" Type="http://schemas.openxmlformats.org/officeDocument/2006/relationships/hyperlink" Target="https://www.google.com/maps/search/?api=1&amp;query=43.5940207,1.4561453" TargetMode="External"/><Relationship Id="rId1685" Type="http://schemas.openxmlformats.org/officeDocument/2006/relationships/hyperlink" Target="https://www.openstreetmap.org/node/10068495359" TargetMode="External"/><Relationship Id="rId1686" Type="http://schemas.openxmlformats.org/officeDocument/2006/relationships/hyperlink" Target="https://www.monapizza.fr/" TargetMode="External"/><Relationship Id="rId1687" Type="http://schemas.openxmlformats.org/officeDocument/2006/relationships/hyperlink" Target="https://www.google.com/maps/search/?api=1&amp;query=43.6398054,1.4528887" TargetMode="External"/><Relationship Id="rId1688" Type="http://schemas.openxmlformats.org/officeDocument/2006/relationships/hyperlink" Target="https://www.openstreetmap.org/node/4399674556" TargetMode="External"/><Relationship Id="rId1689" Type="http://schemas.openxmlformats.org/officeDocument/2006/relationships/hyperlink" Target="https://www.google.com/maps/search/?api=1&amp;query=43.5891315,1.4461533" TargetMode="External"/><Relationship Id="rId1690" Type="http://schemas.openxmlformats.org/officeDocument/2006/relationships/hyperlink" Target="https://www.openstreetmap.org/node/6464828545" TargetMode="External"/><Relationship Id="rId1691" Type="http://schemas.openxmlformats.org/officeDocument/2006/relationships/hyperlink" Target="https://www.museaumusette.fr/" TargetMode="External"/><Relationship Id="rId1692" Type="http://schemas.openxmlformats.org/officeDocument/2006/relationships/hyperlink" Target="https://www.google.com/maps/search/?api=1&amp;query=43.6138925,1.4510938" TargetMode="External"/><Relationship Id="rId1693" Type="http://schemas.openxmlformats.org/officeDocument/2006/relationships/hyperlink" Target="https://www.openstreetmap.org/node/11039681405" TargetMode="External"/><Relationship Id="rId1694" Type="http://schemas.openxmlformats.org/officeDocument/2006/relationships/hyperlink" Target="https://www.google.com/maps/search/?api=1&amp;query=43.5797616,1.4241101" TargetMode="External"/><Relationship Id="rId1695" Type="http://schemas.openxmlformats.org/officeDocument/2006/relationships/hyperlink" Target="https://www.openstreetmap.org/node/13238886115" TargetMode="External"/><Relationship Id="rId1696" Type="http://schemas.openxmlformats.org/officeDocument/2006/relationships/hyperlink" Target="https://www.mere-grand-restaurant-toulouse.fr/" TargetMode="External"/><Relationship Id="rId1697" Type="http://schemas.openxmlformats.org/officeDocument/2006/relationships/hyperlink" Target="https://www.google.com/maps/search/?api=1&amp;query=43.6174278,1.4545253" TargetMode="External"/><Relationship Id="rId1698" Type="http://schemas.openxmlformats.org/officeDocument/2006/relationships/hyperlink" Target="https://www.openstreetmap.org/node/4030220689" TargetMode="External"/><Relationship Id="rId1699" Type="http://schemas.openxmlformats.org/officeDocument/2006/relationships/hyperlink" Target="https://www.monviet31500.fr/" TargetMode="External"/><Relationship Id="rId1700" Type="http://schemas.openxmlformats.org/officeDocument/2006/relationships/hyperlink" Target="https://www.google.com/maps/search/?api=1&amp;query=43.6089564,1.4559952" TargetMode="External"/><Relationship Id="rId1701" Type="http://schemas.openxmlformats.org/officeDocument/2006/relationships/hyperlink" Target="https://www.openstreetmap.org/node/9977214748" TargetMode="External"/><Relationship Id="rId1702" Type="http://schemas.openxmlformats.org/officeDocument/2006/relationships/hyperlink" Target="https://n88dles.fr/" TargetMode="External"/><Relationship Id="rId1703" Type="http://schemas.openxmlformats.org/officeDocument/2006/relationships/hyperlink" Target="https://www.google.com/maps/search/?api=1&amp;query=43.604517,1.4526157" TargetMode="External"/><Relationship Id="rId1704" Type="http://schemas.openxmlformats.org/officeDocument/2006/relationships/hyperlink" Target="https://www.openstreetmap.org/node/1284032004" TargetMode="External"/><Relationship Id="rId1705" Type="http://schemas.openxmlformats.org/officeDocument/2006/relationships/hyperlink" Target="https://www.google.com/maps/search/?api=1&amp;query=43.6022909,1.4411482" TargetMode="External"/><Relationship Id="rId1706" Type="http://schemas.openxmlformats.org/officeDocument/2006/relationships/hyperlink" Target="https://www.openstreetmap.org/node/7359816830" TargetMode="External"/><Relationship Id="rId1707" Type="http://schemas.openxmlformats.org/officeDocument/2006/relationships/hyperlink" Target="https://nakamagyudon.fr/" TargetMode="External"/><Relationship Id="rId1708" Type="http://schemas.openxmlformats.org/officeDocument/2006/relationships/hyperlink" Target="https://www.google.com/maps/search/?api=1&amp;query=43.6034526,1.4065955" TargetMode="External"/><Relationship Id="rId1709" Type="http://schemas.openxmlformats.org/officeDocument/2006/relationships/hyperlink" Target="https://www.openstreetmap.org/node/8933080272" TargetMode="External"/><Relationship Id="rId1710" Type="http://schemas.openxmlformats.org/officeDocument/2006/relationships/hyperlink" Target="https://restaurantindientoulouse.com/" TargetMode="External"/><Relationship Id="rId1711" Type="http://schemas.openxmlformats.org/officeDocument/2006/relationships/hyperlink" Target="https://www.google.com/maps/search/?api=1&amp;query=43.6044032,1.4518722" TargetMode="External"/><Relationship Id="rId1712" Type="http://schemas.openxmlformats.org/officeDocument/2006/relationships/hyperlink" Target="https://www.openstreetmap.org/node/3493129050" TargetMode="External"/><Relationship Id="rId1713" Type="http://schemas.openxmlformats.org/officeDocument/2006/relationships/hyperlink" Target="https://www.naraithai.fr/" TargetMode="External"/><Relationship Id="rId1714" Type="http://schemas.openxmlformats.org/officeDocument/2006/relationships/hyperlink" Target="https://www.google.com/maps/search/?api=1&amp;query=43.609244,1.432809" TargetMode="External"/><Relationship Id="rId1715" Type="http://schemas.openxmlformats.org/officeDocument/2006/relationships/hyperlink" Target="https://www.openstreetmap.org/node/1950688739" TargetMode="External"/><Relationship Id="rId1716" Type="http://schemas.openxmlformats.org/officeDocument/2006/relationships/hyperlink" Target="https://www.google.com/maps/search/?api=1&amp;query=43.6112815,1.4370427" TargetMode="External"/><Relationship Id="rId1717" Type="http://schemas.openxmlformats.org/officeDocument/2006/relationships/hyperlink" Target="https://www.openstreetmap.org/node/2525414093" TargetMode="External"/><Relationship Id="rId1718" Type="http://schemas.openxmlformats.org/officeDocument/2006/relationships/hyperlink" Target="https://www.google.com/maps/search/?api=1&amp;query=43.6056894,1.482615" TargetMode="External"/><Relationship Id="rId1719" Type="http://schemas.openxmlformats.org/officeDocument/2006/relationships/hyperlink" Target="https://www.openstreetmap.org/node/6434263648" TargetMode="External"/><Relationship Id="rId1720" Type="http://schemas.openxmlformats.org/officeDocument/2006/relationships/hyperlink" Target="https://newdelhi-toulouse.com/" TargetMode="External"/><Relationship Id="rId1721" Type="http://schemas.openxmlformats.org/officeDocument/2006/relationships/hyperlink" Target="https://www.google.com/maps/search/?api=1&amp;query=43.6048237,1.4509603" TargetMode="External"/><Relationship Id="rId1722" Type="http://schemas.openxmlformats.org/officeDocument/2006/relationships/hyperlink" Target="https://www.openstreetmap.org/node/3044160133" TargetMode="External"/><Relationship Id="rId1723" Type="http://schemas.openxmlformats.org/officeDocument/2006/relationships/hyperlink" Target="http://newdelhi-palace.com/" TargetMode="External"/><Relationship Id="rId1724" Type="http://schemas.openxmlformats.org/officeDocument/2006/relationships/hyperlink" Target="https://www.google.com/maps/search/?api=1&amp;query=43.6043527,1.4504624" TargetMode="External"/><Relationship Id="rId1725" Type="http://schemas.openxmlformats.org/officeDocument/2006/relationships/hyperlink" Target="https://www.openstreetmap.org/node/7884256071" TargetMode="External"/><Relationship Id="rId1726" Type="http://schemas.openxmlformats.org/officeDocument/2006/relationships/hyperlink" Target="https://www.google.com/maps/search/?api=1&amp;query=43.6068887,1.4471078" TargetMode="External"/><Relationship Id="rId1727" Type="http://schemas.openxmlformats.org/officeDocument/2006/relationships/hyperlink" Target="https://www.openstreetmap.org/node/2447719465" TargetMode="External"/><Relationship Id="rId1728" Type="http://schemas.openxmlformats.org/officeDocument/2006/relationships/hyperlink" Target="https://www.google.com/maps/search/?api=1&amp;query=43.6119463,1.4387054" TargetMode="External"/><Relationship Id="rId1729" Type="http://schemas.openxmlformats.org/officeDocument/2006/relationships/hyperlink" Target="https://www.openstreetmap.org/node/4285279592" TargetMode="External"/><Relationship Id="rId1730" Type="http://schemas.openxmlformats.org/officeDocument/2006/relationships/hyperlink" Target="https://www.google.com/maps/search/?api=1&amp;query=43.6073048,1.4715681" TargetMode="External"/><Relationship Id="rId1731" Type="http://schemas.openxmlformats.org/officeDocument/2006/relationships/hyperlink" Target="https://www.openstreetmap.org/node/11649763403" TargetMode="External"/><Relationship Id="rId1732" Type="http://schemas.openxmlformats.org/officeDocument/2006/relationships/hyperlink" Target="https://www.google.com/maps/search/?api=1&amp;query=43.5758946,1.405495" TargetMode="External"/><Relationship Id="rId1733" Type="http://schemas.openxmlformats.org/officeDocument/2006/relationships/hyperlink" Target="https://www.openstreetmap.org/node/12205185860" TargetMode="External"/><Relationship Id="rId1734" Type="http://schemas.openxmlformats.org/officeDocument/2006/relationships/hyperlink" Target="https://www.google.com/maps/search/?api=1&amp;query=43.5965956,1.4224501" TargetMode="External"/><Relationship Id="rId1735" Type="http://schemas.openxmlformats.org/officeDocument/2006/relationships/hyperlink" Target="https://www.openstreetmap.org/node/5768021081" TargetMode="External"/><Relationship Id="rId1736" Type="http://schemas.openxmlformats.org/officeDocument/2006/relationships/hyperlink" Target="https://odomtoulouse.com/" TargetMode="External"/><Relationship Id="rId1737" Type="http://schemas.openxmlformats.org/officeDocument/2006/relationships/hyperlink" Target="https://www.google.com/maps/search/?api=1&amp;query=43.599826,1.432892" TargetMode="External"/><Relationship Id="rId1738" Type="http://schemas.openxmlformats.org/officeDocument/2006/relationships/hyperlink" Target="https://www.openstreetmap.org/node/13105235916" TargetMode="External"/><Relationship Id="rId1739" Type="http://schemas.openxmlformats.org/officeDocument/2006/relationships/hyperlink" Target="https://www.officinagusto.fr/" TargetMode="External"/><Relationship Id="rId1740" Type="http://schemas.openxmlformats.org/officeDocument/2006/relationships/hyperlink" Target="https://www.google.com/maps/search/?api=1&amp;query=43.5996945,1.4486182" TargetMode="External"/><Relationship Id="rId1741" Type="http://schemas.openxmlformats.org/officeDocument/2006/relationships/hyperlink" Target="https://www.openstreetmap.org/node/7678077824" TargetMode="External"/><Relationship Id="rId1742" Type="http://schemas.openxmlformats.org/officeDocument/2006/relationships/hyperlink" Target="https://www.google.com/maps/search/?api=1&amp;query=43.5870342,1.4625118" TargetMode="External"/><Relationship Id="rId1743" Type="http://schemas.openxmlformats.org/officeDocument/2006/relationships/hyperlink" Target="https://www.openstreetmap.org/node/6960476547" TargetMode="External"/><Relationship Id="rId1744" Type="http://schemas.openxmlformats.org/officeDocument/2006/relationships/hyperlink" Target="https://ohlavache.fr/" TargetMode="External"/><Relationship Id="rId1745" Type="http://schemas.openxmlformats.org/officeDocument/2006/relationships/hyperlink" Target="https://www.google.com/maps/search/?api=1&amp;query=43.6056745,1.4475155" TargetMode="External"/><Relationship Id="rId1746" Type="http://schemas.openxmlformats.org/officeDocument/2006/relationships/hyperlink" Target="https://www.openstreetmap.org/node/2447719383" TargetMode="External"/><Relationship Id="rId1747" Type="http://schemas.openxmlformats.org/officeDocument/2006/relationships/hyperlink" Target="https://www.google.com/maps/search/?api=1&amp;query=43.627605,1.4338254" TargetMode="External"/><Relationship Id="rId1748" Type="http://schemas.openxmlformats.org/officeDocument/2006/relationships/hyperlink" Target="https://www.openstreetmap.org/node/5666157309" TargetMode="External"/><Relationship Id="rId1749" Type="http://schemas.openxmlformats.org/officeDocument/2006/relationships/hyperlink" Target="https://www.google.com/maps/search/?api=1&amp;query=43.6068818,1.4517378" TargetMode="External"/><Relationship Id="rId1750" Type="http://schemas.openxmlformats.org/officeDocument/2006/relationships/hyperlink" Target="https://www.openstreetmap.org/node/12666559995" TargetMode="External"/><Relationship Id="rId1751" Type="http://schemas.openxmlformats.org/officeDocument/2006/relationships/hyperlink" Target="https://www.google.com/maps/search/?api=1&amp;query=43.5755694,1.4012449" TargetMode="External"/><Relationship Id="rId1752" Type="http://schemas.openxmlformats.org/officeDocument/2006/relationships/hyperlink" Target="https://www.openstreetmap.org/node/1447953090" TargetMode="External"/><Relationship Id="rId1753" Type="http://schemas.openxmlformats.org/officeDocument/2006/relationships/hyperlink" Target="https://www.google.com/maps/search/?api=1&amp;query=43.5865829,1.4636863" TargetMode="External"/><Relationship Id="rId1754" Type="http://schemas.openxmlformats.org/officeDocument/2006/relationships/hyperlink" Target="https://www.openstreetmap.org/node/12842276202" TargetMode="External"/><Relationship Id="rId1755" Type="http://schemas.openxmlformats.org/officeDocument/2006/relationships/hyperlink" Target="https://www.google.com/maps/search/?api=1&amp;query=43.5987073,1.4333964" TargetMode="External"/><Relationship Id="rId1756" Type="http://schemas.openxmlformats.org/officeDocument/2006/relationships/hyperlink" Target="https://www.openstreetmap.org/node/14136374961" TargetMode="External"/><Relationship Id="rId1757" Type="http://schemas.openxmlformats.org/officeDocument/2006/relationships/hyperlink" Target="https://www.google.com/maps/search/?api=1&amp;query=43.6064242,1.4557007" TargetMode="External"/><Relationship Id="rId1758" Type="http://schemas.openxmlformats.org/officeDocument/2006/relationships/hyperlink" Target="https://www.openstreetmap.org/node/4069851599" TargetMode="External"/><Relationship Id="rId1759" Type="http://schemas.openxmlformats.org/officeDocument/2006/relationships/hyperlink" Target="https://www.google.com/maps/search/?api=1&amp;query=43.6028436,1.441675" TargetMode="External"/><Relationship Id="rId1760" Type="http://schemas.openxmlformats.org/officeDocument/2006/relationships/hyperlink" Target="https://www.openstreetmap.org/node/450161381" TargetMode="External"/><Relationship Id="rId1761" Type="http://schemas.openxmlformats.org/officeDocument/2006/relationships/hyperlink" Target="https://www.facebook.com/Pachinee.Thai.Street.Food" TargetMode="External"/><Relationship Id="rId1762" Type="http://schemas.openxmlformats.org/officeDocument/2006/relationships/hyperlink" Target="https://www.google.com/maps/search/?api=1&amp;query=43.6081115,1.4490689" TargetMode="External"/><Relationship Id="rId1763" Type="http://schemas.openxmlformats.org/officeDocument/2006/relationships/hyperlink" Target="https://www.openstreetmap.org/node/2557711690" TargetMode="External"/><Relationship Id="rId1764" Type="http://schemas.openxmlformats.org/officeDocument/2006/relationships/hyperlink" Target="https://www.google.com/maps/search/?api=1&amp;query=43.599084,1.4326504" TargetMode="External"/><Relationship Id="rId1765" Type="http://schemas.openxmlformats.org/officeDocument/2006/relationships/hyperlink" Target="https://www.openstreetmap.org/node/6051256887" TargetMode="External"/><Relationship Id="rId1766" Type="http://schemas.openxmlformats.org/officeDocument/2006/relationships/hyperlink" Target="https://www.google.com/maps/search/?api=1&amp;query=43.5956092,1.4442186" TargetMode="External"/><Relationship Id="rId1767" Type="http://schemas.openxmlformats.org/officeDocument/2006/relationships/hyperlink" Target="https://www.openstreetmap.org/node/894533417" TargetMode="External"/><Relationship Id="rId1768" Type="http://schemas.openxmlformats.org/officeDocument/2006/relationships/hyperlink" Target="http://pasteletsarrasin.fr/" TargetMode="External"/><Relationship Id="rId1769" Type="http://schemas.openxmlformats.org/officeDocument/2006/relationships/hyperlink" Target="https://www.google.com/maps/search/?api=1&amp;query=43.6073518,1.442012" TargetMode="External"/><Relationship Id="rId1770" Type="http://schemas.openxmlformats.org/officeDocument/2006/relationships/hyperlink" Target="https://www.openstreetmap.org/node/1077268740" TargetMode="External"/><Relationship Id="rId1771" Type="http://schemas.openxmlformats.org/officeDocument/2006/relationships/hyperlink" Target="http://www.patetpizz.fr/" TargetMode="External"/><Relationship Id="rId1772" Type="http://schemas.openxmlformats.org/officeDocument/2006/relationships/hyperlink" Target="https://www.google.com/maps/search/?api=1&amp;query=43.5966423,1.4733062" TargetMode="External"/><Relationship Id="rId1773" Type="http://schemas.openxmlformats.org/officeDocument/2006/relationships/hyperlink" Target="https://www.openstreetmap.org/node/1400792693" TargetMode="External"/><Relationship Id="rId1774" Type="http://schemas.openxmlformats.org/officeDocument/2006/relationships/hyperlink" Target="https://peppinotoulouse.com/" TargetMode="External"/><Relationship Id="rId1775" Type="http://schemas.openxmlformats.org/officeDocument/2006/relationships/hyperlink" Target="https://www.google.com/maps/search/?api=1&amp;query=43.5901116,1.4701188" TargetMode="External"/><Relationship Id="rId1776" Type="http://schemas.openxmlformats.org/officeDocument/2006/relationships/hyperlink" Target="https://www.openstreetmap.org/node/13188220686" TargetMode="External"/><Relationship Id="rId1777" Type="http://schemas.openxmlformats.org/officeDocument/2006/relationships/hyperlink" Target="https://www.google.com/maps/search/?api=1&amp;query=43.5971666,1.4309934" TargetMode="External"/><Relationship Id="rId1778" Type="http://schemas.openxmlformats.org/officeDocument/2006/relationships/hyperlink" Target="https://www.openstreetmap.org/node/1284920514" TargetMode="External"/><Relationship Id="rId1779" Type="http://schemas.openxmlformats.org/officeDocument/2006/relationships/hyperlink" Target="https://www.google.com/maps/search/?api=1&amp;query=43.5989394,1.4428112" TargetMode="External"/><Relationship Id="rId1780" Type="http://schemas.openxmlformats.org/officeDocument/2006/relationships/hyperlink" Target="https://www.openstreetmap.org/node/4176305956" TargetMode="External"/><Relationship Id="rId1781" Type="http://schemas.openxmlformats.org/officeDocument/2006/relationships/hyperlink" Target="https://www.google.com/maps/search/?api=1&amp;query=43.6061772,1.447339" TargetMode="External"/><Relationship Id="rId1782" Type="http://schemas.openxmlformats.org/officeDocument/2006/relationships/hyperlink" Target="https://www.openstreetmap.org/node/12321070497" TargetMode="External"/><Relationship Id="rId1783" Type="http://schemas.openxmlformats.org/officeDocument/2006/relationships/hyperlink" Target="https://pitaya-thaistreetfood.com/r/pitaya-toulouse-montaudran" TargetMode="External"/><Relationship Id="rId1784" Type="http://schemas.openxmlformats.org/officeDocument/2006/relationships/hyperlink" Target="https://www.google.com/maps/search/?api=1&amp;query=43.5714894,1.4794517" TargetMode="External"/><Relationship Id="rId1785" Type="http://schemas.openxmlformats.org/officeDocument/2006/relationships/hyperlink" Target="https://www.openstreetmap.org/node/8955038583" TargetMode="External"/><Relationship Id="rId1786" Type="http://schemas.openxmlformats.org/officeDocument/2006/relationships/hyperlink" Target="https://pititto-toulouse.eatbu.com/" TargetMode="External"/><Relationship Id="rId1787" Type="http://schemas.openxmlformats.org/officeDocument/2006/relationships/hyperlink" Target="https://www.google.com/maps/search/?api=1&amp;query=43.6190858,1.4364726" TargetMode="External"/><Relationship Id="rId1788" Type="http://schemas.openxmlformats.org/officeDocument/2006/relationships/hyperlink" Target="https://www.openstreetmap.org/node/10790696951" TargetMode="External"/><Relationship Id="rId1789" Type="http://schemas.openxmlformats.org/officeDocument/2006/relationships/hyperlink" Target="https://pizz-art.net/" TargetMode="External"/><Relationship Id="rId1790" Type="http://schemas.openxmlformats.org/officeDocument/2006/relationships/hyperlink" Target="https://www.google.com/maps/search/?api=1&amp;query=43.6224687,1.4586245" TargetMode="External"/><Relationship Id="rId1791" Type="http://schemas.openxmlformats.org/officeDocument/2006/relationships/hyperlink" Target="https://www.openstreetmap.org/node/2547949097" TargetMode="External"/><Relationship Id="rId1792" Type="http://schemas.openxmlformats.org/officeDocument/2006/relationships/hyperlink" Target="https://www.google.com/maps/search/?api=1&amp;query=43.5928196,1.4459531" TargetMode="External"/><Relationship Id="rId1793" Type="http://schemas.openxmlformats.org/officeDocument/2006/relationships/hyperlink" Target="https://www.openstreetmap.org/node/6594102141" TargetMode="External"/><Relationship Id="rId1794" Type="http://schemas.openxmlformats.org/officeDocument/2006/relationships/hyperlink" Target="https://www.pizza-arlequin.com/" TargetMode="External"/><Relationship Id="rId1795" Type="http://schemas.openxmlformats.org/officeDocument/2006/relationships/hyperlink" Target="https://www.google.com/maps/search/?api=1&amp;query=43.5972743,1.4269884" TargetMode="External"/><Relationship Id="rId1796" Type="http://schemas.openxmlformats.org/officeDocument/2006/relationships/hyperlink" Target="https://www.openstreetmap.org/node/1532525832" TargetMode="External"/><Relationship Id="rId1797" Type="http://schemas.openxmlformats.org/officeDocument/2006/relationships/hyperlink" Target="https://www.pizzadimama.fr/" TargetMode="External"/><Relationship Id="rId1798" Type="http://schemas.openxmlformats.org/officeDocument/2006/relationships/hyperlink" Target="https://www.google.com/maps/search/?api=1&amp;query=43.6245789,1.443049" TargetMode="External"/><Relationship Id="rId1799" Type="http://schemas.openxmlformats.org/officeDocument/2006/relationships/hyperlink" Target="https://www.openstreetmap.org/node/12479550692" TargetMode="External"/><Relationship Id="rId1800" Type="http://schemas.openxmlformats.org/officeDocument/2006/relationships/hyperlink" Target="https://www.google.com/maps/search/?api=1&amp;query=43.618063,1.4556006" TargetMode="External"/><Relationship Id="rId1801" Type="http://schemas.openxmlformats.org/officeDocument/2006/relationships/hyperlink" Target="https://www.openstreetmap.org/node/1532621014" TargetMode="External"/><Relationship Id="rId1802" Type="http://schemas.openxmlformats.org/officeDocument/2006/relationships/hyperlink" Target="https://www.google.com/maps/search/?api=1&amp;query=43.588751,1.4460227" TargetMode="External"/><Relationship Id="rId1803" Type="http://schemas.openxmlformats.org/officeDocument/2006/relationships/hyperlink" Target="https://www.openstreetmap.org/node/2280985824" TargetMode="External"/><Relationship Id="rId1804" Type="http://schemas.openxmlformats.org/officeDocument/2006/relationships/hyperlink" Target="https://www.pizzahut.fr/huts/toulouse-jeanne-darc-205/" TargetMode="External"/><Relationship Id="rId1805" Type="http://schemas.openxmlformats.org/officeDocument/2006/relationships/hyperlink" Target="https://www.google.com/maps/search/?api=1&amp;query=43.6124736,1.4480487" TargetMode="External"/><Relationship Id="rId1806" Type="http://schemas.openxmlformats.org/officeDocument/2006/relationships/hyperlink" Target="https://www.openstreetmap.org/node/5548802520" TargetMode="External"/><Relationship Id="rId1807" Type="http://schemas.openxmlformats.org/officeDocument/2006/relationships/hyperlink" Target="https://www.pizzahut.fr/huts/toulouse-minimes-172/" TargetMode="External"/><Relationship Id="rId1808" Type="http://schemas.openxmlformats.org/officeDocument/2006/relationships/hyperlink" Target="https://www.google.com/maps/search/?api=1&amp;query=43.627246,1.4337347" TargetMode="External"/><Relationship Id="rId1809" Type="http://schemas.openxmlformats.org/officeDocument/2006/relationships/hyperlink" Target="https://www.openstreetmap.org/node/12391528087" TargetMode="External"/><Relationship Id="rId1810" Type="http://schemas.openxmlformats.org/officeDocument/2006/relationships/hyperlink" Target="https://www.google.com/maps/search/?api=1&amp;query=43.6185317,1.39664" TargetMode="External"/><Relationship Id="rId1811" Type="http://schemas.openxmlformats.org/officeDocument/2006/relationships/hyperlink" Target="https://www.openstreetmap.org/node/13399610822" TargetMode="External"/><Relationship Id="rId1812" Type="http://schemas.openxmlformats.org/officeDocument/2006/relationships/hyperlink" Target="https://www.pizza-mongelli.com/" TargetMode="External"/><Relationship Id="rId1813" Type="http://schemas.openxmlformats.org/officeDocument/2006/relationships/hyperlink" Target="https://www.google.com/maps/search/?api=1&amp;query=43.591525,1.4797353" TargetMode="External"/><Relationship Id="rId1814" Type="http://schemas.openxmlformats.org/officeDocument/2006/relationships/hyperlink" Target="https://www.openstreetmap.org/node/11459319200" TargetMode="External"/><Relationship Id="rId1815" Type="http://schemas.openxmlformats.org/officeDocument/2006/relationships/hyperlink" Target="https://www.google.com/maps/search/?api=1&amp;query=43.575948,1.4061575" TargetMode="External"/><Relationship Id="rId1816" Type="http://schemas.openxmlformats.org/officeDocument/2006/relationships/hyperlink" Target="https://www.openstreetmap.org/node/12205185859" TargetMode="External"/><Relationship Id="rId1817" Type="http://schemas.openxmlformats.org/officeDocument/2006/relationships/hyperlink" Target="https://www.google.com/maps/search/?api=1&amp;query=43.5962173,1.4213501" TargetMode="External"/><Relationship Id="rId1818" Type="http://schemas.openxmlformats.org/officeDocument/2006/relationships/hyperlink" Target="https://www.openstreetmap.org/node/423867110" TargetMode="External"/><Relationship Id="rId1819" Type="http://schemas.openxmlformats.org/officeDocument/2006/relationships/hyperlink" Target="https://www.google.com/maps/search/?api=1&amp;query=43.5779655,1.4428198" TargetMode="External"/><Relationship Id="rId1820" Type="http://schemas.openxmlformats.org/officeDocument/2006/relationships/hyperlink" Target="https://www.openstreetmap.org/node/13753166975" TargetMode="External"/><Relationship Id="rId1821" Type="http://schemas.openxmlformats.org/officeDocument/2006/relationships/hyperlink" Target="https://www.google.com/maps/search/?api=1&amp;query=43.5945212,1.4117397" TargetMode="External"/><Relationship Id="rId1822" Type="http://schemas.openxmlformats.org/officeDocument/2006/relationships/hyperlink" Target="https://www.openstreetmap.org/node/10860643872" TargetMode="External"/><Relationship Id="rId1823" Type="http://schemas.openxmlformats.org/officeDocument/2006/relationships/hyperlink" Target="https://www.pizzeebasta.com/" TargetMode="External"/><Relationship Id="rId1824" Type="http://schemas.openxmlformats.org/officeDocument/2006/relationships/hyperlink" Target="https://www.google.com/maps/search/?api=1&amp;query=43.6022496,1.4528662" TargetMode="External"/><Relationship Id="rId1825" Type="http://schemas.openxmlformats.org/officeDocument/2006/relationships/hyperlink" Target="https://www.openstreetmap.org/node/7055004153" TargetMode="External"/><Relationship Id="rId1826" Type="http://schemas.openxmlformats.org/officeDocument/2006/relationships/hyperlink" Target="https://www.pizzeria-bambino-toulouse.com/" TargetMode="External"/><Relationship Id="rId1827" Type="http://schemas.openxmlformats.org/officeDocument/2006/relationships/hyperlink" Target="https://www.google.com/maps/search/?api=1&amp;query=43.6073076,1.445076" TargetMode="External"/><Relationship Id="rId1828" Type="http://schemas.openxmlformats.org/officeDocument/2006/relationships/hyperlink" Target="https://www.openstreetmap.org/node/2445153727" TargetMode="External"/><Relationship Id="rId1829" Type="http://schemas.openxmlformats.org/officeDocument/2006/relationships/hyperlink" Target="http://www.pizzeria-alexis.fr/" TargetMode="External"/><Relationship Id="rId1830" Type="http://schemas.openxmlformats.org/officeDocument/2006/relationships/hyperlink" Target="https://www.google.com/maps/search/?api=1&amp;query=43.5986835,1.4359441" TargetMode="External"/><Relationship Id="rId1831" Type="http://schemas.openxmlformats.org/officeDocument/2006/relationships/hyperlink" Target="https://www.openstreetmap.org/node/1532506272" TargetMode="External"/><Relationship Id="rId1832" Type="http://schemas.openxmlformats.org/officeDocument/2006/relationships/hyperlink" Target="https://www.google.com/maps/search/?api=1&amp;query=43.5753498,1.451218" TargetMode="External"/><Relationship Id="rId1833" Type="http://schemas.openxmlformats.org/officeDocument/2006/relationships/hyperlink" Target="https://www.openstreetmap.org/node/6083598709" TargetMode="External"/><Relationship Id="rId1834" Type="http://schemas.openxmlformats.org/officeDocument/2006/relationships/hyperlink" Target="https://www.google.com/maps/search/?api=1&amp;query=43.6088773,1.4505584" TargetMode="External"/><Relationship Id="rId1835" Type="http://schemas.openxmlformats.org/officeDocument/2006/relationships/hyperlink" Target="https://www.openstreetmap.org/node/1871304605" TargetMode="External"/><Relationship Id="rId1836" Type="http://schemas.openxmlformats.org/officeDocument/2006/relationships/hyperlink" Target="https://www.google.com/maps/search/?api=1&amp;query=43.6075061,1.4402932" TargetMode="External"/><Relationship Id="rId1837" Type="http://schemas.openxmlformats.org/officeDocument/2006/relationships/hyperlink" Target="https://www.openstreetmap.org/node/1976765796" TargetMode="External"/><Relationship Id="rId1838" Type="http://schemas.openxmlformats.org/officeDocument/2006/relationships/hyperlink" Target="https://platogourmand.fr/" TargetMode="External"/><Relationship Id="rId1839" Type="http://schemas.openxmlformats.org/officeDocument/2006/relationships/hyperlink" Target="https://www.google.com/maps/search/?api=1&amp;query=43.6450954,1.4516017" TargetMode="External"/><Relationship Id="rId1840" Type="http://schemas.openxmlformats.org/officeDocument/2006/relationships/hyperlink" Target="https://www.openstreetmap.org/node/10880199605" TargetMode="External"/><Relationship Id="rId1841" Type="http://schemas.openxmlformats.org/officeDocument/2006/relationships/hyperlink" Target="https://www.poketeria.fr/" TargetMode="External"/><Relationship Id="rId1842" Type="http://schemas.openxmlformats.org/officeDocument/2006/relationships/hyperlink" Target="https://www.google.com/maps/search/?api=1&amp;query=43.6036397,1.4349952" TargetMode="External"/><Relationship Id="rId1843" Type="http://schemas.openxmlformats.org/officeDocument/2006/relationships/hyperlink" Target="https://www.openstreetmap.org/node/2246315729" TargetMode="External"/><Relationship Id="rId1844" Type="http://schemas.openxmlformats.org/officeDocument/2006/relationships/hyperlink" Target="https://www.pokelab.fr/" TargetMode="External"/><Relationship Id="rId1845" Type="http://schemas.openxmlformats.org/officeDocument/2006/relationships/hyperlink" Target="https://www.google.com/maps/search/?api=1&amp;query=43.6051361,1.44821" TargetMode="External"/><Relationship Id="rId1846" Type="http://schemas.openxmlformats.org/officeDocument/2006/relationships/hyperlink" Target="https://www.openstreetmap.org/node/2463356605" TargetMode="External"/><Relationship Id="rId1847" Type="http://schemas.openxmlformats.org/officeDocument/2006/relationships/hyperlink" Target="https://www.privateaser.com/lieu/63483-potiche" TargetMode="External"/><Relationship Id="rId1848" Type="http://schemas.openxmlformats.org/officeDocument/2006/relationships/hyperlink" Target="https://www.google.com/maps/search/?api=1&amp;query=43.5811135,1.4548887" TargetMode="External"/><Relationship Id="rId1849" Type="http://schemas.openxmlformats.org/officeDocument/2006/relationships/hyperlink" Target="https://www.openstreetmap.org/way/64501657" TargetMode="External"/><Relationship Id="rId1850" Type="http://schemas.openxmlformats.org/officeDocument/2006/relationships/hyperlink" Target="https://www.google.com/maps/search/?api=1&amp;query=43.6060979,1.4471308" TargetMode="External"/><Relationship Id="rId1851" Type="http://schemas.openxmlformats.org/officeDocument/2006/relationships/hyperlink" Target="https://www.openstreetmap.org/node/2447719425" TargetMode="External"/><Relationship Id="rId1852" Type="http://schemas.openxmlformats.org/officeDocument/2006/relationships/hyperlink" Target="https://circus.primafamily.fr/" TargetMode="External"/><Relationship Id="rId1853" Type="http://schemas.openxmlformats.org/officeDocument/2006/relationships/hyperlink" Target="https://www.google.com/maps/search/?api=1&amp;query=43.598242,1.4341987" TargetMode="External"/><Relationship Id="rId1854" Type="http://schemas.openxmlformats.org/officeDocument/2006/relationships/hyperlink" Target="https://www.openstreetmap.org/node/768543390" TargetMode="External"/><Relationship Id="rId1855" Type="http://schemas.openxmlformats.org/officeDocument/2006/relationships/hyperlink" Target="https://www.primafabbrica.fr/" TargetMode="External"/><Relationship Id="rId1856" Type="http://schemas.openxmlformats.org/officeDocument/2006/relationships/hyperlink" Target="https://www.google.com/maps/search/?api=1&amp;query=43.60238,1.4475031" TargetMode="External"/><Relationship Id="rId1857" Type="http://schemas.openxmlformats.org/officeDocument/2006/relationships/hyperlink" Target="https://www.openstreetmap.org/node/2478393383" TargetMode="External"/><Relationship Id="rId1858" Type="http://schemas.openxmlformats.org/officeDocument/2006/relationships/hyperlink" Target="https://lova.primafamily.fr/" TargetMode="External"/><Relationship Id="rId1859" Type="http://schemas.openxmlformats.org/officeDocument/2006/relationships/hyperlink" Target="https://www.google.com/maps/search/?api=1&amp;query=43.6014641,1.4421328" TargetMode="External"/><Relationship Id="rId1860" Type="http://schemas.openxmlformats.org/officeDocument/2006/relationships/hyperlink" Target="https://www.openstreetmap.org/node/772710370" TargetMode="External"/><Relationship Id="rId1861" Type="http://schemas.openxmlformats.org/officeDocument/2006/relationships/hyperlink" Target="https://linktr.ee/proteine.eat" TargetMode="External"/><Relationship Id="rId1862" Type="http://schemas.openxmlformats.org/officeDocument/2006/relationships/hyperlink" Target="https://www.google.com/maps/search/?api=1&amp;query=43.6034533,1.3653368" TargetMode="External"/><Relationship Id="rId1863" Type="http://schemas.openxmlformats.org/officeDocument/2006/relationships/hyperlink" Target="https://www.openstreetmap.org/node/12623529107" TargetMode="External"/><Relationship Id="rId1864" Type="http://schemas.openxmlformats.org/officeDocument/2006/relationships/hyperlink" Target="https://www.google.com/maps/search/?api=1&amp;query=43.6166139,1.4536174" TargetMode="External"/><Relationship Id="rId1865" Type="http://schemas.openxmlformats.org/officeDocument/2006/relationships/hyperlink" Target="https://www.openstreetmap.org/node/13811339337" TargetMode="External"/><Relationship Id="rId1866" Type="http://schemas.openxmlformats.org/officeDocument/2006/relationships/hyperlink" Target="https://www.py-r.com/" TargetMode="External"/><Relationship Id="rId1867" Type="http://schemas.openxmlformats.org/officeDocument/2006/relationships/hyperlink" Target="https://www.google.com/maps/search/?api=1&amp;query=43.5994814,1.4410164" TargetMode="External"/><Relationship Id="rId1868" Type="http://schemas.openxmlformats.org/officeDocument/2006/relationships/hyperlink" Target="https://www.openstreetmap.org/node/2799416140" TargetMode="External"/><Relationship Id="rId1869" Type="http://schemas.openxmlformats.org/officeDocument/2006/relationships/hyperlink" Target="https://www.pepere-restaurant.fr/" TargetMode="External"/><Relationship Id="rId1870" Type="http://schemas.openxmlformats.org/officeDocument/2006/relationships/hyperlink" Target="https://www.google.com/maps/search/?api=1&amp;query=43.6051086,1.4510052" TargetMode="External"/><Relationship Id="rId1871" Type="http://schemas.openxmlformats.org/officeDocument/2006/relationships/hyperlink" Target="https://www.openstreetmap.org/node/1401908715" TargetMode="External"/><Relationship Id="rId1872" Type="http://schemas.openxmlformats.org/officeDocument/2006/relationships/hyperlink" Target="https://www.google.com/maps/search/?api=1&amp;query=43.6004479,1.4407618" TargetMode="External"/><Relationship Id="rId1873" Type="http://schemas.openxmlformats.org/officeDocument/2006/relationships/hyperlink" Target="https://www.openstreetmap.org/node/2460954119" TargetMode="External"/><Relationship Id="rId1874" Type="http://schemas.openxmlformats.org/officeDocument/2006/relationships/hyperlink" Target="https://www.lerajasthanvilla.com/" TargetMode="External"/><Relationship Id="rId1875" Type="http://schemas.openxmlformats.org/officeDocument/2006/relationships/hyperlink" Target="https://www.google.com/maps/search/?api=1&amp;query=43.6061126,1.4415311" TargetMode="External"/><Relationship Id="rId1876" Type="http://schemas.openxmlformats.org/officeDocument/2006/relationships/hyperlink" Target="https://www.openstreetmap.org/node/1976765790" TargetMode="External"/><Relationship Id="rId1877" Type="http://schemas.openxmlformats.org/officeDocument/2006/relationships/hyperlink" Target="https://ramonesramones.netlify.app/" TargetMode="External"/><Relationship Id="rId1878" Type="http://schemas.openxmlformats.org/officeDocument/2006/relationships/hyperlink" Target="https://www.google.com/maps/search/?api=1&amp;query=43.6117585,1.4449883" TargetMode="External"/><Relationship Id="rId1879" Type="http://schemas.openxmlformats.org/officeDocument/2006/relationships/hyperlink" Target="https://www.openstreetmap.org/node/4955048658" TargetMode="External"/><Relationship Id="rId1880" Type="http://schemas.openxmlformats.org/officeDocument/2006/relationships/hyperlink" Target="http://www.ravigote.fr/" TargetMode="External"/><Relationship Id="rId1881" Type="http://schemas.openxmlformats.org/officeDocument/2006/relationships/hyperlink" Target="https://www.google.com/maps/search/?api=1&amp;query=43.5799481,1.4494033" TargetMode="External"/><Relationship Id="rId1882" Type="http://schemas.openxmlformats.org/officeDocument/2006/relationships/hyperlink" Target="https://www.openstreetmap.org/node/803404335" TargetMode="External"/><Relationship Id="rId1883" Type="http://schemas.openxmlformats.org/officeDocument/2006/relationships/hyperlink" Target="https://www.google.com/maps/search/?api=1&amp;query=43.5800448,1.449351" TargetMode="External"/><Relationship Id="rId1884" Type="http://schemas.openxmlformats.org/officeDocument/2006/relationships/hyperlink" Target="https://www.openstreetmap.org/node/803403794" TargetMode="External"/><Relationship Id="rId1885" Type="http://schemas.openxmlformats.org/officeDocument/2006/relationships/hyperlink" Target="https://www.reflets-toulouse.com/" TargetMode="External"/><Relationship Id="rId1886" Type="http://schemas.openxmlformats.org/officeDocument/2006/relationships/hyperlink" Target="https://www.google.com/maps/search/?api=1&amp;query=43.6002659,1.4352037" TargetMode="External"/><Relationship Id="rId1887" Type="http://schemas.openxmlformats.org/officeDocument/2006/relationships/hyperlink" Target="https://www.openstreetmap.org/node/894579342" TargetMode="External"/><Relationship Id="rId1888" Type="http://schemas.openxmlformats.org/officeDocument/2006/relationships/hyperlink" Target="https://www.saveursmusiquesdumonde.com/" TargetMode="External"/><Relationship Id="rId1889" Type="http://schemas.openxmlformats.org/officeDocument/2006/relationships/hyperlink" Target="https://www.google.com/maps/search/?api=1&amp;query=43.5879759,1.4463329" TargetMode="External"/><Relationship Id="rId1890" Type="http://schemas.openxmlformats.org/officeDocument/2006/relationships/hyperlink" Target="https://www.openstreetmap.org/node/2288209080" TargetMode="External"/><Relationship Id="rId1891" Type="http://schemas.openxmlformats.org/officeDocument/2006/relationships/hyperlink" Target="https://www.google.com/maps/search/?api=1&amp;query=43.5566509,1.4634495" TargetMode="External"/><Relationship Id="rId1892" Type="http://schemas.openxmlformats.org/officeDocument/2006/relationships/hyperlink" Target="https://www.openstreetmap.org/node/1393651266" TargetMode="External"/><Relationship Id="rId1893" Type="http://schemas.openxmlformats.org/officeDocument/2006/relationships/hyperlink" Target="https://www.google.com/maps/search/?api=1&amp;query=43.5865119,1.3946992" TargetMode="External"/><Relationship Id="rId1894" Type="http://schemas.openxmlformats.org/officeDocument/2006/relationships/hyperlink" Target="https://www.openstreetmap.org/node/2702860943" TargetMode="External"/><Relationship Id="rId1895" Type="http://schemas.openxmlformats.org/officeDocument/2006/relationships/hyperlink" Target="https://www.google.com/maps/search/?api=1&amp;query=43.6013523,1.4302415" TargetMode="External"/><Relationship Id="rId1896" Type="http://schemas.openxmlformats.org/officeDocument/2006/relationships/hyperlink" Target="https://www.openstreetmap.org/node/894579361" TargetMode="External"/><Relationship Id="rId1897" Type="http://schemas.openxmlformats.org/officeDocument/2006/relationships/hyperlink" Target="https://www.google.com/maps/search/?api=1&amp;query=43.6089895,1.4501171" TargetMode="External"/><Relationship Id="rId1898" Type="http://schemas.openxmlformats.org/officeDocument/2006/relationships/hyperlink" Target="https://www.openstreetmap.org/node/3340723473" TargetMode="External"/><Relationship Id="rId1899" Type="http://schemas.openxmlformats.org/officeDocument/2006/relationships/hyperlink" Target="https://www.mordus-resto.fr/" TargetMode="External"/><Relationship Id="rId1900" Type="http://schemas.openxmlformats.org/officeDocument/2006/relationships/hyperlink" Target="https://www.google.com/maps/search/?api=1&amp;query=43.5794256,1.4463177" TargetMode="External"/><Relationship Id="rId1901" Type="http://schemas.openxmlformats.org/officeDocument/2006/relationships/hyperlink" Target="https://www.openstreetmap.org/node/1532672827" TargetMode="External"/><Relationship Id="rId1902" Type="http://schemas.openxmlformats.org/officeDocument/2006/relationships/hyperlink" Target="https://www.google.com/maps/search/?api=1&amp;query=43.6073045,1.3944497" TargetMode="External"/><Relationship Id="rId1903" Type="http://schemas.openxmlformats.org/officeDocument/2006/relationships/hyperlink" Target="https://www.openstreetmap.org/way/74707972" TargetMode="External"/><Relationship Id="rId1904" Type="http://schemas.openxmlformats.org/officeDocument/2006/relationships/hyperlink" Target="https://www.google.com/maps/search/?api=1&amp;query=43.6056926,1.4360222" TargetMode="External"/><Relationship Id="rId1905" Type="http://schemas.openxmlformats.org/officeDocument/2006/relationships/hyperlink" Target="https://www.openstreetmap.org/way/46670983" TargetMode="External"/><Relationship Id="rId1906" Type="http://schemas.openxmlformats.org/officeDocument/2006/relationships/hyperlink" Target="https://www.google.com/maps/search/?api=1&amp;query=43.6021608,1.4557372" TargetMode="External"/><Relationship Id="rId1907" Type="http://schemas.openxmlformats.org/officeDocument/2006/relationships/hyperlink" Target="https://www.openstreetmap.org/node/1889068267" TargetMode="External"/><Relationship Id="rId1908" Type="http://schemas.openxmlformats.org/officeDocument/2006/relationships/hyperlink" Target="https://www.restaurant-emile.com/" TargetMode="External"/><Relationship Id="rId1909" Type="http://schemas.openxmlformats.org/officeDocument/2006/relationships/hyperlink" Target="https://www.google.com/maps/search/?api=1&amp;query=43.6022479,1.4472215" TargetMode="External"/><Relationship Id="rId1910" Type="http://schemas.openxmlformats.org/officeDocument/2006/relationships/hyperlink" Target="https://www.openstreetmap.org/node/450171441" TargetMode="External"/><Relationship Id="rId1911" Type="http://schemas.openxmlformats.org/officeDocument/2006/relationships/hyperlink" Target="https://www.crous-toulouse.fr/restaurant/resto-u-envt/" TargetMode="External"/><Relationship Id="rId1912" Type="http://schemas.openxmlformats.org/officeDocument/2006/relationships/hyperlink" Target="https://www.google.com/maps/search/?api=1&amp;query=43.6019651,1.3841624" TargetMode="External"/><Relationship Id="rId1913" Type="http://schemas.openxmlformats.org/officeDocument/2006/relationships/hyperlink" Target="https://www.openstreetmap.org/way/1123200503" TargetMode="External"/><Relationship Id="rId1914" Type="http://schemas.openxmlformats.org/officeDocument/2006/relationships/hyperlink" Target="https://www.crous-toulouse.fr/restaurant/resto-u-insa/" TargetMode="External"/><Relationship Id="rId1915" Type="http://schemas.openxmlformats.org/officeDocument/2006/relationships/hyperlink" Target="https://www.google.com/maps/search/?api=1&amp;query=43.5700321,1.4688566" TargetMode="External"/><Relationship Id="rId1916" Type="http://schemas.openxmlformats.org/officeDocument/2006/relationships/hyperlink" Target="https://www.openstreetmap.org/way/32599315" TargetMode="External"/><Relationship Id="rId1917" Type="http://schemas.openxmlformats.org/officeDocument/2006/relationships/hyperlink" Target="https://www.crous-toulouse.fr/restaurant/resto-u-le-canal-2/" TargetMode="External"/><Relationship Id="rId1918" Type="http://schemas.openxmlformats.org/officeDocument/2006/relationships/hyperlink" Target="https://www.google.com/maps/search/?api=1&amp;query=43.5609666,1.4719724" TargetMode="External"/><Relationship Id="rId1919" Type="http://schemas.openxmlformats.org/officeDocument/2006/relationships/hyperlink" Target="https://www.openstreetmap.org/way/18752346" TargetMode="External"/><Relationship Id="rId1920" Type="http://schemas.openxmlformats.org/officeDocument/2006/relationships/hyperlink" Target="https://www.crous-toulouse.fr/restaurant/resto-u-le-theoreme/" TargetMode="External"/><Relationship Id="rId1921" Type="http://schemas.openxmlformats.org/officeDocument/2006/relationships/hyperlink" Target="https://www.google.com/maps/search/?api=1&amp;query=43.5619926,1.4634238" TargetMode="External"/><Relationship Id="rId1922" Type="http://schemas.openxmlformats.org/officeDocument/2006/relationships/hyperlink" Target="https://www.openstreetmap.org/node/13299168540" TargetMode="External"/><Relationship Id="rId1923" Type="http://schemas.openxmlformats.org/officeDocument/2006/relationships/hyperlink" Target="https://www.google.com/maps/search/?api=1&amp;query=43.5632184,1.4592196" TargetMode="External"/><Relationship Id="rId1924" Type="http://schemas.openxmlformats.org/officeDocument/2006/relationships/hyperlink" Target="https://www.openstreetmap.org/way/23149591" TargetMode="External"/><Relationship Id="rId1925" Type="http://schemas.openxmlformats.org/officeDocument/2006/relationships/hyperlink" Target="https://www.google.com/maps/search/?api=1&amp;query=43.6018381,1.4394453" TargetMode="External"/><Relationship Id="rId1926" Type="http://schemas.openxmlformats.org/officeDocument/2006/relationships/hyperlink" Target="https://www.openstreetmap.org/node/2464788564" TargetMode="External"/><Relationship Id="rId1927" Type="http://schemas.openxmlformats.org/officeDocument/2006/relationships/hyperlink" Target="https://www.google.com/maps/search/?api=1&amp;query=43.5685303,1.4566734" TargetMode="External"/><Relationship Id="rId1928" Type="http://schemas.openxmlformats.org/officeDocument/2006/relationships/hyperlink" Target="https://www.openstreetmap.org/node/803357242" TargetMode="External"/><Relationship Id="rId1929" Type="http://schemas.openxmlformats.org/officeDocument/2006/relationships/hyperlink" Target="https://royalbuffet.fr/toulouse-atlanta/" TargetMode="External"/><Relationship Id="rId1930" Type="http://schemas.openxmlformats.org/officeDocument/2006/relationships/hyperlink" Target="https://www.google.com/maps/search/?api=1&amp;query=43.6411543,1.4677385" TargetMode="External"/><Relationship Id="rId1931" Type="http://schemas.openxmlformats.org/officeDocument/2006/relationships/hyperlink" Target="https://www.openstreetmap.org/node/6128563758" TargetMode="External"/><Relationship Id="rId1932" Type="http://schemas.openxmlformats.org/officeDocument/2006/relationships/hyperlink" Target="https://www.royal-buffet-toulouse.com/" TargetMode="External"/><Relationship Id="rId1933" Type="http://schemas.openxmlformats.org/officeDocument/2006/relationships/hyperlink" Target="https://www.google.com/maps/search/?api=1&amp;query=43.6541899,1.4238807" TargetMode="External"/><Relationship Id="rId1934" Type="http://schemas.openxmlformats.org/officeDocument/2006/relationships/hyperlink" Target="https://www.openstreetmap.org/node/6778273970" TargetMode="External"/><Relationship Id="rId1935" Type="http://schemas.openxmlformats.org/officeDocument/2006/relationships/hyperlink" Target="https://www.royalbuffet.fr/" TargetMode="External"/><Relationship Id="rId1936" Type="http://schemas.openxmlformats.org/officeDocument/2006/relationships/hyperlink" Target="https://www.google.com/maps/search/?api=1&amp;query=43.5498733,1.42109" TargetMode="External"/><Relationship Id="rId1937" Type="http://schemas.openxmlformats.org/officeDocument/2006/relationships/hyperlink" Target="https://www.openstreetmap.org/node/11296048677" TargetMode="External"/><Relationship Id="rId1938" Type="http://schemas.openxmlformats.org/officeDocument/2006/relationships/hyperlink" Target="https://www.google.com/maps/search/?api=1&amp;query=43.6055346,1.4587537" TargetMode="External"/><Relationship Id="rId1939" Type="http://schemas.openxmlformats.org/officeDocument/2006/relationships/hyperlink" Target="https://www.openstreetmap.org/node/597654758" TargetMode="External"/><Relationship Id="rId1940" Type="http://schemas.openxmlformats.org/officeDocument/2006/relationships/hyperlink" Target="https://www.google.com/maps/search/?api=1&amp;query=43.591745,1.4443508" TargetMode="External"/><Relationship Id="rId1941" Type="http://schemas.openxmlformats.org/officeDocument/2006/relationships/hyperlink" Target="https://www.openstreetmap.org/node/8087589551" TargetMode="External"/><Relationship Id="rId1942" Type="http://schemas.openxmlformats.org/officeDocument/2006/relationships/hyperlink" Target="https://www.google.com/maps/search/?api=1&amp;query=43.6062164,1.4558325" TargetMode="External"/><Relationship Id="rId1943" Type="http://schemas.openxmlformats.org/officeDocument/2006/relationships/hyperlink" Target="https://www.openstreetmap.org/node/631755001" TargetMode="External"/><Relationship Id="rId1944" Type="http://schemas.openxmlformats.org/officeDocument/2006/relationships/hyperlink" Target="https://www.google.com/maps/search/?api=1&amp;query=43.5994014,1.4438926" TargetMode="External"/><Relationship Id="rId1945" Type="http://schemas.openxmlformats.org/officeDocument/2006/relationships/hyperlink" Target="https://www.openstreetmap.org/node/2471591455" TargetMode="External"/><Relationship Id="rId1946" Type="http://schemas.openxmlformats.org/officeDocument/2006/relationships/hyperlink" Target="https://www.sakuraya.fr/" TargetMode="External"/><Relationship Id="rId1947" Type="http://schemas.openxmlformats.org/officeDocument/2006/relationships/hyperlink" Target="https://www.google.com/maps/search/?api=1&amp;query=43.6082435,1.4468837" TargetMode="External"/><Relationship Id="rId1948" Type="http://schemas.openxmlformats.org/officeDocument/2006/relationships/hyperlink" Target="https://www.openstreetmap.org/node/2450406639" TargetMode="External"/><Relationship Id="rId1949" Type="http://schemas.openxmlformats.org/officeDocument/2006/relationships/hyperlink" Target="https://santosha-streetfood.com/fr/etablissement/santosha-toulouse-6445" TargetMode="External"/><Relationship Id="rId1950" Type="http://schemas.openxmlformats.org/officeDocument/2006/relationships/hyperlink" Target="https://www.google.com/maps/search/?api=1&amp;query=43.5982513,1.4442547" TargetMode="External"/><Relationship Id="rId1951" Type="http://schemas.openxmlformats.org/officeDocument/2006/relationships/hyperlink" Target="https://www.openstreetmap.org/node/924250392" TargetMode="External"/><Relationship Id="rId1952" Type="http://schemas.openxmlformats.org/officeDocument/2006/relationships/hyperlink" Target="https://www.restaurants-sapiens.com/" TargetMode="External"/><Relationship Id="rId1953" Type="http://schemas.openxmlformats.org/officeDocument/2006/relationships/hyperlink" Target="https://www.google.com/maps/search/?api=1&amp;query=43.5765184,1.477119" TargetMode="External"/><Relationship Id="rId1954" Type="http://schemas.openxmlformats.org/officeDocument/2006/relationships/hyperlink" Target="https://www.openstreetmap.org/node/10007176300" TargetMode="External"/><Relationship Id="rId1955" Type="http://schemas.openxmlformats.org/officeDocument/2006/relationships/hyperlink" Target="https://www.ubereats.com/fr/store/pizzeria-sapori-di-italia/Vr8DDbI2RF6rSkNAbRQPvA?diningMode=PICKUP" TargetMode="External"/><Relationship Id="rId1956" Type="http://schemas.openxmlformats.org/officeDocument/2006/relationships/hyperlink" Target="https://www.google.com/maps/search/?api=1&amp;query=43.606503,1.4284039" TargetMode="External"/><Relationship Id="rId1957" Type="http://schemas.openxmlformats.org/officeDocument/2006/relationships/hyperlink" Target="https://www.openstreetmap.org/node/12324336370" TargetMode="External"/><Relationship Id="rId1958" Type="http://schemas.openxmlformats.org/officeDocument/2006/relationships/hyperlink" Target="https://restaurant-sarbacane.fr/" TargetMode="External"/><Relationship Id="rId1959" Type="http://schemas.openxmlformats.org/officeDocument/2006/relationships/hyperlink" Target="https://www.google.com/maps/search/?api=1&amp;query=43.6056436,1.4523697" TargetMode="External"/><Relationship Id="rId1960" Type="http://schemas.openxmlformats.org/officeDocument/2006/relationships/hyperlink" Target="https://www.openstreetmap.org/node/12388954396" TargetMode="External"/><Relationship Id="rId1961" Type="http://schemas.openxmlformats.org/officeDocument/2006/relationships/hyperlink" Target="https://sashimifood.my.canva.site/" TargetMode="External"/><Relationship Id="rId1962" Type="http://schemas.openxmlformats.org/officeDocument/2006/relationships/hyperlink" Target="https://www.google.com/maps/search/?api=1&amp;query=43.6075659,1.4463166" TargetMode="External"/><Relationship Id="rId1963" Type="http://schemas.openxmlformats.org/officeDocument/2006/relationships/hyperlink" Target="https://www.openstreetmap.org/node/2447719397" TargetMode="External"/><Relationship Id="rId1964" Type="http://schemas.openxmlformats.org/officeDocument/2006/relationships/hyperlink" Target="https://www.google.com/maps/search/?api=1&amp;query=43.5987477,1.4362733" TargetMode="External"/><Relationship Id="rId1965" Type="http://schemas.openxmlformats.org/officeDocument/2006/relationships/hyperlink" Target="https://www.openstreetmap.org/node/13158620280" TargetMode="External"/><Relationship Id="rId1966" Type="http://schemas.openxmlformats.org/officeDocument/2006/relationships/hyperlink" Target="https://www.saveursbasilic.com/" TargetMode="External"/><Relationship Id="rId1967" Type="http://schemas.openxmlformats.org/officeDocument/2006/relationships/hyperlink" Target="https://www.google.com/maps/search/?api=1&amp;query=43.6116906,1.4139221" TargetMode="External"/><Relationship Id="rId1968" Type="http://schemas.openxmlformats.org/officeDocument/2006/relationships/hyperlink" Target="https://www.openstreetmap.org/node/6350729773" TargetMode="External"/><Relationship Id="rId1969" Type="http://schemas.openxmlformats.org/officeDocument/2006/relationships/hyperlink" Target="https://www.google.com/maps/search/?api=1&amp;query=43.6056941,1.4523704" TargetMode="External"/><Relationship Id="rId1970" Type="http://schemas.openxmlformats.org/officeDocument/2006/relationships/hyperlink" Target="https://www.openstreetmap.org/node/12388954395" TargetMode="External"/><Relationship Id="rId1971" Type="http://schemas.openxmlformats.org/officeDocument/2006/relationships/hyperlink" Target="https://www.google.com/maps/search/?api=1&amp;query=43.5817573,1.4491201" TargetMode="External"/><Relationship Id="rId1972" Type="http://schemas.openxmlformats.org/officeDocument/2006/relationships/hyperlink" Target="https://www.openstreetmap.org/node/2377741717" TargetMode="External"/><Relationship Id="rId1973" Type="http://schemas.openxmlformats.org/officeDocument/2006/relationships/hyperlink" Target="https://www.restaurant-sept.fr/" TargetMode="External"/><Relationship Id="rId1974" Type="http://schemas.openxmlformats.org/officeDocument/2006/relationships/hyperlink" Target="https://www.google.com/maps/search/?api=1&amp;query=43.5968129,1.4468358" TargetMode="External"/><Relationship Id="rId1975" Type="http://schemas.openxmlformats.org/officeDocument/2006/relationships/hyperlink" Target="https://www.openstreetmap.org/node/7785156363" TargetMode="External"/><Relationship Id="rId1976" Type="http://schemas.openxmlformats.org/officeDocument/2006/relationships/hyperlink" Target="https://www.sevenline.fr/bar-restaurant/" TargetMode="External"/><Relationship Id="rId1977" Type="http://schemas.openxmlformats.org/officeDocument/2006/relationships/hyperlink" Target="https://www.google.com/maps/search/?api=1&amp;query=43.6077095,1.4002409" TargetMode="External"/><Relationship Id="rId1978" Type="http://schemas.openxmlformats.org/officeDocument/2006/relationships/hyperlink" Target="https://www.openstreetmap.org/node/12516784501" TargetMode="External"/><Relationship Id="rId1979" Type="http://schemas.openxmlformats.org/officeDocument/2006/relationships/hyperlink" Target="https://restaurant-shalizar.com/" TargetMode="External"/><Relationship Id="rId1980" Type="http://schemas.openxmlformats.org/officeDocument/2006/relationships/hyperlink" Target="https://www.google.com/maps/search/?api=1&amp;query=43.5891575,1.4445808" TargetMode="External"/><Relationship Id="rId1981" Type="http://schemas.openxmlformats.org/officeDocument/2006/relationships/hyperlink" Target="https://www.openstreetmap.org/node/5268535021" TargetMode="External"/><Relationship Id="rId1982" Type="http://schemas.openxmlformats.org/officeDocument/2006/relationships/hyperlink" Target="https://sham-restaurant-toulouse.eatbu.com/" TargetMode="External"/><Relationship Id="rId1983" Type="http://schemas.openxmlformats.org/officeDocument/2006/relationships/hyperlink" Target="https://www.google.com/maps/search/?api=1&amp;query=43.6192636,1.4569854" TargetMode="External"/><Relationship Id="rId1984" Type="http://schemas.openxmlformats.org/officeDocument/2006/relationships/hyperlink" Target="https://www.openstreetmap.org/node/6612995963" TargetMode="External"/><Relationship Id="rId1985" Type="http://schemas.openxmlformats.org/officeDocument/2006/relationships/hyperlink" Target="https://www.google.com/maps/search/?api=1&amp;query=43.6092977,1.4328045" TargetMode="External"/><Relationship Id="rId1986" Type="http://schemas.openxmlformats.org/officeDocument/2006/relationships/hyperlink" Target="https://www.openstreetmap.org/node/3669185810" TargetMode="External"/><Relationship Id="rId1987" Type="http://schemas.openxmlformats.org/officeDocument/2006/relationships/hyperlink" Target="https://shinyaramen.fr/" TargetMode="External"/><Relationship Id="rId1988" Type="http://schemas.openxmlformats.org/officeDocument/2006/relationships/hyperlink" Target="https://www.google.com/maps/search/?api=1&amp;query=43.6093349,1.4328014" TargetMode="External"/><Relationship Id="rId1989" Type="http://schemas.openxmlformats.org/officeDocument/2006/relationships/hyperlink" Target="https://www.openstreetmap.org/node/3669185803" TargetMode="External"/><Relationship Id="rId1990" Type="http://schemas.openxmlformats.org/officeDocument/2006/relationships/hyperlink" Target="https://www.google.com/maps/search/?api=1&amp;query=43.6367901,1.4442775" TargetMode="External"/><Relationship Id="rId1991" Type="http://schemas.openxmlformats.org/officeDocument/2006/relationships/hyperlink" Target="https://www.openstreetmap.org/node/13142496428" TargetMode="External"/><Relationship Id="rId1992" Type="http://schemas.openxmlformats.org/officeDocument/2006/relationships/hyperlink" Target="https://www.signorizza.com/" TargetMode="External"/><Relationship Id="rId1993" Type="http://schemas.openxmlformats.org/officeDocument/2006/relationships/hyperlink" Target="https://www.google.com/maps/search/?api=1&amp;query=43.6065477,1.3514534" TargetMode="External"/><Relationship Id="rId1994" Type="http://schemas.openxmlformats.org/officeDocument/2006/relationships/hyperlink" Target="https://www.openstreetmap.org/way/1282041678" TargetMode="External"/><Relationship Id="rId1995" Type="http://schemas.openxmlformats.org/officeDocument/2006/relationships/hyperlink" Target="https://www.silexetfourchette.com/" TargetMode="External"/><Relationship Id="rId1996" Type="http://schemas.openxmlformats.org/officeDocument/2006/relationships/hyperlink" Target="https://www.google.com/maps/search/?api=1&amp;query=43.6070798,1.4400517" TargetMode="External"/><Relationship Id="rId1997" Type="http://schemas.openxmlformats.org/officeDocument/2006/relationships/hyperlink" Target="https://www.openstreetmap.org/node/2443447122" TargetMode="External"/><Relationship Id="rId1998" Type="http://schemas.openxmlformats.org/officeDocument/2006/relationships/hyperlink" Target="https://sixta-toulouse.fr/" TargetMode="External"/><Relationship Id="rId1999" Type="http://schemas.openxmlformats.org/officeDocument/2006/relationships/hyperlink" Target="https://www.google.com/maps/search/?api=1&amp;query=43.6090543,1.4483474" TargetMode="External"/><Relationship Id="rId2000" Type="http://schemas.openxmlformats.org/officeDocument/2006/relationships/hyperlink" Target="https://www.openstreetmap.org/node/6983362229" TargetMode="External"/><Relationship Id="rId2001" Type="http://schemas.openxmlformats.org/officeDocument/2006/relationships/hyperlink" Target="https://www.sixty-2.fr/fr" TargetMode="External"/><Relationship Id="rId2002" Type="http://schemas.openxmlformats.org/officeDocument/2006/relationships/hyperlink" Target="https://www.google.com/maps/search/?api=1&amp;query=43.6076429,1.4420947" TargetMode="External"/><Relationship Id="rId2003" Type="http://schemas.openxmlformats.org/officeDocument/2006/relationships/hyperlink" Target="https://www.openstreetmap.org/node/2444345656" TargetMode="External"/><Relationship Id="rId2004" Type="http://schemas.openxmlformats.org/officeDocument/2006/relationships/hyperlink" Target="https://www.google.com/maps/search/?api=1&amp;query=43.655631,1.4322829" TargetMode="External"/><Relationship Id="rId2005" Type="http://schemas.openxmlformats.org/officeDocument/2006/relationships/hyperlink" Target="https://www.openstreetmap.org/node/4418074232" TargetMode="External"/><Relationship Id="rId2006" Type="http://schemas.openxmlformats.org/officeDocument/2006/relationships/hyperlink" Target="https://www.google.com/maps/search/?api=1&amp;query=43.6109052,1.4373572" TargetMode="External"/><Relationship Id="rId2007" Type="http://schemas.openxmlformats.org/officeDocument/2006/relationships/hyperlink" Target="https://www.openstreetmap.org/node/2460246696" TargetMode="External"/><Relationship Id="rId2008" Type="http://schemas.openxmlformats.org/officeDocument/2006/relationships/hyperlink" Target="https://www.google.com/maps/search/?api=1&amp;query=43.5636751,1.3846993" TargetMode="External"/><Relationship Id="rId2009" Type="http://schemas.openxmlformats.org/officeDocument/2006/relationships/hyperlink" Target="https://www.openstreetmap.org/node/1217526716" TargetMode="External"/><Relationship Id="rId2010" Type="http://schemas.openxmlformats.org/officeDocument/2006/relationships/hyperlink" Target="https://www.google.com/maps/search/?api=1&amp;query=43.587937,1.4239526" TargetMode="External"/><Relationship Id="rId2011" Type="http://schemas.openxmlformats.org/officeDocument/2006/relationships/hyperlink" Target="https://www.openstreetmap.org/node/2354967859" TargetMode="External"/><Relationship Id="rId2012" Type="http://schemas.openxmlformats.org/officeDocument/2006/relationships/hyperlink" Target="https://www.solides.fr/" TargetMode="External"/><Relationship Id="rId2013" Type="http://schemas.openxmlformats.org/officeDocument/2006/relationships/hyperlink" Target="https://www.google.com/maps/search/?api=1&amp;query=43.5978962,1.4439122" TargetMode="External"/><Relationship Id="rId2014" Type="http://schemas.openxmlformats.org/officeDocument/2006/relationships/hyperlink" Target="https://www.openstreetmap.org/node/2192288533" TargetMode="External"/><Relationship Id="rId2015" Type="http://schemas.openxmlformats.org/officeDocument/2006/relationships/hyperlink" Target="https://www.google.com/maps/search/?api=1&amp;query=43.5873697,1.4618214" TargetMode="External"/><Relationship Id="rId2016" Type="http://schemas.openxmlformats.org/officeDocument/2006/relationships/hyperlink" Target="https://www.openstreetmap.org/node/4960287961" TargetMode="External"/><Relationship Id="rId2017" Type="http://schemas.openxmlformats.org/officeDocument/2006/relationships/hyperlink" Target="https://www.sorami-burger.fr/" TargetMode="External"/><Relationship Id="rId2018" Type="http://schemas.openxmlformats.org/officeDocument/2006/relationships/hyperlink" Target="https://www.google.com/maps/search/?api=1&amp;query=43.5711115,1.4543965" TargetMode="External"/><Relationship Id="rId2019" Type="http://schemas.openxmlformats.org/officeDocument/2006/relationships/hyperlink" Target="https://www.openstreetmap.org/node/7004696028" TargetMode="External"/><Relationship Id="rId2020" Type="http://schemas.openxmlformats.org/officeDocument/2006/relationships/hyperlink" Target="https://soulkitchen-resto.fr/" TargetMode="External"/><Relationship Id="rId2021" Type="http://schemas.openxmlformats.org/officeDocument/2006/relationships/hyperlink" Target="https://www.google.com/maps/search/?api=1&amp;query=43.6396024,1.4520226" TargetMode="External"/><Relationship Id="rId2022" Type="http://schemas.openxmlformats.org/officeDocument/2006/relationships/hyperlink" Target="https://www.openstreetmap.org/node/12130798926" TargetMode="External"/><Relationship Id="rId2023" Type="http://schemas.openxmlformats.org/officeDocument/2006/relationships/hyperlink" Target="https://www.restaurantsourcetlse.com/" TargetMode="External"/><Relationship Id="rId2024" Type="http://schemas.openxmlformats.org/officeDocument/2006/relationships/hyperlink" Target="https://www.google.com/maps/search/?api=1&amp;query=43.5855811,1.4656078" TargetMode="External"/><Relationship Id="rId2025" Type="http://schemas.openxmlformats.org/officeDocument/2006/relationships/hyperlink" Target="https://www.openstreetmap.org/node/13176658848" TargetMode="External"/><Relationship Id="rId2026" Type="http://schemas.openxmlformats.org/officeDocument/2006/relationships/hyperlink" Target="https://www.google.com/maps/search/?api=1&amp;query=43.6123568,1.4380624" TargetMode="External"/><Relationship Id="rId2027" Type="http://schemas.openxmlformats.org/officeDocument/2006/relationships/hyperlink" Target="https://www.openstreetmap.org/node/12014593045" TargetMode="External"/><Relationship Id="rId2028" Type="http://schemas.openxmlformats.org/officeDocument/2006/relationships/hyperlink" Target="https://www.google.com/maps/search/?api=1&amp;query=43.5983989,1.4430786" TargetMode="External"/><Relationship Id="rId2029" Type="http://schemas.openxmlformats.org/officeDocument/2006/relationships/hyperlink" Target="https://www.openstreetmap.org/node/775315551" TargetMode="External"/><Relationship Id="rId2030" Type="http://schemas.openxmlformats.org/officeDocument/2006/relationships/hyperlink" Target="https://www.google.com/maps/search/?api=1&amp;query=43.6095379,1.432874" TargetMode="External"/><Relationship Id="rId2031" Type="http://schemas.openxmlformats.org/officeDocument/2006/relationships/hyperlink" Target="https://www.openstreetmap.org/node/3669185806" TargetMode="External"/><Relationship Id="rId2032" Type="http://schemas.openxmlformats.org/officeDocument/2006/relationships/hyperlink" Target="https://www.google.com/maps/search/?api=1&amp;query=43.6003615,1.4497196" TargetMode="External"/><Relationship Id="rId2033" Type="http://schemas.openxmlformats.org/officeDocument/2006/relationships/hyperlink" Target="https://www.openstreetmap.org/node/2994928134" TargetMode="External"/><Relationship Id="rId2034" Type="http://schemas.openxmlformats.org/officeDocument/2006/relationships/hyperlink" Target="https://www.google.com/maps/search/?api=1&amp;query=43.609154,1.4510096" TargetMode="External"/><Relationship Id="rId2035" Type="http://schemas.openxmlformats.org/officeDocument/2006/relationships/hyperlink" Target="https://www.openstreetmap.org/node/3340723488" TargetMode="External"/><Relationship Id="rId2036" Type="http://schemas.openxmlformats.org/officeDocument/2006/relationships/hyperlink" Target="https://www.susanoofrance.com/" TargetMode="External"/><Relationship Id="rId2037" Type="http://schemas.openxmlformats.org/officeDocument/2006/relationships/hyperlink" Target="https://www.google.com/maps/search/?api=1&amp;query=43.605281,1.4438241" TargetMode="External"/><Relationship Id="rId2038" Type="http://schemas.openxmlformats.org/officeDocument/2006/relationships/hyperlink" Target="https://www.openstreetmap.org/node/2445153711" TargetMode="External"/><Relationship Id="rId2039" Type="http://schemas.openxmlformats.org/officeDocument/2006/relationships/hyperlink" Target="https://www.google.com/maps/search/?api=1&amp;query=43.5794337,1.4238628" TargetMode="External"/><Relationship Id="rId2040" Type="http://schemas.openxmlformats.org/officeDocument/2006/relationships/hyperlink" Target="https://www.openstreetmap.org/node/12202416597" TargetMode="External"/><Relationship Id="rId2041" Type="http://schemas.openxmlformats.org/officeDocument/2006/relationships/hyperlink" Target="https://sushikarehouse.com/" TargetMode="External"/><Relationship Id="rId2042" Type="http://schemas.openxmlformats.org/officeDocument/2006/relationships/hyperlink" Target="https://www.google.com/maps/search/?api=1&amp;query=43.6055451,1.4588042" TargetMode="External"/><Relationship Id="rId2043" Type="http://schemas.openxmlformats.org/officeDocument/2006/relationships/hyperlink" Target="https://www.openstreetmap.org/node/12568464438" TargetMode="External"/><Relationship Id="rId2044" Type="http://schemas.openxmlformats.org/officeDocument/2006/relationships/hyperlink" Target="https://www.google.com/maps/search/?api=1&amp;query=43.6021644,1.4406279" TargetMode="External"/><Relationship Id="rId2045" Type="http://schemas.openxmlformats.org/officeDocument/2006/relationships/hyperlink" Target="https://www.openstreetmap.org/node/12492359744" TargetMode="External"/><Relationship Id="rId2046" Type="http://schemas.openxmlformats.org/officeDocument/2006/relationships/hyperlink" Target="https://www.google.com/maps/search/?api=1&amp;query=43.6094113,1.4494532" TargetMode="External"/><Relationship Id="rId2047" Type="http://schemas.openxmlformats.org/officeDocument/2006/relationships/hyperlink" Target="https://www.openstreetmap.org/node/2450406701" TargetMode="External"/><Relationship Id="rId2048" Type="http://schemas.openxmlformats.org/officeDocument/2006/relationships/hyperlink" Target="https://www.sushiyaki.net/" TargetMode="External"/><Relationship Id="rId2049" Type="http://schemas.openxmlformats.org/officeDocument/2006/relationships/hyperlink" Target="https://www.google.com/maps/search/?api=1&amp;query=43.6018041,1.4421762" TargetMode="External"/><Relationship Id="rId2050" Type="http://schemas.openxmlformats.org/officeDocument/2006/relationships/hyperlink" Target="https://www.openstreetmap.org/node/772707193" TargetMode="External"/><Relationship Id="rId2051" Type="http://schemas.openxmlformats.org/officeDocument/2006/relationships/hyperlink" Target="http://scomsaj.com/" TargetMode="External"/><Relationship Id="rId2052" Type="http://schemas.openxmlformats.org/officeDocument/2006/relationships/hyperlink" Target="https://www.google.com/maps/search/?api=1&amp;query=43.6046307,1.4410933" TargetMode="External"/><Relationship Id="rId2053" Type="http://schemas.openxmlformats.org/officeDocument/2006/relationships/hyperlink" Target="https://www.openstreetmap.org/node/2457312876" TargetMode="External"/><Relationship Id="rId2054" Type="http://schemas.openxmlformats.org/officeDocument/2006/relationships/hyperlink" Target="http://seoulrestaurantcoreen.com/" TargetMode="External"/><Relationship Id="rId2055" Type="http://schemas.openxmlformats.org/officeDocument/2006/relationships/hyperlink" Target="https://www.google.com/maps/search/?api=1&amp;query=43.5823999,1.4734259" TargetMode="External"/><Relationship Id="rId2056" Type="http://schemas.openxmlformats.org/officeDocument/2006/relationships/hyperlink" Target="https://www.openstreetmap.org/node/6960476543" TargetMode="External"/><Relationship Id="rId2057" Type="http://schemas.openxmlformats.org/officeDocument/2006/relationships/hyperlink" Target="https://tantemargit.eatbu.com/?lang=fr" TargetMode="External"/><Relationship Id="rId2058" Type="http://schemas.openxmlformats.org/officeDocument/2006/relationships/hyperlink" Target="https://www.google.com/maps/search/?api=1&amp;query=43.5970654,1.4476878" TargetMode="External"/><Relationship Id="rId2059" Type="http://schemas.openxmlformats.org/officeDocument/2006/relationships/hyperlink" Target="https://www.openstreetmap.org/node/7419099450" TargetMode="External"/><Relationship Id="rId2060" Type="http://schemas.openxmlformats.org/officeDocument/2006/relationships/hyperlink" Target="https://www.google.com/maps/search/?api=1&amp;query=43.5978289,1.4432082" TargetMode="External"/><Relationship Id="rId2061" Type="http://schemas.openxmlformats.org/officeDocument/2006/relationships/hyperlink" Target="https://www.openstreetmap.org/node/450161346" TargetMode="External"/><Relationship Id="rId2062" Type="http://schemas.openxmlformats.org/officeDocument/2006/relationships/hyperlink" Target="https://www.terra-tolosa.fr/" TargetMode="External"/><Relationship Id="rId2063" Type="http://schemas.openxmlformats.org/officeDocument/2006/relationships/hyperlink" Target="https://www.google.com/maps/search/?api=1&amp;query=43.5984763,1.4471869" TargetMode="External"/><Relationship Id="rId2064" Type="http://schemas.openxmlformats.org/officeDocument/2006/relationships/hyperlink" Target="https://www.openstreetmap.org/node/868727675" TargetMode="External"/><Relationship Id="rId2065" Type="http://schemas.openxmlformats.org/officeDocument/2006/relationships/hyperlink" Target="https://thaithaisushi.wordpress.com/" TargetMode="External"/><Relationship Id="rId2066" Type="http://schemas.openxmlformats.org/officeDocument/2006/relationships/hyperlink" Target="https://www.google.com/maps/search/?api=1&amp;query=43.598783,1.4356228" TargetMode="External"/><Relationship Id="rId2067" Type="http://schemas.openxmlformats.org/officeDocument/2006/relationships/hyperlink" Target="https://www.openstreetmap.org/node/5680253104" TargetMode="External"/><Relationship Id="rId2068" Type="http://schemas.openxmlformats.org/officeDocument/2006/relationships/hyperlink" Target="https://www.google.com/maps/search/?api=1&amp;query=43.5832044,1.4485387" TargetMode="External"/><Relationship Id="rId2069" Type="http://schemas.openxmlformats.org/officeDocument/2006/relationships/hyperlink" Target="https://www.openstreetmap.org/node/3491925548" TargetMode="External"/><Relationship Id="rId2070" Type="http://schemas.openxmlformats.org/officeDocument/2006/relationships/hyperlink" Target="https://fusionbar.fr/" TargetMode="External"/><Relationship Id="rId2071" Type="http://schemas.openxmlformats.org/officeDocument/2006/relationships/hyperlink" Target="https://www.google.com/maps/search/?api=1&amp;query=43.5982493,1.4326724" TargetMode="External"/><Relationship Id="rId2072" Type="http://schemas.openxmlformats.org/officeDocument/2006/relationships/hyperlink" Target="https://www.openstreetmap.org/node/1285015953" TargetMode="External"/><Relationship Id="rId2073" Type="http://schemas.openxmlformats.org/officeDocument/2006/relationships/hyperlink" Target="https://www.google.com/maps/search/?api=1&amp;query=43.6063221,1.4475438" TargetMode="External"/><Relationship Id="rId2074" Type="http://schemas.openxmlformats.org/officeDocument/2006/relationships/hyperlink" Target="https://www.openstreetmap.org/node/2447719424" TargetMode="External"/><Relationship Id="rId2075" Type="http://schemas.openxmlformats.org/officeDocument/2006/relationships/hyperlink" Target="https://www.thekanteen.fr/" TargetMode="External"/><Relationship Id="rId2076" Type="http://schemas.openxmlformats.org/officeDocument/2006/relationships/hyperlink" Target="https://www.google.com/maps/search/?api=1&amp;query=43.607056,1.4476319" TargetMode="External"/><Relationship Id="rId2077" Type="http://schemas.openxmlformats.org/officeDocument/2006/relationships/hyperlink" Target="https://www.openstreetmap.org/node/2450406655" TargetMode="External"/><Relationship Id="rId2078" Type="http://schemas.openxmlformats.org/officeDocument/2006/relationships/hyperlink" Target="https://www.google.com/maps/search/?api=1&amp;query=43.6003982,1.4074844" TargetMode="External"/><Relationship Id="rId2079" Type="http://schemas.openxmlformats.org/officeDocument/2006/relationships/hyperlink" Target="https://www.openstreetmap.org/node/11184457709" TargetMode="External"/><Relationship Id="rId2080" Type="http://schemas.openxmlformats.org/officeDocument/2006/relationships/hyperlink" Target="https://tinospizza.eatbu.com/" TargetMode="External"/><Relationship Id="rId2081" Type="http://schemas.openxmlformats.org/officeDocument/2006/relationships/hyperlink" Target="https://www.google.com/maps/search/?api=1&amp;query=43.5986577,1.4349429" TargetMode="External"/><Relationship Id="rId2082" Type="http://schemas.openxmlformats.org/officeDocument/2006/relationships/hyperlink" Target="https://www.openstreetmap.org/node/6355346673" TargetMode="External"/><Relationship Id="rId2083" Type="http://schemas.openxmlformats.org/officeDocument/2006/relationships/hyperlink" Target="https://www.tokyobento.fr/" TargetMode="External"/><Relationship Id="rId2084" Type="http://schemas.openxmlformats.org/officeDocument/2006/relationships/hyperlink" Target="https://www.google.com/maps/search/?api=1&amp;query=43.6051974,1.4426798" TargetMode="External"/><Relationship Id="rId2085" Type="http://schemas.openxmlformats.org/officeDocument/2006/relationships/hyperlink" Target="https://www.openstreetmap.org/node/2444345546" TargetMode="External"/><Relationship Id="rId2086" Type="http://schemas.openxmlformats.org/officeDocument/2006/relationships/hyperlink" Target="https://www.google.com/maps/search/?api=1&amp;query=43.5653594,1.3782408" TargetMode="External"/><Relationship Id="rId2087" Type="http://schemas.openxmlformats.org/officeDocument/2006/relationships/hyperlink" Target="https://www.openstreetmap.org/way/391780435" TargetMode="External"/><Relationship Id="rId2088" Type="http://schemas.openxmlformats.org/officeDocument/2006/relationships/hyperlink" Target="https://www.tommys-cafe.com/news-tommys-city-diner-toulouse/" TargetMode="External"/><Relationship Id="rId2089" Type="http://schemas.openxmlformats.org/officeDocument/2006/relationships/hyperlink" Target="https://www.google.com/maps/search/?api=1&amp;query=43.6048274,1.449953" TargetMode="External"/><Relationship Id="rId2090" Type="http://schemas.openxmlformats.org/officeDocument/2006/relationships/hyperlink" Target="https://www.openstreetmap.org/node/3493129051" TargetMode="External"/><Relationship Id="rId2091" Type="http://schemas.openxmlformats.org/officeDocument/2006/relationships/hyperlink" Target="https://toroya.fr/" TargetMode="External"/><Relationship Id="rId2092" Type="http://schemas.openxmlformats.org/officeDocument/2006/relationships/hyperlink" Target="https://www.google.com/maps/search/?api=1&amp;query=43.6044918,1.4387122" TargetMode="External"/><Relationship Id="rId2093" Type="http://schemas.openxmlformats.org/officeDocument/2006/relationships/hyperlink" Target="https://www.openstreetmap.org/node/1667118773" TargetMode="External"/><Relationship Id="rId2094" Type="http://schemas.openxmlformats.org/officeDocument/2006/relationships/hyperlink" Target="https://toulousepastaclub.com/" TargetMode="External"/><Relationship Id="rId2095" Type="http://schemas.openxmlformats.org/officeDocument/2006/relationships/hyperlink" Target="https://www.google.com/maps/search/?api=1&amp;query=43.5971901,1.4281085" TargetMode="External"/><Relationship Id="rId2096" Type="http://schemas.openxmlformats.org/officeDocument/2006/relationships/hyperlink" Target="https://www.openstreetmap.org/node/12309699789" TargetMode="External"/><Relationship Id="rId2097" Type="http://schemas.openxmlformats.org/officeDocument/2006/relationships/hyperlink" Target="https://tourneflam.wordpress.com/" TargetMode="External"/><Relationship Id="rId2098" Type="http://schemas.openxmlformats.org/officeDocument/2006/relationships/hyperlink" Target="https://www.google.com/maps/search/?api=1&amp;query=43.5731679,1.3828753" TargetMode="External"/><Relationship Id="rId2099" Type="http://schemas.openxmlformats.org/officeDocument/2006/relationships/hyperlink" Target="https://www.openstreetmap.org/node/774480442" TargetMode="External"/><Relationship Id="rId2100" Type="http://schemas.openxmlformats.org/officeDocument/2006/relationships/hyperlink" Target="https://www.troika-royale.fr/" TargetMode="External"/><Relationship Id="rId2101" Type="http://schemas.openxmlformats.org/officeDocument/2006/relationships/hyperlink" Target="https://www.google.com/maps/search/?api=1&amp;query=43.5987336,1.4440916" TargetMode="External"/><Relationship Id="rId2102" Type="http://schemas.openxmlformats.org/officeDocument/2006/relationships/hyperlink" Target="https://www.openstreetmap.org/node/2471591443" TargetMode="External"/><Relationship Id="rId2103" Type="http://schemas.openxmlformats.org/officeDocument/2006/relationships/hyperlink" Target="https://www.google.com/maps/search/?api=1&amp;query=43.599904,1.4432967" TargetMode="External"/><Relationship Id="rId2104" Type="http://schemas.openxmlformats.org/officeDocument/2006/relationships/hyperlink" Target="https://www.openstreetmap.org/node/12522756785" TargetMode="External"/><Relationship Id="rId2105" Type="http://schemas.openxmlformats.org/officeDocument/2006/relationships/hyperlink" Target="https://www.google.com/maps/search/?api=1&amp;query=43.6023072,1.4137635" TargetMode="External"/><Relationship Id="rId2106" Type="http://schemas.openxmlformats.org/officeDocument/2006/relationships/hyperlink" Target="https://www.openstreetmap.org/node/5407837821" TargetMode="External"/><Relationship Id="rId2107" Type="http://schemas.openxmlformats.org/officeDocument/2006/relationships/hyperlink" Target="https://turbine-bazacle.fr/" TargetMode="External"/><Relationship Id="rId2108" Type="http://schemas.openxmlformats.org/officeDocument/2006/relationships/hyperlink" Target="https://www.google.com/maps/search/?api=1&amp;query=43.6041851,1.4315868" TargetMode="External"/><Relationship Id="rId2109" Type="http://schemas.openxmlformats.org/officeDocument/2006/relationships/hyperlink" Target="https://www.openstreetmap.org/node/12040120093" TargetMode="External"/><Relationship Id="rId2110" Type="http://schemas.openxmlformats.org/officeDocument/2006/relationships/hyperlink" Target="https://restaurant-tetenlair.com/" TargetMode="External"/><Relationship Id="rId2111" Type="http://schemas.openxmlformats.org/officeDocument/2006/relationships/hyperlink" Target="https://www.google.com/maps/search/?api=1&amp;query=43.6170968,1.4361936" TargetMode="External"/><Relationship Id="rId2112" Type="http://schemas.openxmlformats.org/officeDocument/2006/relationships/hyperlink" Target="https://www.openstreetmap.org/node/4644365690" TargetMode="External"/><Relationship Id="rId2113" Type="http://schemas.openxmlformats.org/officeDocument/2006/relationships/hyperlink" Target="https://www.google.com/maps/search/?api=1&amp;query=43.6044968,1.4537257" TargetMode="External"/><Relationship Id="rId2114" Type="http://schemas.openxmlformats.org/officeDocument/2006/relationships/hyperlink" Target="https://www.openstreetmap.org/node/14125520092" TargetMode="External"/><Relationship Id="rId2115" Type="http://schemas.openxmlformats.org/officeDocument/2006/relationships/hyperlink" Target="https://www.unetableadeux.fr/" TargetMode="External"/><Relationship Id="rId2116" Type="http://schemas.openxmlformats.org/officeDocument/2006/relationships/hyperlink" Target="https://www.google.com/maps/search/?api=1&amp;query=43.5968505,1.4469823" TargetMode="External"/><Relationship Id="rId2117" Type="http://schemas.openxmlformats.org/officeDocument/2006/relationships/hyperlink" Target="https://www.openstreetmap.org/node/5075018122" TargetMode="External"/><Relationship Id="rId2118" Type="http://schemas.openxmlformats.org/officeDocument/2006/relationships/hyperlink" Target="https://www.google.com/maps/search/?api=1&amp;query=43.6208436,1.4688792" TargetMode="External"/><Relationship Id="rId2119" Type="http://schemas.openxmlformats.org/officeDocument/2006/relationships/hyperlink" Target="https://www.openstreetmap.org/node/5034682158" TargetMode="External"/><Relationship Id="rId2120" Type="http://schemas.openxmlformats.org/officeDocument/2006/relationships/hyperlink" Target="https://www.google.com/maps/search/?api=1&amp;query=43.5633371,1.4646437" TargetMode="External"/><Relationship Id="rId2121" Type="http://schemas.openxmlformats.org/officeDocument/2006/relationships/hyperlink" Target="https://www.openstreetmap.org/way/23905619" TargetMode="External"/><Relationship Id="rId2122" Type="http://schemas.openxmlformats.org/officeDocument/2006/relationships/hyperlink" Target="https://www.va-fanciullo.fr/fr/" TargetMode="External"/><Relationship Id="rId2123" Type="http://schemas.openxmlformats.org/officeDocument/2006/relationships/hyperlink" Target="https://www.google.com/maps/search/?api=1&amp;query=43.6063892,1.455579" TargetMode="External"/><Relationship Id="rId2124" Type="http://schemas.openxmlformats.org/officeDocument/2006/relationships/hyperlink" Target="https://www.openstreetmap.org/node/13484702262" TargetMode="External"/><Relationship Id="rId2125" Type="http://schemas.openxmlformats.org/officeDocument/2006/relationships/hyperlink" Target="https://www.leclandesmamma.com/valentina-toulouse/" TargetMode="External"/><Relationship Id="rId2126" Type="http://schemas.openxmlformats.org/officeDocument/2006/relationships/hyperlink" Target="https://www.google.com/maps/search/?api=1&amp;query=43.6017352,1.440893" TargetMode="External"/><Relationship Id="rId2127" Type="http://schemas.openxmlformats.org/officeDocument/2006/relationships/hyperlink" Target="https://www.openstreetmap.org/node/772723345" TargetMode="External"/><Relationship Id="rId2128" Type="http://schemas.openxmlformats.org/officeDocument/2006/relationships/hyperlink" Target="https://valentinosmashhouse.fr/" TargetMode="External"/><Relationship Id="rId2129" Type="http://schemas.openxmlformats.org/officeDocument/2006/relationships/hyperlink" Target="https://www.google.com/maps/search/?api=1&amp;query=43.6030054,1.4363556" TargetMode="External"/><Relationship Id="rId2130" Type="http://schemas.openxmlformats.org/officeDocument/2006/relationships/hyperlink" Target="https://www.openstreetmap.org/node/1667118809" TargetMode="External"/><Relationship Id="rId2131" Type="http://schemas.openxmlformats.org/officeDocument/2006/relationships/hyperlink" Target="https://www.google.com/maps/search/?api=1&amp;query=43.6062767,1.4424173" TargetMode="External"/><Relationship Id="rId2132" Type="http://schemas.openxmlformats.org/officeDocument/2006/relationships/hyperlink" Target="https://www.openstreetmap.org/node/2444345734" TargetMode="External"/><Relationship Id="rId2133" Type="http://schemas.openxmlformats.org/officeDocument/2006/relationships/hyperlink" Target="https://m.facebook.com/VasinicoToulouse/?locale=fr_FR&amp;_rdr" TargetMode="External"/><Relationship Id="rId2134" Type="http://schemas.openxmlformats.org/officeDocument/2006/relationships/hyperlink" Target="https://www.google.com/maps/search/?api=1&amp;query=43.6079754,1.3555879" TargetMode="External"/><Relationship Id="rId2135" Type="http://schemas.openxmlformats.org/officeDocument/2006/relationships/hyperlink" Target="https://www.openstreetmap.org/way/1367071924" TargetMode="External"/><Relationship Id="rId2136" Type="http://schemas.openxmlformats.org/officeDocument/2006/relationships/hyperlink" Target="https://www.google.com/maps/search/?api=1&amp;query=43.5868304,1.4634429" TargetMode="External"/><Relationship Id="rId2137" Type="http://schemas.openxmlformats.org/officeDocument/2006/relationships/hyperlink" Target="https://www.openstreetmap.org/node/13388749380" TargetMode="External"/><Relationship Id="rId2138" Type="http://schemas.openxmlformats.org/officeDocument/2006/relationships/hyperlink" Target="https://www.restaurant-ventsdest.fr/" TargetMode="External"/><Relationship Id="rId2139" Type="http://schemas.openxmlformats.org/officeDocument/2006/relationships/hyperlink" Target="https://www.google.com/maps/search/?api=1&amp;query=43.6044103,1.452255" TargetMode="External"/><Relationship Id="rId2140" Type="http://schemas.openxmlformats.org/officeDocument/2006/relationships/hyperlink" Target="https://www.openstreetmap.org/node/3569221534" TargetMode="External"/><Relationship Id="rId2141" Type="http://schemas.openxmlformats.org/officeDocument/2006/relationships/hyperlink" Target="https://www.vesubio.fr/" TargetMode="External"/><Relationship Id="rId2142" Type="http://schemas.openxmlformats.org/officeDocument/2006/relationships/hyperlink" Target="https://www.google.com/maps/search/?api=1&amp;query=43.6049103,1.4562484" TargetMode="External"/><Relationship Id="rId2143" Type="http://schemas.openxmlformats.org/officeDocument/2006/relationships/hyperlink" Target="https://www.openstreetmap.org/node/10083341955" TargetMode="External"/><Relationship Id="rId2144" Type="http://schemas.openxmlformats.org/officeDocument/2006/relationships/hyperlink" Target="https://restaurant-viet-an.com/" TargetMode="External"/><Relationship Id="rId2145" Type="http://schemas.openxmlformats.org/officeDocument/2006/relationships/hyperlink" Target="https://www.google.com/maps/search/?api=1&amp;query=43.5665727,1.491703" TargetMode="External"/><Relationship Id="rId2146" Type="http://schemas.openxmlformats.org/officeDocument/2006/relationships/hyperlink" Target="https://www.openstreetmap.org/way/333514413" TargetMode="External"/><Relationship Id="rId2147" Type="http://schemas.openxmlformats.org/officeDocument/2006/relationships/hyperlink" Target="https://www.google.com/maps/search/?api=1&amp;query=43.5930315,1.4032305" TargetMode="External"/><Relationship Id="rId2148" Type="http://schemas.openxmlformats.org/officeDocument/2006/relationships/hyperlink" Target="https://www.openstreetmap.org/node/2670561095" TargetMode="External"/><Relationship Id="rId2149" Type="http://schemas.openxmlformats.org/officeDocument/2006/relationships/hyperlink" Target="https://www.google.com/maps/search/?api=1&amp;query=43.6037728,1.4444721" TargetMode="External"/><Relationship Id="rId2150" Type="http://schemas.openxmlformats.org/officeDocument/2006/relationships/hyperlink" Target="https://www.openstreetmap.org/node/2458144508" TargetMode="External"/><Relationship Id="rId2151" Type="http://schemas.openxmlformats.org/officeDocument/2006/relationships/hyperlink" Target="https://pizzeria-vitano.fr/" TargetMode="External"/><Relationship Id="rId2152" Type="http://schemas.openxmlformats.org/officeDocument/2006/relationships/hyperlink" Target="https://www.google.com/maps/search/?api=1&amp;query=43.5897681,1.4323363" TargetMode="External"/><Relationship Id="rId2153" Type="http://schemas.openxmlformats.org/officeDocument/2006/relationships/hyperlink" Target="https://www.openstreetmap.org/node/11047173205" TargetMode="External"/><Relationship Id="rId2154" Type="http://schemas.openxmlformats.org/officeDocument/2006/relationships/hyperlink" Target="https://vivants-toulouse.com/" TargetMode="External"/><Relationship Id="rId2155" Type="http://schemas.openxmlformats.org/officeDocument/2006/relationships/hyperlink" Target="https://www.google.com/maps/search/?api=1&amp;query=43.6062746,1.4558049" TargetMode="External"/><Relationship Id="rId2156" Type="http://schemas.openxmlformats.org/officeDocument/2006/relationships/hyperlink" Target="https://www.openstreetmap.org/node/630662469" TargetMode="External"/><Relationship Id="rId2157" Type="http://schemas.openxmlformats.org/officeDocument/2006/relationships/hyperlink" Target="https://www.google.com/maps/search/?api=1&amp;query=43.5973231,1.4482123" TargetMode="External"/><Relationship Id="rId2158" Type="http://schemas.openxmlformats.org/officeDocument/2006/relationships/hyperlink" Target="https://www.openstreetmap.org/node/9099335669" TargetMode="External"/><Relationship Id="rId2159" Type="http://schemas.openxmlformats.org/officeDocument/2006/relationships/hyperlink" Target="https://www.volfoni.fr/nos-restaurants/volfoni-toulouse" TargetMode="External"/><Relationship Id="rId2160" Type="http://schemas.openxmlformats.org/officeDocument/2006/relationships/hyperlink" Target="https://www.google.com/maps/search/?api=1&amp;query=43.605201,1.4469531" TargetMode="External"/><Relationship Id="rId2161" Type="http://schemas.openxmlformats.org/officeDocument/2006/relationships/hyperlink" Target="https://www.openstreetmap.org/node/918228481" TargetMode="External"/><Relationship Id="rId2162" Type="http://schemas.openxmlformats.org/officeDocument/2006/relationships/hyperlink" Target="https://wagyuya.fr/" TargetMode="External"/><Relationship Id="rId2163" Type="http://schemas.openxmlformats.org/officeDocument/2006/relationships/hyperlink" Target="https://www.google.com/maps/search/?api=1&amp;query=43.5989126,1.4415961" TargetMode="External"/><Relationship Id="rId2164" Type="http://schemas.openxmlformats.org/officeDocument/2006/relationships/hyperlink" Target="https://www.openstreetmap.org/node/2434942590" TargetMode="External"/><Relationship Id="rId2165" Type="http://schemas.openxmlformats.org/officeDocument/2006/relationships/hyperlink" Target="https://www.google.com/maps/search/?api=1&amp;query=43.5906264,1.445179" TargetMode="External"/><Relationship Id="rId2166" Type="http://schemas.openxmlformats.org/officeDocument/2006/relationships/hyperlink" Target="https://www.openstreetmap.org/node/2280985825" TargetMode="External"/><Relationship Id="rId2167" Type="http://schemas.openxmlformats.org/officeDocument/2006/relationships/hyperlink" Target="https://www.google.com/maps/search/?api=1&amp;query=43.6143812,1.4639141" TargetMode="External"/><Relationship Id="rId2168" Type="http://schemas.openxmlformats.org/officeDocument/2006/relationships/hyperlink" Target="https://www.openstreetmap.org/node/2826970328" TargetMode="External"/><Relationship Id="rId2169" Type="http://schemas.openxmlformats.org/officeDocument/2006/relationships/hyperlink" Target="https://www.google.com/maps/search/?api=1&amp;query=43.5820074,1.3878181" TargetMode="External"/><Relationship Id="rId2170" Type="http://schemas.openxmlformats.org/officeDocument/2006/relationships/hyperlink" Target="https://www.openstreetmap.org/node/1811225725" TargetMode="External"/><Relationship Id="rId2171" Type="http://schemas.openxmlformats.org/officeDocument/2006/relationships/hyperlink" Target="https://www.google.com/maps/search/?api=1&amp;query=43.6573589,1.4321177" TargetMode="External"/><Relationship Id="rId2172" Type="http://schemas.openxmlformats.org/officeDocument/2006/relationships/hyperlink" Target="https://www.openstreetmap.org/node/4418074239" TargetMode="External"/><Relationship Id="rId2173" Type="http://schemas.openxmlformats.org/officeDocument/2006/relationships/hyperlink" Target="https://www.yazcantine.com/" TargetMode="External"/><Relationship Id="rId2174" Type="http://schemas.openxmlformats.org/officeDocument/2006/relationships/hyperlink" Target="https://www.google.com/maps/search/?api=1&amp;query=43.608728,1.451319" TargetMode="External"/><Relationship Id="rId2175" Type="http://schemas.openxmlformats.org/officeDocument/2006/relationships/hyperlink" Target="https://www.openstreetmap.org/node/12509177883" TargetMode="External"/><Relationship Id="rId2176" Type="http://schemas.openxmlformats.org/officeDocument/2006/relationships/hyperlink" Target="http://www.restoyeti.com/" TargetMode="External"/><Relationship Id="rId2177" Type="http://schemas.openxmlformats.org/officeDocument/2006/relationships/hyperlink" Target="https://www.google.com/maps/search/?api=1&amp;query=43.6044219,1.4526771" TargetMode="External"/><Relationship Id="rId2178" Type="http://schemas.openxmlformats.org/officeDocument/2006/relationships/hyperlink" Target="https://www.openstreetmap.org/node/3493129046" TargetMode="External"/><Relationship Id="rId2179" Type="http://schemas.openxmlformats.org/officeDocument/2006/relationships/hyperlink" Target="https://www.yokosushi.fr/" TargetMode="External"/><Relationship Id="rId2180" Type="http://schemas.openxmlformats.org/officeDocument/2006/relationships/hyperlink" Target="https://www.google.com/maps/search/?api=1&amp;query=43.610621,1.4346774" TargetMode="External"/><Relationship Id="rId2181" Type="http://schemas.openxmlformats.org/officeDocument/2006/relationships/hyperlink" Target="https://www.openstreetmap.org/node/2525414103" TargetMode="External"/><Relationship Id="rId2182" Type="http://schemas.openxmlformats.org/officeDocument/2006/relationships/hyperlink" Target="https://www.yokosushi.fr/" TargetMode="External"/><Relationship Id="rId2183" Type="http://schemas.openxmlformats.org/officeDocument/2006/relationships/hyperlink" Target="https://www.google.com/maps/search/?api=1&amp;query=43.6056261,1.4511023" TargetMode="External"/><Relationship Id="rId2184" Type="http://schemas.openxmlformats.org/officeDocument/2006/relationships/hyperlink" Target="https://www.openstreetmap.org/node/631754994" TargetMode="External"/><Relationship Id="rId2185" Type="http://schemas.openxmlformats.org/officeDocument/2006/relationships/hyperlink" Target="http://www.sushiyoshi.fr/" TargetMode="External"/><Relationship Id="rId2186" Type="http://schemas.openxmlformats.org/officeDocument/2006/relationships/hyperlink" Target="https://www.google.com/maps/search/?api=1&amp;query=43.6006276,1.4455006" TargetMode="External"/><Relationship Id="rId2187" Type="http://schemas.openxmlformats.org/officeDocument/2006/relationships/hyperlink" Target="https://www.openstreetmap.org/node/2459885370" TargetMode="External"/><Relationship Id="rId2188" Type="http://schemas.openxmlformats.org/officeDocument/2006/relationships/hyperlink" Target="https://youco-toulouse.eatbu.com/" TargetMode="External"/><Relationship Id="rId2189" Type="http://schemas.openxmlformats.org/officeDocument/2006/relationships/hyperlink" Target="https://www.google.com/maps/search/?api=1&amp;query=43.6114856,1.435849" TargetMode="External"/><Relationship Id="rId2190" Type="http://schemas.openxmlformats.org/officeDocument/2006/relationships/hyperlink" Target="https://www.openstreetmap.org/node/10830534023" TargetMode="External"/><Relationship Id="rId2191" Type="http://schemas.openxmlformats.org/officeDocument/2006/relationships/hyperlink" Target="https://www.google.com/maps/search/?api=1&amp;query=43.597514,1.4283649" TargetMode="External"/><Relationship Id="rId2192" Type="http://schemas.openxmlformats.org/officeDocument/2006/relationships/hyperlink" Target="https://www.openstreetmap.org/node/13369327145" TargetMode="External"/><Relationship Id="rId2193" Type="http://schemas.openxmlformats.org/officeDocument/2006/relationships/hyperlink" Target="https://yujoramen.com/" TargetMode="External"/><Relationship Id="rId2194" Type="http://schemas.openxmlformats.org/officeDocument/2006/relationships/hyperlink" Target="https://www.google.com/maps/search/?api=1&amp;query=43.5988934,1.4329397" TargetMode="External"/><Relationship Id="rId2195" Type="http://schemas.openxmlformats.org/officeDocument/2006/relationships/hyperlink" Target="https://www.openstreetmap.org/node/1873090630" TargetMode="External"/><Relationship Id="rId2196" Type="http://schemas.openxmlformats.org/officeDocument/2006/relationships/hyperlink" Target="https://yukikorestaurant.wixsite.com/yukiko" TargetMode="External"/><Relationship Id="rId2197" Type="http://schemas.openxmlformats.org/officeDocument/2006/relationships/hyperlink" Target="https://www.google.com/maps/search/?api=1&amp;query=43.5990251,1.4490218" TargetMode="External"/><Relationship Id="rId2198" Type="http://schemas.openxmlformats.org/officeDocument/2006/relationships/hyperlink" Target="https://www.openstreetmap.org/node/7419099442" TargetMode="External"/><Relationship Id="rId2199" Type="http://schemas.openxmlformats.org/officeDocument/2006/relationships/hyperlink" Target="https://www.yujoramen.com/" TargetMode="External"/><Relationship Id="rId2200" Type="http://schemas.openxmlformats.org/officeDocument/2006/relationships/hyperlink" Target="https://www.google.com/maps/search/?api=1&amp;query=43.6037058,1.4423289" TargetMode="External"/><Relationship Id="rId2201" Type="http://schemas.openxmlformats.org/officeDocument/2006/relationships/hyperlink" Target="https://www.openstreetmap.org/node/2460954162" TargetMode="External"/><Relationship Id="rId2202" Type="http://schemas.openxmlformats.org/officeDocument/2006/relationships/hyperlink" Target="https://www.zen-sai.com/" TargetMode="External"/><Relationship Id="rId2203" Type="http://schemas.openxmlformats.org/officeDocument/2006/relationships/hyperlink" Target="https://www.google.com/maps/search/?api=1&amp;query=43.6017724,1.4402361" TargetMode="External"/><Relationship Id="rId2204" Type="http://schemas.openxmlformats.org/officeDocument/2006/relationships/hyperlink" Target="https://www.openstreetmap.org/node/2464788593" TargetMode="External"/><Relationship Id="rId2205" Type="http://schemas.openxmlformats.org/officeDocument/2006/relationships/hyperlink" Target="https://www.zenazia.com/" TargetMode="External"/><Relationship Id="rId2206" Type="http://schemas.openxmlformats.org/officeDocument/2006/relationships/hyperlink" Target="https://www.google.com/maps/search/?api=1&amp;query=43.6060697,1.4833283" TargetMode="External"/><Relationship Id="rId2207" Type="http://schemas.openxmlformats.org/officeDocument/2006/relationships/hyperlink" Target="https://www.openstreetmap.org/node/6434263646" TargetMode="External"/><Relationship Id="rId2208" Type="http://schemas.openxmlformats.org/officeDocument/2006/relationships/hyperlink" Target="https://traverseesafricaines.com/annuaires/liste-artistes/gastronomes/item/zokwezo.html" TargetMode="External"/><Relationship Id="rId2209" Type="http://schemas.openxmlformats.org/officeDocument/2006/relationships/hyperlink" Target="https://www.google.com/maps/search/?api=1&amp;query=43.581714,1.4274502" TargetMode="External"/><Relationship Id="rId2210" Type="http://schemas.openxmlformats.org/officeDocument/2006/relationships/hyperlink" Target="https://www.openstreetmap.org/node/4924004835" TargetMode="External"/><Relationship Id="rId2211" Type="http://schemas.openxmlformats.org/officeDocument/2006/relationships/hyperlink" Target="https://www.google.com/maps/search/?api=1&amp;query=43.6075288,1.4540722" TargetMode="External"/><Relationship Id="rId2212" Type="http://schemas.openxmlformats.org/officeDocument/2006/relationships/hyperlink" Target="https://www.openstreetmap.org/node/6985673286" TargetMode="External"/><Relationship Id="rId2213" Type="http://schemas.openxmlformats.org/officeDocument/2006/relationships/hyperlink" Target="https://www.google.com/maps/search/?api=1&amp;query=43.5990472,1.4441241" TargetMode="External"/><Relationship Id="rId2214" Type="http://schemas.openxmlformats.org/officeDocument/2006/relationships/hyperlink" Target="https://www.openstreetmap.org/node/7369021465" TargetMode="External"/><Relationship Id="rId2215" Type="http://schemas.openxmlformats.org/officeDocument/2006/relationships/hyperlink" Target="https://www.google.com/maps/search/?api=1&amp;query=43.5946975,1.4431769" TargetMode="External"/><Relationship Id="rId2216" Type="http://schemas.openxmlformats.org/officeDocument/2006/relationships/hyperlink" Target="https://www.openstreetmap.org/node/894566512" TargetMode="External"/><Relationship Id="rId2217" Type="http://schemas.openxmlformats.org/officeDocument/2006/relationships/hyperlink" Target="https://www.google.com/maps/search/?api=1&amp;query=43.5909017,1.4450639" TargetMode="External"/><Relationship Id="rId2218" Type="http://schemas.openxmlformats.org/officeDocument/2006/relationships/hyperlink" Target="https://www.openstreetmap.org/node/13073876520" TargetMode="External"/><Relationship Id="rId2219" Type="http://schemas.openxmlformats.org/officeDocument/2006/relationships/hyperlink" Target="https://obali.fr/" TargetMode="External"/><Relationship Id="rId2220" Type="http://schemas.openxmlformats.org/officeDocument/2006/relationships/hyperlink" Target="https://www.google.com/maps/search/?api=1&amp;query=43.6066402,1.4523674" TargetMode="External"/><Relationship Id="rId2221" Type="http://schemas.openxmlformats.org/officeDocument/2006/relationships/hyperlink" Target="https://www.openstreetmap.org/node/9988440195" TargetMode="External"/><Relationship Id="rId2222" Type="http://schemas.openxmlformats.org/officeDocument/2006/relationships/hyperlink" Target="https://www.google.com/maps/search/?api=1&amp;query=43.5909214,1.4177144" TargetMode="External"/><Relationship Id="rId2223" Type="http://schemas.openxmlformats.org/officeDocument/2006/relationships/hyperlink" Target="https://www.openstreetmap.org/way/1486123204" TargetMode="External"/><Relationship Id="rId2224" Type="http://schemas.openxmlformats.org/officeDocument/2006/relationships/hyperlink" Target="https://www.google.com/maps/search/?api=1&amp;query=43.639776,1.4706495" TargetMode="External"/><Relationship Id="rId2225" Type="http://schemas.openxmlformats.org/officeDocument/2006/relationships/hyperlink" Target="https://www.openstreetmap.org/way/328060306" TargetMode="External"/><Relationship Id="rId2226" Type="http://schemas.openxmlformats.org/officeDocument/2006/relationships/hyperlink" Target="https://www.ocuizin.fr/" TargetMode="External"/><Relationship Id="rId2227" Type="http://schemas.openxmlformats.org/officeDocument/2006/relationships/hyperlink" Target="https://www.google.com/maps/search/?api=1&amp;query=43.5694244,1.5035425" TargetMode="External"/><Relationship Id="rId2228" Type="http://schemas.openxmlformats.org/officeDocument/2006/relationships/hyperlink" Target="https://www.openstreetmap.org/way/74574409" TargetMode="External"/><Relationship Id="rId2229" Type="http://schemas.openxmlformats.org/officeDocument/2006/relationships/hyperlink" Target="https://www.ojardingourmand.com/" TargetMode="External"/><Relationship Id="rId2230" Type="http://schemas.openxmlformats.org/officeDocument/2006/relationships/hyperlink" Target="https://www.google.com/maps/search/?api=1&amp;query=43.6317019,1.4317722" TargetMode="External"/><Relationship Id="rId2231" Type="http://schemas.openxmlformats.org/officeDocument/2006/relationships/hyperlink" Target="https://www.openstreetmap.org/way/76330585" TargetMode="External"/><Relationship Id="rId2232" Type="http://schemas.openxmlformats.org/officeDocument/2006/relationships/hyperlink" Target="https://brasserie-o-mana.fr/" TargetMode="External"/><Relationship Id="rId2233" Type="http://schemas.openxmlformats.org/officeDocument/2006/relationships/hyperlink" Target="https://www.google.com/maps/search/?api=1&amp;query=43.6113593,1.4535632" TargetMode="External"/><Relationship Id="rId2234" Type="http://schemas.openxmlformats.org/officeDocument/2006/relationships/hyperlink" Target="https://www.openstreetmap.org/way/1203506887" TargetMode="External"/><Relationship Id="rId2235" Type="http://schemas.openxmlformats.org/officeDocument/2006/relationships/hyperlink" Target="https://www.google.com/maps/search/?api=1&amp;query=43.6093902,1.4513891" TargetMode="External"/><Relationship Id="rId2236" Type="http://schemas.openxmlformats.org/officeDocument/2006/relationships/hyperlink" Target="https://www.openstreetmap.org/node/8902919672" TargetMode="External"/><Relationship Id="rId2237" Type="http://schemas.openxmlformats.org/officeDocument/2006/relationships/hyperlink" Target="https://www.google.com/maps/search/?api=1&amp;query=43.5978759,1.4450393" TargetMode="External"/><Relationship Id="rId2238" Type="http://schemas.openxmlformats.org/officeDocument/2006/relationships/hyperlink" Target="https://www.openstreetmap.org/node/12020008239" TargetMode="External"/><Relationship Id="rId2239" Type="http://schemas.openxmlformats.org/officeDocument/2006/relationships/hyperlink" Target="https://osaveursdorees.eatbu.com/" TargetMode="External"/><Relationship Id="rId2240" Type="http://schemas.openxmlformats.org/officeDocument/2006/relationships/hyperlink" Target="https://www.google.com/maps/search/?api=1&amp;query=43.5970415,1.483174" TargetMode="External"/><Relationship Id="rId2241" Type="http://schemas.openxmlformats.org/officeDocument/2006/relationships/hyperlink" Target="https://www.openstreetmap.org/node/7038448079" TargetMode="External"/><Relationship Id="rId2242" Type="http://schemas.openxmlformats.org/officeDocument/2006/relationships/hyperlink" Target="https://www.ozenasianfood.fr/" TargetMode="External"/><Relationship Id="rId2243" Type="http://schemas.openxmlformats.org/officeDocument/2006/relationships/hyperlink" Target="https://www.google.com/maps/search/?api=1&amp;query=43.6276423,1.4340497" TargetMode="External"/><Relationship Id="rId2244" Type="http://schemas.openxmlformats.org/officeDocument/2006/relationships/hyperlink" Target="https://www.openstreetmap.org/node/5666157310" TargetMode="External"/><Relationship Id="rId2245" Type="http://schemas.openxmlformats.org/officeDocument/2006/relationships/hyperlink" Target="https://www.asian-orchidee.fr/" TargetMode="External"/><Relationship Id="rId2246" Type="http://schemas.openxmlformats.org/officeDocument/2006/relationships/hyperlink" Target="https://www.google.com/maps/search/?api=1&amp;query=43.6138683,1.3376383" TargetMode="External"/><Relationship Id="rId2247" Type="http://schemas.openxmlformats.org/officeDocument/2006/relationships/hyperlink" Target="https://www.openstreetmap.org/node/6363237006" TargetMode="External"/><Relationship Id="rId2248" Type="http://schemas.openxmlformats.org/officeDocument/2006/relationships/hyperlink" Target="https://www.google.com/maps/search/?api=1&amp;query=43.6105719,1.3334113" TargetMode="External"/><Relationship Id="rId2249" Type="http://schemas.openxmlformats.org/officeDocument/2006/relationships/hyperlink" Target="https://www.openstreetmap.org/node/889358382" TargetMode="External"/><Relationship Id="rId2250" Type="http://schemas.openxmlformats.org/officeDocument/2006/relationships/hyperlink" Target="https://www.google.com/maps/search/?api=1&amp;query=43.605589,1.3359018" TargetMode="External"/><Relationship Id="rId2251" Type="http://schemas.openxmlformats.org/officeDocument/2006/relationships/hyperlink" Target="https://www.openstreetmap.org/node/5341539490" TargetMode="External"/><Relationship Id="rId2252" Type="http://schemas.openxmlformats.org/officeDocument/2006/relationships/hyperlink" Target="https://colomiers.veocinemas.fr/bistrot-veo/" TargetMode="External"/><Relationship Id="rId2253" Type="http://schemas.openxmlformats.org/officeDocument/2006/relationships/hyperlink" Target="https://www.google.com/maps/search/?api=1&amp;query=43.6090973,1.3308274" TargetMode="External"/><Relationship Id="rId2254" Type="http://schemas.openxmlformats.org/officeDocument/2006/relationships/hyperlink" Target="https://www.openstreetmap.org/node/12829941339" TargetMode="External"/><Relationship Id="rId2255" Type="http://schemas.openxmlformats.org/officeDocument/2006/relationships/hyperlink" Target="https://www.google.com/maps/search/?api=1&amp;query=43.6013846,1.3535009" TargetMode="External"/><Relationship Id="rId2256" Type="http://schemas.openxmlformats.org/officeDocument/2006/relationships/hyperlink" Target="https://www.openstreetmap.org/node/886603040" TargetMode="External"/><Relationship Id="rId2257" Type="http://schemas.openxmlformats.org/officeDocument/2006/relationships/hyperlink" Target="https://www.google.com/maps/search/?api=1&amp;query=43.6244319,1.3472812" TargetMode="External"/><Relationship Id="rId2258" Type="http://schemas.openxmlformats.org/officeDocument/2006/relationships/hyperlink" Target="https://www.openstreetmap.org/way/75008829" TargetMode="External"/><Relationship Id="rId2259" Type="http://schemas.openxmlformats.org/officeDocument/2006/relationships/hyperlink" Target="https://www.google.com/maps/search/?api=1&amp;query=43.6305499,1.3495306" TargetMode="External"/><Relationship Id="rId2260" Type="http://schemas.openxmlformats.org/officeDocument/2006/relationships/hyperlink" Target="https://www.openstreetmap.org/node/2126678956" TargetMode="External"/><Relationship Id="rId2261" Type="http://schemas.openxmlformats.org/officeDocument/2006/relationships/hyperlink" Target="https://www.google.com/maps/search/?api=1&amp;query=43.6104567,1.3341802" TargetMode="External"/><Relationship Id="rId2262" Type="http://schemas.openxmlformats.org/officeDocument/2006/relationships/hyperlink" Target="https://www.openstreetmap.org/node/1322313128" TargetMode="External"/><Relationship Id="rId2263" Type="http://schemas.openxmlformats.org/officeDocument/2006/relationships/hyperlink" Target="https://www.google.com/maps/search/?api=1&amp;query=43.6158157,1.3428835" TargetMode="External"/><Relationship Id="rId2264" Type="http://schemas.openxmlformats.org/officeDocument/2006/relationships/hyperlink" Target="https://www.openstreetmap.org/way/598084650" TargetMode="External"/><Relationship Id="rId2265" Type="http://schemas.openxmlformats.org/officeDocument/2006/relationships/hyperlink" Target="https://www.google.com/maps/search/?api=1&amp;query=43.6095372,1.3303013" TargetMode="External"/><Relationship Id="rId2266" Type="http://schemas.openxmlformats.org/officeDocument/2006/relationships/hyperlink" Target="https://www.openstreetmap.org/node/889227387" TargetMode="External"/><Relationship Id="rId2267" Type="http://schemas.openxmlformats.org/officeDocument/2006/relationships/hyperlink" Target="http://friendsauberge.com/friendlyauberge2.html" TargetMode="External"/><Relationship Id="rId2268" Type="http://schemas.openxmlformats.org/officeDocument/2006/relationships/hyperlink" Target="https://www.google.com/maps/search/?api=1&amp;query=43.6122888,1.3402269" TargetMode="External"/><Relationship Id="rId2269" Type="http://schemas.openxmlformats.org/officeDocument/2006/relationships/hyperlink" Target="https://www.openstreetmap.org/node/13167765566" TargetMode="External"/><Relationship Id="rId2270" Type="http://schemas.openxmlformats.org/officeDocument/2006/relationships/hyperlink" Target="http://www.gindalle.fr/" TargetMode="External"/><Relationship Id="rId2271" Type="http://schemas.openxmlformats.org/officeDocument/2006/relationships/hyperlink" Target="https://www.google.com/maps/search/?api=1&amp;query=43.6076973,1.3368536" TargetMode="External"/><Relationship Id="rId2272" Type="http://schemas.openxmlformats.org/officeDocument/2006/relationships/hyperlink" Target="https://www.openstreetmap.org/node/5243307521" TargetMode="External"/><Relationship Id="rId2273" Type="http://schemas.openxmlformats.org/officeDocument/2006/relationships/hyperlink" Target="https://www.google.com/maps/search/?api=1&amp;query=43.6105548,1.333489" TargetMode="External"/><Relationship Id="rId2274" Type="http://schemas.openxmlformats.org/officeDocument/2006/relationships/hyperlink" Target="https://www.openstreetmap.org/node/11747983799" TargetMode="External"/><Relationship Id="rId2275" Type="http://schemas.openxmlformats.org/officeDocument/2006/relationships/hyperlink" Target="https://www.google.com/maps/search/?api=1&amp;query=43.6121341,1.3291535" TargetMode="External"/><Relationship Id="rId2276" Type="http://schemas.openxmlformats.org/officeDocument/2006/relationships/hyperlink" Target="https://www.openstreetmap.org/node/12108664076" TargetMode="External"/><Relationship Id="rId2277" Type="http://schemas.openxmlformats.org/officeDocument/2006/relationships/hyperlink" Target="https://www.brasserie-du-carre-vert.fr/" TargetMode="External"/><Relationship Id="rId2278" Type="http://schemas.openxmlformats.org/officeDocument/2006/relationships/hyperlink" Target="https://www.google.com/maps/search/?api=1&amp;query=43.6110904,1.3057014" TargetMode="External"/><Relationship Id="rId2279" Type="http://schemas.openxmlformats.org/officeDocument/2006/relationships/hyperlink" Target="https://www.openstreetmap.org/node/4255203480" TargetMode="External"/><Relationship Id="rId2280" Type="http://schemas.openxmlformats.org/officeDocument/2006/relationships/hyperlink" Target="https://www.google.com/maps/search/?api=1&amp;query=43.6188226,1.343776" TargetMode="External"/><Relationship Id="rId2281" Type="http://schemas.openxmlformats.org/officeDocument/2006/relationships/hyperlink" Target="https://www.openstreetmap.org/node/5693002122" TargetMode="External"/><Relationship Id="rId2282" Type="http://schemas.openxmlformats.org/officeDocument/2006/relationships/hyperlink" Target="https://www.canardsurletoit.com/" TargetMode="External"/><Relationship Id="rId2283" Type="http://schemas.openxmlformats.org/officeDocument/2006/relationships/hyperlink" Target="https://www.google.com/maps/search/?api=1&amp;query=43.6025493,1.3014896" TargetMode="External"/><Relationship Id="rId2284" Type="http://schemas.openxmlformats.org/officeDocument/2006/relationships/hyperlink" Target="https://www.openstreetmap.org/node/354676791" TargetMode="External"/><Relationship Id="rId2285" Type="http://schemas.openxmlformats.org/officeDocument/2006/relationships/hyperlink" Target="https://www.google.com/maps/search/?api=1&amp;query=43.6126644,1.3303964" TargetMode="External"/><Relationship Id="rId2286" Type="http://schemas.openxmlformats.org/officeDocument/2006/relationships/hyperlink" Target="https://www.openstreetmap.org/node/830000580" TargetMode="External"/><Relationship Id="rId2287" Type="http://schemas.openxmlformats.org/officeDocument/2006/relationships/hyperlink" Target="https://www.google.com/maps/search/?api=1&amp;query=43.6025357,1.3213492" TargetMode="External"/><Relationship Id="rId2288" Type="http://schemas.openxmlformats.org/officeDocument/2006/relationships/hyperlink" Target="https://www.openstreetmap.org/node/2948265895" TargetMode="External"/><Relationship Id="rId2289" Type="http://schemas.openxmlformats.org/officeDocument/2006/relationships/hyperlink" Target="https://www.google.com/maps/search/?api=1&amp;query=43.6011895,1.3010536" TargetMode="External"/><Relationship Id="rId2290" Type="http://schemas.openxmlformats.org/officeDocument/2006/relationships/hyperlink" Target="https://www.openstreetmap.org/node/9586244971" TargetMode="External"/><Relationship Id="rId2291" Type="http://schemas.openxmlformats.org/officeDocument/2006/relationships/hyperlink" Target="https://www.google.com/maps/search/?api=1&amp;query=43.6085384,1.3330342" TargetMode="External"/><Relationship Id="rId2292" Type="http://schemas.openxmlformats.org/officeDocument/2006/relationships/hyperlink" Target="https://www.openstreetmap.org/node/12829932495" TargetMode="External"/><Relationship Id="rId2293" Type="http://schemas.openxmlformats.org/officeDocument/2006/relationships/hyperlink" Target="https://www.google.com/maps/search/?api=1&amp;query=43.6191941,1.3435599" TargetMode="External"/><Relationship Id="rId2294" Type="http://schemas.openxmlformats.org/officeDocument/2006/relationships/hyperlink" Target="https://www.openstreetmap.org/node/5762379103" TargetMode="External"/><Relationship Id="rId2295" Type="http://schemas.openxmlformats.org/officeDocument/2006/relationships/hyperlink" Target="https://www.google.com/maps/search/?api=1&amp;query=43.6074962,1.3503659" TargetMode="External"/><Relationship Id="rId2296" Type="http://schemas.openxmlformats.org/officeDocument/2006/relationships/hyperlink" Target="https://www.openstreetmap.org/node/9654343217" TargetMode="External"/><Relationship Id="rId2297" Type="http://schemas.openxmlformats.org/officeDocument/2006/relationships/hyperlink" Target="https://www.google.com/maps/search/?api=1&amp;query=43.6085554,1.3398358" TargetMode="External"/><Relationship Id="rId2298" Type="http://schemas.openxmlformats.org/officeDocument/2006/relationships/hyperlink" Target="https://www.openstreetmap.org/node/889474110" TargetMode="External"/><Relationship Id="rId2299" Type="http://schemas.openxmlformats.org/officeDocument/2006/relationships/hyperlink" Target="https://www.google.com/maps/search/?api=1&amp;query=43.6109364,1.3317445" TargetMode="External"/><Relationship Id="rId2300" Type="http://schemas.openxmlformats.org/officeDocument/2006/relationships/hyperlink" Target="https://www.openstreetmap.org/node/11769458652" TargetMode="External"/><Relationship Id="rId2301" Type="http://schemas.openxmlformats.org/officeDocument/2006/relationships/hyperlink" Target="https://maisonpellestorveyrier.com/" TargetMode="External"/><Relationship Id="rId2302" Type="http://schemas.openxmlformats.org/officeDocument/2006/relationships/hyperlink" Target="https://www.google.com/maps/search/?api=1&amp;query=43.6251295,1.3427305" TargetMode="External"/><Relationship Id="rId2303" Type="http://schemas.openxmlformats.org/officeDocument/2006/relationships/hyperlink" Target="https://www.openstreetmap.org/way/313165558" TargetMode="External"/><Relationship Id="rId2304" Type="http://schemas.openxmlformats.org/officeDocument/2006/relationships/hyperlink" Target="https://www.google.com/maps/search/?api=1&amp;query=43.6101867,1.3325644" TargetMode="External"/><Relationship Id="rId2305" Type="http://schemas.openxmlformats.org/officeDocument/2006/relationships/hyperlink" Target="https://www.openstreetmap.org/node/11751123811" TargetMode="External"/><Relationship Id="rId2306" Type="http://schemas.openxmlformats.org/officeDocument/2006/relationships/hyperlink" Target="https://www.minjat.com/" TargetMode="External"/><Relationship Id="rId2307" Type="http://schemas.openxmlformats.org/officeDocument/2006/relationships/hyperlink" Target="https://www.google.com/maps/search/?api=1&amp;query=43.6123614,1.3060815" TargetMode="External"/><Relationship Id="rId2308" Type="http://schemas.openxmlformats.org/officeDocument/2006/relationships/hyperlink" Target="https://www.openstreetmap.org/node/6665451454" TargetMode="External"/><Relationship Id="rId2309" Type="http://schemas.openxmlformats.org/officeDocument/2006/relationships/hyperlink" Target="https://restaurantoselfou.fr/" TargetMode="External"/><Relationship Id="rId2310" Type="http://schemas.openxmlformats.org/officeDocument/2006/relationships/hyperlink" Target="https://www.google.com/maps/search/?api=1&amp;query=43.6107106,1.3096625" TargetMode="External"/><Relationship Id="rId2311" Type="http://schemas.openxmlformats.org/officeDocument/2006/relationships/hyperlink" Target="https://www.openstreetmap.org/node/573392053" TargetMode="External"/><Relationship Id="rId2312" Type="http://schemas.openxmlformats.org/officeDocument/2006/relationships/hyperlink" Target="https://www.google.com/maps/search/?api=1&amp;query=43.6001156,1.3224705" TargetMode="External"/><Relationship Id="rId2313" Type="http://schemas.openxmlformats.org/officeDocument/2006/relationships/hyperlink" Target="https://www.openstreetmap.org/node/669091659" TargetMode="External"/><Relationship Id="rId2314" Type="http://schemas.openxmlformats.org/officeDocument/2006/relationships/hyperlink" Target="https://repubblica.primafamily.fr/" TargetMode="External"/><Relationship Id="rId2315" Type="http://schemas.openxmlformats.org/officeDocument/2006/relationships/hyperlink" Target="https://www.google.com/maps/search/?api=1&amp;query=43.6004642,1.3574912" TargetMode="External"/><Relationship Id="rId2316" Type="http://schemas.openxmlformats.org/officeDocument/2006/relationships/hyperlink" Target="https://www.openstreetmap.org/node/11379222569" TargetMode="External"/><Relationship Id="rId2317" Type="http://schemas.openxmlformats.org/officeDocument/2006/relationships/hyperlink" Target="https://www.google.com/maps/search/?api=1&amp;query=43.6143946,1.3536994" TargetMode="External"/><Relationship Id="rId2318" Type="http://schemas.openxmlformats.org/officeDocument/2006/relationships/hyperlink" Target="https://www.openstreetmap.org/node/1787856981" TargetMode="External"/><Relationship Id="rId2319" Type="http://schemas.openxmlformats.org/officeDocument/2006/relationships/hyperlink" Target="https://www.google.com/maps/search/?api=1&amp;query=43.6089317,1.3447554" TargetMode="External"/><Relationship Id="rId2320" Type="http://schemas.openxmlformats.org/officeDocument/2006/relationships/hyperlink" Target="https://www.openstreetmap.org/node/889474091" TargetMode="External"/><Relationship Id="rId2321" Type="http://schemas.openxmlformats.org/officeDocument/2006/relationships/hyperlink" Target="https://www.signorizza.com/" TargetMode="External"/><Relationship Id="rId2322" Type="http://schemas.openxmlformats.org/officeDocument/2006/relationships/hyperlink" Target="https://www.google.com/maps/search/?api=1&amp;query=43.6065477,1.3514534" TargetMode="External"/><Relationship Id="rId2323" Type="http://schemas.openxmlformats.org/officeDocument/2006/relationships/hyperlink" Target="https://www.openstreetmap.org/way/1282041678" TargetMode="External"/><Relationship Id="rId2324" Type="http://schemas.openxmlformats.org/officeDocument/2006/relationships/hyperlink" Target="http://sushitokoro.fr/" TargetMode="External"/><Relationship Id="rId2325" Type="http://schemas.openxmlformats.org/officeDocument/2006/relationships/hyperlink" Target="https://www.google.com/maps/search/?api=1&amp;query=43.6100346,1.3339754" TargetMode="External"/><Relationship Id="rId2326" Type="http://schemas.openxmlformats.org/officeDocument/2006/relationships/hyperlink" Target="https://www.openstreetmap.org/node/570964515" TargetMode="External"/><Relationship Id="rId2327" Type="http://schemas.openxmlformats.org/officeDocument/2006/relationships/hyperlink" Target="https://www.google.com/maps/search/?api=1&amp;query=43.6111543,1.3324269" TargetMode="External"/><Relationship Id="rId2328" Type="http://schemas.openxmlformats.org/officeDocument/2006/relationships/hyperlink" Target="https://www.openstreetmap.org/node/11751123805" TargetMode="External"/><Relationship Id="rId2329" Type="http://schemas.openxmlformats.org/officeDocument/2006/relationships/hyperlink" Target="https://www.vivamexico-colomiers.com/" TargetMode="External"/><Relationship Id="rId2330" Type="http://schemas.openxmlformats.org/officeDocument/2006/relationships/hyperlink" Target="https://www.google.com/maps/search/?api=1&amp;query=43.607683,1.336306" TargetMode="External"/><Relationship Id="rId2331" Type="http://schemas.openxmlformats.org/officeDocument/2006/relationships/hyperlink" Target="https://www.openstreetmap.org/node/5341539492" TargetMode="External"/><Relationship Id="rId2332" Type="http://schemas.openxmlformats.org/officeDocument/2006/relationships/hyperlink" Target="https://www.google.com/maps/search/?api=1&amp;query=43.610347,1.3330997" TargetMode="External"/><Relationship Id="rId2333" Type="http://schemas.openxmlformats.org/officeDocument/2006/relationships/hyperlink" Target="https://www.openstreetmap.org/node/11751123807" TargetMode="External"/><Relationship Id="rId2334" Type="http://schemas.openxmlformats.org/officeDocument/2006/relationships/hyperlink" Target="https://www.google.com/maps/search/?api=1&amp;query=43.6138851,1.3517232" TargetMode="External"/><Relationship Id="rId2335" Type="http://schemas.openxmlformats.org/officeDocument/2006/relationships/hyperlink" Target="https://www.openstreetmap.org/node/1787848981" TargetMode="External"/><Relationship Id="rId2336" Type="http://schemas.openxmlformats.org/officeDocument/2006/relationships/hyperlink" Target="https://www.google.com/maps/search/?api=1&amp;query=43.5759603,1.3485794" TargetMode="External"/><Relationship Id="rId2337" Type="http://schemas.openxmlformats.org/officeDocument/2006/relationships/hyperlink" Target="https://www.openstreetmap.org/node/7350122581" TargetMode="External"/><Relationship Id="rId2338" Type="http://schemas.openxmlformats.org/officeDocument/2006/relationships/hyperlink" Target="https://www.bistrotmarcelandre.fr/" TargetMode="External"/><Relationship Id="rId2339" Type="http://schemas.openxmlformats.org/officeDocument/2006/relationships/hyperlink" Target="https://www.google.com/maps/search/?api=1&amp;query=43.5842041,1.3439932" TargetMode="External"/><Relationship Id="rId2340" Type="http://schemas.openxmlformats.org/officeDocument/2006/relationships/hyperlink" Target="https://www.openstreetmap.org/node/7352398454" TargetMode="External"/><Relationship Id="rId2341" Type="http://schemas.openxmlformats.org/officeDocument/2006/relationships/hyperlink" Target="https://www.google.com/maps/search/?api=1&amp;query=43.5781125,1.352591" TargetMode="External"/><Relationship Id="rId2342" Type="http://schemas.openxmlformats.org/officeDocument/2006/relationships/hyperlink" Target="https://www.openstreetmap.org/node/460332329" TargetMode="External"/><Relationship Id="rId2343" Type="http://schemas.openxmlformats.org/officeDocument/2006/relationships/hyperlink" Target="https://www.cepagegourmand.fr/" TargetMode="External"/><Relationship Id="rId2344" Type="http://schemas.openxmlformats.org/officeDocument/2006/relationships/hyperlink" Target="https://www.google.com/maps/search/?api=1&amp;query=43.5880429,1.3587239" TargetMode="External"/><Relationship Id="rId2345" Type="http://schemas.openxmlformats.org/officeDocument/2006/relationships/hyperlink" Target="https://www.openstreetmap.org/node/5152460332" TargetMode="External"/><Relationship Id="rId2346" Type="http://schemas.openxmlformats.org/officeDocument/2006/relationships/hyperlink" Target="https://www.google.com/maps/search/?api=1&amp;query=43.5775461,1.3133172" TargetMode="External"/><Relationship Id="rId2347" Type="http://schemas.openxmlformats.org/officeDocument/2006/relationships/hyperlink" Target="https://www.openstreetmap.org/node/13183953689" TargetMode="External"/><Relationship Id="rId2348" Type="http://schemas.openxmlformats.org/officeDocument/2006/relationships/hyperlink" Target="https://www.google.com/maps/search/?api=1&amp;query=43.5884797,1.353715" TargetMode="External"/><Relationship Id="rId2349" Type="http://schemas.openxmlformats.org/officeDocument/2006/relationships/hyperlink" Target="https://www.openstreetmap.org/node/2161659607" TargetMode="External"/><Relationship Id="rId2350" Type="http://schemas.openxmlformats.org/officeDocument/2006/relationships/hyperlink" Target="https://www.google.com/maps/search/?api=1&amp;query=43.5847264,1.3478045" TargetMode="External"/><Relationship Id="rId2351" Type="http://schemas.openxmlformats.org/officeDocument/2006/relationships/hyperlink" Target="https://www.openstreetmap.org/node/1801500970" TargetMode="External"/><Relationship Id="rId2352" Type="http://schemas.openxmlformats.org/officeDocument/2006/relationships/hyperlink" Target="https://www.google.com/maps/search/?api=1&amp;query=43.582262,1.3369371" TargetMode="External"/><Relationship Id="rId2353" Type="http://schemas.openxmlformats.org/officeDocument/2006/relationships/hyperlink" Target="https://www.openstreetmap.org/node/6510639121" TargetMode="External"/><Relationship Id="rId2354" Type="http://schemas.openxmlformats.org/officeDocument/2006/relationships/hyperlink" Target="https://www.google.com/maps/search/?api=1&amp;query=43.5774035,1.3140422" TargetMode="External"/><Relationship Id="rId2355" Type="http://schemas.openxmlformats.org/officeDocument/2006/relationships/hyperlink" Target="https://www.openstreetmap.org/node/8721954349" TargetMode="External"/><Relationship Id="rId2356" Type="http://schemas.openxmlformats.org/officeDocument/2006/relationships/hyperlink" Target="https://lady-sushi.fr/restaurants/tournefeuille/" TargetMode="External"/><Relationship Id="rId2357" Type="http://schemas.openxmlformats.org/officeDocument/2006/relationships/hyperlink" Target="https://www.google.com/maps/search/?api=1&amp;query=43.5848698,1.3442602" TargetMode="External"/><Relationship Id="rId2358" Type="http://schemas.openxmlformats.org/officeDocument/2006/relationships/hyperlink" Target="https://www.openstreetmap.org/node/8011158512" TargetMode="External"/><Relationship Id="rId2359" Type="http://schemas.openxmlformats.org/officeDocument/2006/relationships/hyperlink" Target="https://bistrotdelescale.com/" TargetMode="External"/><Relationship Id="rId2360" Type="http://schemas.openxmlformats.org/officeDocument/2006/relationships/hyperlink" Target="https://www.google.com/maps/search/?api=1&amp;query=43.5826904,1.345528" TargetMode="External"/><Relationship Id="rId2361" Type="http://schemas.openxmlformats.org/officeDocument/2006/relationships/hyperlink" Target="https://www.openstreetmap.org/node/10827502605" TargetMode="External"/><Relationship Id="rId2362" Type="http://schemas.openxmlformats.org/officeDocument/2006/relationships/hyperlink" Target="https://le-bistrot-2-theo-tournefeuille.eatbu.com/?lang=en" TargetMode="External"/><Relationship Id="rId2363" Type="http://schemas.openxmlformats.org/officeDocument/2006/relationships/hyperlink" Target="https://www.google.com/maps/search/?api=1&amp;query=43.5839593,1.3340219" TargetMode="External"/><Relationship Id="rId2364" Type="http://schemas.openxmlformats.org/officeDocument/2006/relationships/hyperlink" Target="https://www.openstreetmap.org/node/1713268427" TargetMode="External"/><Relationship Id="rId2365" Type="http://schemas.openxmlformats.org/officeDocument/2006/relationships/hyperlink" Target="https://www.google.com/maps/search/?api=1&amp;query=43.5726629,1.3400566" TargetMode="External"/><Relationship Id="rId2366" Type="http://schemas.openxmlformats.org/officeDocument/2006/relationships/hyperlink" Target="https://www.openstreetmap.org/node/8076038749" TargetMode="External"/><Relationship Id="rId2367" Type="http://schemas.openxmlformats.org/officeDocument/2006/relationships/hyperlink" Target="https://www.google.com/maps/search/?api=1&amp;query=43.5922752,1.3501352" TargetMode="External"/><Relationship Id="rId2368" Type="http://schemas.openxmlformats.org/officeDocument/2006/relationships/hyperlink" Target="https://www.openstreetmap.org/node/2161659610" TargetMode="External"/><Relationship Id="rId2369" Type="http://schemas.openxmlformats.org/officeDocument/2006/relationships/hyperlink" Target="https://restaurant-le-nem-tournefeuille.jimdofree.com/" TargetMode="External"/><Relationship Id="rId2370" Type="http://schemas.openxmlformats.org/officeDocument/2006/relationships/hyperlink" Target="https://www.google.com/maps/search/?api=1&amp;query=43.5770655,1.3249282" TargetMode="External"/><Relationship Id="rId2371" Type="http://schemas.openxmlformats.org/officeDocument/2006/relationships/hyperlink" Target="https://www.openstreetmap.org/node/2167568967" TargetMode="External"/><Relationship Id="rId2372" Type="http://schemas.openxmlformats.org/officeDocument/2006/relationships/hyperlink" Target="https://www.google.com/maps/search/?api=1&amp;query=43.5604669,1.3479585" TargetMode="External"/><Relationship Id="rId2373" Type="http://schemas.openxmlformats.org/officeDocument/2006/relationships/hyperlink" Target="https://www.openstreetmap.org/node/9415426729" TargetMode="External"/><Relationship Id="rId2374" Type="http://schemas.openxmlformats.org/officeDocument/2006/relationships/hyperlink" Target="https://moli.eatbu.com/" TargetMode="External"/><Relationship Id="rId2375" Type="http://schemas.openxmlformats.org/officeDocument/2006/relationships/hyperlink" Target="https://www.google.com/maps/search/?api=1&amp;query=43.5845094,1.3434882" TargetMode="External"/><Relationship Id="rId2376" Type="http://schemas.openxmlformats.org/officeDocument/2006/relationships/hyperlink" Target="https://www.openstreetmap.org/node/1802117519" TargetMode="External"/><Relationship Id="rId2377" Type="http://schemas.openxmlformats.org/officeDocument/2006/relationships/hyperlink" Target="https://mozzafiato-pizzerias.eatbu.com/?lang=fr" TargetMode="External"/><Relationship Id="rId2378" Type="http://schemas.openxmlformats.org/officeDocument/2006/relationships/hyperlink" Target="https://www.google.com/maps/search/?api=1&amp;query=43.583963,1.3333449" TargetMode="External"/><Relationship Id="rId2379" Type="http://schemas.openxmlformats.org/officeDocument/2006/relationships/hyperlink" Target="https://www.openstreetmap.org/node/11217615310" TargetMode="External"/><Relationship Id="rId2380" Type="http://schemas.openxmlformats.org/officeDocument/2006/relationships/hyperlink" Target="https://www.google.com/maps/search/?api=1&amp;query=43.5884321,1.3534609" TargetMode="External"/><Relationship Id="rId2381" Type="http://schemas.openxmlformats.org/officeDocument/2006/relationships/hyperlink" Target="https://www.openstreetmap.org/node/2161659609" TargetMode="External"/><Relationship Id="rId2382" Type="http://schemas.openxmlformats.org/officeDocument/2006/relationships/hyperlink" Target="https://www.pacesalute.com/" TargetMode="External"/><Relationship Id="rId2383" Type="http://schemas.openxmlformats.org/officeDocument/2006/relationships/hyperlink" Target="https://www.google.com/maps/search/?api=1&amp;query=43.5817648,1.3473429" TargetMode="External"/><Relationship Id="rId2384" Type="http://schemas.openxmlformats.org/officeDocument/2006/relationships/hyperlink" Target="https://www.openstreetmap.org/node/496003843" TargetMode="External"/><Relationship Id="rId2385" Type="http://schemas.openxmlformats.org/officeDocument/2006/relationships/hyperlink" Target="https://www.pizza-mongelli.com/" TargetMode="External"/><Relationship Id="rId2386" Type="http://schemas.openxmlformats.org/officeDocument/2006/relationships/hyperlink" Target="https://www.google.com/maps/search/?api=1&amp;query=43.5835283,1.3468891" TargetMode="External"/><Relationship Id="rId2387" Type="http://schemas.openxmlformats.org/officeDocument/2006/relationships/hyperlink" Target="https://www.openstreetmap.org/way/74785588" TargetMode="External"/><Relationship Id="rId2388" Type="http://schemas.openxmlformats.org/officeDocument/2006/relationships/hyperlink" Target="https://restaurant-playoff.fr/" TargetMode="External"/><Relationship Id="rId2389" Type="http://schemas.openxmlformats.org/officeDocument/2006/relationships/hyperlink" Target="https://www.google.com/maps/search/?api=1&amp;query=43.5752876,1.3637782" TargetMode="External"/><Relationship Id="rId2390" Type="http://schemas.openxmlformats.org/officeDocument/2006/relationships/hyperlink" Target="https://www.openstreetmap.org/node/354919354" TargetMode="External"/><Relationship Id="rId2391" Type="http://schemas.openxmlformats.org/officeDocument/2006/relationships/hyperlink" Target="https://www.google.com/maps/search/?api=1&amp;query=43.5858319,1.3459893" TargetMode="External"/><Relationship Id="rId2392" Type="http://schemas.openxmlformats.org/officeDocument/2006/relationships/hyperlink" Target="https://www.openstreetmap.org/node/7347318846" TargetMode="External"/><Relationship Id="rId2393" Type="http://schemas.openxmlformats.org/officeDocument/2006/relationships/hyperlink" Target="https://www.tinospizza-tournefeuille.fr/" TargetMode="External"/><Relationship Id="rId2394" Type="http://schemas.openxmlformats.org/officeDocument/2006/relationships/hyperlink" Target="https://www.google.com/maps/search/?api=1&amp;query=43.5842272,1.3427118" TargetMode="External"/><Relationship Id="rId2395" Type="http://schemas.openxmlformats.org/officeDocument/2006/relationships/hyperlink" Target="https://www.openstreetmap.org/node/13149860346" TargetMode="External"/><Relationship Id="rId2396" Type="http://schemas.openxmlformats.org/officeDocument/2006/relationships/hyperlink" Target="https://tonnerresdebrest.fr/" TargetMode="External"/><Relationship Id="rId2397" Type="http://schemas.openxmlformats.org/officeDocument/2006/relationships/hyperlink" Target="https://www.google.com/maps/search/?api=1&amp;query=43.5843618,1.3429893" TargetMode="External"/><Relationship Id="rId2398" Type="http://schemas.openxmlformats.org/officeDocument/2006/relationships/hyperlink" Target="https://www.openstreetmap.org/node/7667921856" TargetMode="External"/><Relationship Id="rId2399" Type="http://schemas.openxmlformats.org/officeDocument/2006/relationships/hyperlink" Target="https://www.washokutournefeuille.com/" TargetMode="External"/><Relationship Id="rId2400" Type="http://schemas.openxmlformats.org/officeDocument/2006/relationships/hyperlink" Target="https://www.google.com/maps/search/?api=1&amp;query=43.584604,1.3479442" TargetMode="External"/><Relationship Id="rId2401" Type="http://schemas.openxmlformats.org/officeDocument/2006/relationships/hyperlink" Target="https://www.openstreetmap.org/node/7964914775" TargetMode="External"/><Relationship Id="rId2402" Type="http://schemas.openxmlformats.org/officeDocument/2006/relationships/hyperlink" Target="https://restaurants.3brasseurs.com/fr/s/brasseurs/Blagnac/902" TargetMode="External"/><Relationship Id="rId2403" Type="http://schemas.openxmlformats.org/officeDocument/2006/relationships/hyperlink" Target="https://www.google.com/maps/search/?api=1&amp;query=43.6500536,1.3698752" TargetMode="External"/><Relationship Id="rId2404" Type="http://schemas.openxmlformats.org/officeDocument/2006/relationships/hyperlink" Target="https://www.openstreetmap.org/way/921058476" TargetMode="External"/><Relationship Id="rId2405" Type="http://schemas.openxmlformats.org/officeDocument/2006/relationships/hyperlink" Target="https://aloevega.fr/" TargetMode="External"/><Relationship Id="rId2406" Type="http://schemas.openxmlformats.org/officeDocument/2006/relationships/hyperlink" Target="https://www.google.com/maps/search/?api=1&amp;query=43.6396484,1.374178" TargetMode="External"/><Relationship Id="rId2407" Type="http://schemas.openxmlformats.org/officeDocument/2006/relationships/hyperlink" Target="https://www.openstreetmap.org/node/11071745125" TargetMode="External"/><Relationship Id="rId2408" Type="http://schemas.openxmlformats.org/officeDocument/2006/relationships/hyperlink" Target="https://www.aubureau.fr/restaurant-brasserie/au-bureau-blagnac" TargetMode="External"/><Relationship Id="rId2409" Type="http://schemas.openxmlformats.org/officeDocument/2006/relationships/hyperlink" Target="https://www.google.com/maps/search/?api=1&amp;query=43.6447362,1.3733581" TargetMode="External"/><Relationship Id="rId2410" Type="http://schemas.openxmlformats.org/officeDocument/2006/relationships/hyperlink" Target="https://www.openstreetmap.org/node/13460285489" TargetMode="External"/><Relationship Id="rId2411" Type="http://schemas.openxmlformats.org/officeDocument/2006/relationships/hyperlink" Target="https://www.google.com/maps/search/?api=1&amp;query=43.6348676,1.3991715" TargetMode="External"/><Relationship Id="rId2412" Type="http://schemas.openxmlformats.org/officeDocument/2006/relationships/hyperlink" Target="https://www.openstreetmap.org/node/1710495038" TargetMode="External"/><Relationship Id="rId2413" Type="http://schemas.openxmlformats.org/officeDocument/2006/relationships/hyperlink" Target="https://beyti1.wordpress.com/" TargetMode="External"/><Relationship Id="rId2414" Type="http://schemas.openxmlformats.org/officeDocument/2006/relationships/hyperlink" Target="https://www.google.com/maps/search/?api=1&amp;query=43.6256559,1.3988761" TargetMode="External"/><Relationship Id="rId2415" Type="http://schemas.openxmlformats.org/officeDocument/2006/relationships/hyperlink" Target="https://www.openstreetmap.org/way/64403963" TargetMode="External"/><Relationship Id="rId2416" Type="http://schemas.openxmlformats.org/officeDocument/2006/relationships/hyperlink" Target="https://www.google.com/maps/search/?api=1&amp;query=43.6343307,1.3867746" TargetMode="External"/><Relationship Id="rId2417" Type="http://schemas.openxmlformats.org/officeDocument/2006/relationships/hyperlink" Target="https://www.openstreetmap.org/node/3968530569" TargetMode="External"/><Relationship Id="rId2418" Type="http://schemas.openxmlformats.org/officeDocument/2006/relationships/hyperlink" Target="https://www.google.com/maps/search/?api=1&amp;query=43.6423655,1.3756312" TargetMode="External"/><Relationship Id="rId2419" Type="http://schemas.openxmlformats.org/officeDocument/2006/relationships/hyperlink" Target="https://www.openstreetmap.org/way/64418047" TargetMode="External"/><Relationship Id="rId2420" Type="http://schemas.openxmlformats.org/officeDocument/2006/relationships/hyperlink" Target="https://www.google.com/maps/search/?api=1&amp;query=43.6389999,1.377132" TargetMode="External"/><Relationship Id="rId2421" Type="http://schemas.openxmlformats.org/officeDocument/2006/relationships/hyperlink" Target="https://www.openstreetmap.org/node/8583553419" TargetMode="External"/><Relationship Id="rId2422" Type="http://schemas.openxmlformats.org/officeDocument/2006/relationships/hyperlink" Target="https://www.google.com/maps/search/?api=1&amp;query=43.6553549,1.3693243" TargetMode="External"/><Relationship Id="rId2423" Type="http://schemas.openxmlformats.org/officeDocument/2006/relationships/hyperlink" Target="https://www.openstreetmap.org/node/4143618590" TargetMode="External"/><Relationship Id="rId2424" Type="http://schemas.openxmlformats.org/officeDocument/2006/relationships/hyperlink" Target="https://www.google.com/maps/search/?api=1&amp;query=43.636435,1.402275" TargetMode="External"/><Relationship Id="rId2425" Type="http://schemas.openxmlformats.org/officeDocument/2006/relationships/hyperlink" Target="https://www.openstreetmap.org/node/2338374476" TargetMode="External"/><Relationship Id="rId2426" Type="http://schemas.openxmlformats.org/officeDocument/2006/relationships/hyperlink" Target="https://brunchandco.eatbu.com/" TargetMode="External"/><Relationship Id="rId2427" Type="http://schemas.openxmlformats.org/officeDocument/2006/relationships/hyperlink" Target="https://www.google.com/maps/search/?api=1&amp;query=43.6336547,1.3915554" TargetMode="External"/><Relationship Id="rId2428" Type="http://schemas.openxmlformats.org/officeDocument/2006/relationships/hyperlink" Target="https://www.openstreetmap.org/node/13133064807" TargetMode="External"/><Relationship Id="rId2429" Type="http://schemas.openxmlformats.org/officeDocument/2006/relationships/hyperlink" Target="https://www.google.com/maps/search/?api=1&amp;query=43.644914,1.3713672" TargetMode="External"/><Relationship Id="rId2430" Type="http://schemas.openxmlformats.org/officeDocument/2006/relationships/hyperlink" Target="https://www.openstreetmap.org/node/11893406508" TargetMode="External"/><Relationship Id="rId2431" Type="http://schemas.openxmlformats.org/officeDocument/2006/relationships/hyperlink" Target="https://www.google.com/maps/search/?api=1&amp;query=43.6249787,1.3996155" TargetMode="External"/><Relationship Id="rId2432" Type="http://schemas.openxmlformats.org/officeDocument/2006/relationships/hyperlink" Target="https://www.openstreetmap.org/node/13361536781" TargetMode="External"/><Relationship Id="rId2433" Type="http://schemas.openxmlformats.org/officeDocument/2006/relationships/hyperlink" Target="https://www.google.com/maps/search/?api=1&amp;query=43.6246725,1.399714" TargetMode="External"/><Relationship Id="rId2434" Type="http://schemas.openxmlformats.org/officeDocument/2006/relationships/hyperlink" Target="https://www.openstreetmap.org/way/64418237" TargetMode="External"/><Relationship Id="rId2435" Type="http://schemas.openxmlformats.org/officeDocument/2006/relationships/hyperlink" Target="https://www.google.com/maps/search/?api=1&amp;query=43.6346682,1.3955445" TargetMode="External"/><Relationship Id="rId2436" Type="http://schemas.openxmlformats.org/officeDocument/2006/relationships/hyperlink" Target="https://www.openstreetmap.org/node/11166408308" TargetMode="External"/><Relationship Id="rId2437" Type="http://schemas.openxmlformats.org/officeDocument/2006/relationships/hyperlink" Target="https://www.google.com/maps/search/?api=1&amp;query=43.6554731,1.3706087" TargetMode="External"/><Relationship Id="rId2438" Type="http://schemas.openxmlformats.org/officeDocument/2006/relationships/hyperlink" Target="https://www.openstreetmap.org/node/5871600979" TargetMode="External"/><Relationship Id="rId2439" Type="http://schemas.openxmlformats.org/officeDocument/2006/relationships/hyperlink" Target="https://www.google.com/maps/search/?api=1&amp;query=43.635756,1.384195" TargetMode="External"/><Relationship Id="rId2440" Type="http://schemas.openxmlformats.org/officeDocument/2006/relationships/hyperlink" Target="https://www.openstreetmap.org/node/7880424038" TargetMode="External"/><Relationship Id="rId2441" Type="http://schemas.openxmlformats.org/officeDocument/2006/relationships/hyperlink" Target="https://www.courtepaille.com/restaurant/courtepaille-toulouse-aeroport/" TargetMode="External"/><Relationship Id="rId2442" Type="http://schemas.openxmlformats.org/officeDocument/2006/relationships/hyperlink" Target="https://www.google.com/maps/search/?api=1&amp;query=43.628082,1.384559" TargetMode="External"/><Relationship Id="rId2443" Type="http://schemas.openxmlformats.org/officeDocument/2006/relationships/hyperlink" Target="https://www.openstreetmap.org/node/2672617957" TargetMode="External"/><Relationship Id="rId2444" Type="http://schemas.openxmlformats.org/officeDocument/2006/relationships/hyperlink" Target="https://restaurants.crepetouch.com/blagnac/" TargetMode="External"/><Relationship Id="rId2445" Type="http://schemas.openxmlformats.org/officeDocument/2006/relationships/hyperlink" Target="https://www.google.com/maps/search/?api=1&amp;query=43.6445427,1.3726109" TargetMode="External"/><Relationship Id="rId2446" Type="http://schemas.openxmlformats.org/officeDocument/2006/relationships/hyperlink" Target="https://www.openstreetmap.org/node/2554000383" TargetMode="External"/><Relationship Id="rId2447" Type="http://schemas.openxmlformats.org/officeDocument/2006/relationships/hyperlink" Target="https://www.google.com/maps/search/?api=1&amp;query=43.6236138,1.3997119" TargetMode="External"/><Relationship Id="rId2448" Type="http://schemas.openxmlformats.org/officeDocument/2006/relationships/hyperlink" Target="https://www.openstreetmap.org/node/2338395043" TargetMode="External"/><Relationship Id="rId2449" Type="http://schemas.openxmlformats.org/officeDocument/2006/relationships/hyperlink" Target="https://www.la-brigade.fr/resto-toulouse-blagnac" TargetMode="External"/><Relationship Id="rId2450" Type="http://schemas.openxmlformats.org/officeDocument/2006/relationships/hyperlink" Target="https://www.google.com/maps/search/?api=1&amp;query=43.6445733,1.3738492" TargetMode="External"/><Relationship Id="rId2451" Type="http://schemas.openxmlformats.org/officeDocument/2006/relationships/hyperlink" Target="https://www.openstreetmap.org/node/14099368831" TargetMode="External"/><Relationship Id="rId2452" Type="http://schemas.openxmlformats.org/officeDocument/2006/relationships/hyperlink" Target="https://www.hippopotamus.fr/nos-restaurants/hippopotamus-blagnac" TargetMode="External"/><Relationship Id="rId2453" Type="http://schemas.openxmlformats.org/officeDocument/2006/relationships/hyperlink" Target="https://www.google.com/maps/search/?api=1&amp;query=43.6443708,1.367412" TargetMode="External"/><Relationship Id="rId2454" Type="http://schemas.openxmlformats.org/officeDocument/2006/relationships/hyperlink" Target="https://www.openstreetmap.org/node/1943319543" TargetMode="External"/><Relationship Id="rId2455" Type="http://schemas.openxmlformats.org/officeDocument/2006/relationships/hyperlink" Target="https://www.ilristorante.fr/" TargetMode="External"/><Relationship Id="rId2456" Type="http://schemas.openxmlformats.org/officeDocument/2006/relationships/hyperlink" Target="https://www.google.com/maps/search/?api=1&amp;query=43.6501856,1.3694716" TargetMode="External"/><Relationship Id="rId2457" Type="http://schemas.openxmlformats.org/officeDocument/2006/relationships/hyperlink" Target="https://www.openstreetmap.org/way/921058477" TargetMode="External"/><Relationship Id="rId2458" Type="http://schemas.openxmlformats.org/officeDocument/2006/relationships/hyperlink" Target="https://pub-jacques.fr/blagnac/" TargetMode="External"/><Relationship Id="rId2459" Type="http://schemas.openxmlformats.org/officeDocument/2006/relationships/hyperlink" Target="https://www.google.com/maps/search/?api=1&amp;query=43.6483348,1.3667047" TargetMode="External"/><Relationship Id="rId2460" Type="http://schemas.openxmlformats.org/officeDocument/2006/relationships/hyperlink" Target="https://www.openstreetmap.org/way/64404131" TargetMode="External"/><Relationship Id="rId2461" Type="http://schemas.openxmlformats.org/officeDocument/2006/relationships/hyperlink" Target="http://www.jinjiresto.com/" TargetMode="External"/><Relationship Id="rId2462" Type="http://schemas.openxmlformats.org/officeDocument/2006/relationships/hyperlink" Target="https://www.google.com/maps/search/?api=1&amp;query=43.6361667,1.3915903" TargetMode="External"/><Relationship Id="rId2463" Type="http://schemas.openxmlformats.org/officeDocument/2006/relationships/hyperlink" Target="https://www.openstreetmap.org/way/64421022" TargetMode="External"/><Relationship Id="rId2464" Type="http://schemas.openxmlformats.org/officeDocument/2006/relationships/hyperlink" Target="https://www.google.com/maps/search/?api=1&amp;query=43.6454541,1.3709716" TargetMode="External"/><Relationship Id="rId2465" Type="http://schemas.openxmlformats.org/officeDocument/2006/relationships/hyperlink" Target="https://www.openstreetmap.org/way/934345840" TargetMode="External"/><Relationship Id="rId2466" Type="http://schemas.openxmlformats.org/officeDocument/2006/relationships/hyperlink" Target="https://www.kumquat-blagnac.fr/" TargetMode="External"/><Relationship Id="rId2467" Type="http://schemas.openxmlformats.org/officeDocument/2006/relationships/hyperlink" Target="https://www.google.com/maps/search/?api=1&amp;query=43.6409706,1.3737644" TargetMode="External"/><Relationship Id="rId2468" Type="http://schemas.openxmlformats.org/officeDocument/2006/relationships/hyperlink" Target="https://www.openstreetmap.org/node/5926217053" TargetMode="External"/><Relationship Id="rId2469" Type="http://schemas.openxmlformats.org/officeDocument/2006/relationships/hyperlink" Target="https://www.google.com/maps/search/?api=1&amp;query=43.6403641,1.3923677" TargetMode="External"/><Relationship Id="rId2470" Type="http://schemas.openxmlformats.org/officeDocument/2006/relationships/hyperlink" Target="https://www.openstreetmap.org/node/1751451499" TargetMode="External"/><Relationship Id="rId2471" Type="http://schemas.openxmlformats.org/officeDocument/2006/relationships/hyperlink" Target="https://www.pizzeria-olivade.com/" TargetMode="External"/><Relationship Id="rId2472" Type="http://schemas.openxmlformats.org/officeDocument/2006/relationships/hyperlink" Target="https://www.google.com/maps/search/?api=1&amp;query=43.641198,1.3755755" TargetMode="External"/><Relationship Id="rId2473" Type="http://schemas.openxmlformats.org/officeDocument/2006/relationships/hyperlink" Target="https://www.openstreetmap.org/node/1943319546" TargetMode="External"/><Relationship Id="rId2474" Type="http://schemas.openxmlformats.org/officeDocument/2006/relationships/hyperlink" Target="https://www.la-brigade.fr/resto-toulouse-blagnac" TargetMode="External"/><Relationship Id="rId2475" Type="http://schemas.openxmlformats.org/officeDocument/2006/relationships/hyperlink" Target="https://www.google.com/maps/search/?api=1&amp;query=43.6446814,1.3735267" TargetMode="External"/><Relationship Id="rId2476" Type="http://schemas.openxmlformats.org/officeDocument/2006/relationships/hyperlink" Target="https://www.openstreetmap.org/node/13656859236" TargetMode="External"/><Relationship Id="rId2477" Type="http://schemas.openxmlformats.org/officeDocument/2006/relationships/hyperlink" Target="https://www.google.com/maps/search/?api=1&amp;query=43.6343021,1.3849503" TargetMode="External"/><Relationship Id="rId2478" Type="http://schemas.openxmlformats.org/officeDocument/2006/relationships/hyperlink" Target="https://www.openstreetmap.org/way/612042097" TargetMode="External"/><Relationship Id="rId2479" Type="http://schemas.openxmlformats.org/officeDocument/2006/relationships/hyperlink" Target="http://pizzalatosca.fr/" TargetMode="External"/><Relationship Id="rId2480" Type="http://schemas.openxmlformats.org/officeDocument/2006/relationships/hyperlink" Target="https://www.google.com/maps/search/?api=1&amp;query=43.6406726,1.3735736" TargetMode="External"/><Relationship Id="rId2481" Type="http://schemas.openxmlformats.org/officeDocument/2006/relationships/hyperlink" Target="https://www.openstreetmap.org/node/3919124732" TargetMode="External"/><Relationship Id="rId2482" Type="http://schemas.openxmlformats.org/officeDocument/2006/relationships/hyperlink" Target="https://www.google.com/maps/search/?api=1&amp;query=43.6310256,1.3805814" TargetMode="External"/><Relationship Id="rId2483" Type="http://schemas.openxmlformats.org/officeDocument/2006/relationships/hyperlink" Target="https://www.openstreetmap.org/node/6898849186" TargetMode="External"/><Relationship Id="rId2484" Type="http://schemas.openxmlformats.org/officeDocument/2006/relationships/hyperlink" Target="https://www.facebook.com/ignaetceline/" TargetMode="External"/><Relationship Id="rId2485" Type="http://schemas.openxmlformats.org/officeDocument/2006/relationships/hyperlink" Target="https://www.google.com/maps/search/?api=1&amp;query=43.6331044,1.3994277" TargetMode="External"/><Relationship Id="rId2486" Type="http://schemas.openxmlformats.org/officeDocument/2006/relationships/hyperlink" Target="https://www.openstreetmap.org/node/6305853608" TargetMode="External"/><Relationship Id="rId2487" Type="http://schemas.openxmlformats.org/officeDocument/2006/relationships/hyperlink" Target="https://www.google.com/maps/search/?api=1&amp;query=43.6411967,1.3886364" TargetMode="External"/><Relationship Id="rId2488" Type="http://schemas.openxmlformats.org/officeDocument/2006/relationships/hyperlink" Target="https://www.openstreetmap.org/node/460338227" TargetMode="External"/><Relationship Id="rId2489" Type="http://schemas.openxmlformats.org/officeDocument/2006/relationships/hyperlink" Target="https://www.google.com/maps/search/?api=1&amp;query=43.6409987,1.3885914" TargetMode="External"/><Relationship Id="rId2490" Type="http://schemas.openxmlformats.org/officeDocument/2006/relationships/hyperlink" Target="https://www.openstreetmap.org/node/6279346535" TargetMode="External"/><Relationship Id="rId2491" Type="http://schemas.openxmlformats.org/officeDocument/2006/relationships/hyperlink" Target="https://www.google.com/maps/search/?api=1&amp;query=43.6337316,1.3948285" TargetMode="External"/><Relationship Id="rId2492" Type="http://schemas.openxmlformats.org/officeDocument/2006/relationships/hyperlink" Target="https://www.openstreetmap.org/node/11170099173" TargetMode="External"/><Relationship Id="rId2493" Type="http://schemas.openxmlformats.org/officeDocument/2006/relationships/hyperlink" Target="https://www.google.com/maps/search/?api=1&amp;query=43.6358454,1.3845095" TargetMode="External"/><Relationship Id="rId2494" Type="http://schemas.openxmlformats.org/officeDocument/2006/relationships/hyperlink" Target="https://www.openstreetmap.org/node/5919134804" TargetMode="External"/><Relationship Id="rId2495" Type="http://schemas.openxmlformats.org/officeDocument/2006/relationships/hyperlink" Target="https://www.google.com/maps/search/?api=1&amp;query=43.6421021,1.3676837" TargetMode="External"/><Relationship Id="rId2496" Type="http://schemas.openxmlformats.org/officeDocument/2006/relationships/hyperlink" Target="https://www.openstreetmap.org/way/64408947" TargetMode="External"/><Relationship Id="rId2497" Type="http://schemas.openxmlformats.org/officeDocument/2006/relationships/hyperlink" Target="https://www.aeroscopia.fr/restaurant" TargetMode="External"/><Relationship Id="rId2498" Type="http://schemas.openxmlformats.org/officeDocument/2006/relationships/hyperlink" Target="https://www.google.com/maps/search/?api=1&amp;query=43.6584075,1.359352" TargetMode="External"/><Relationship Id="rId2499" Type="http://schemas.openxmlformats.org/officeDocument/2006/relationships/hyperlink" Target="https://www.openstreetmap.org/node/9609050633" TargetMode="External"/><Relationship Id="rId2500" Type="http://schemas.openxmlformats.org/officeDocument/2006/relationships/hyperlink" Target="https://leribouldingue.fr/" TargetMode="External"/><Relationship Id="rId2501" Type="http://schemas.openxmlformats.org/officeDocument/2006/relationships/hyperlink" Target="https://www.google.com/maps/search/?api=1&amp;query=43.6345588,1.3993266" TargetMode="External"/><Relationship Id="rId2502" Type="http://schemas.openxmlformats.org/officeDocument/2006/relationships/hyperlink" Target="https://www.openstreetmap.org/way/844724378" TargetMode="External"/><Relationship Id="rId2503" Type="http://schemas.openxmlformats.org/officeDocument/2006/relationships/hyperlink" Target="https://letchap.fr/" TargetMode="External"/><Relationship Id="rId2504" Type="http://schemas.openxmlformats.org/officeDocument/2006/relationships/hyperlink" Target="https://www.google.com/maps/search/?api=1&amp;query=43.655293,1.3688301" TargetMode="External"/><Relationship Id="rId2505" Type="http://schemas.openxmlformats.org/officeDocument/2006/relationships/hyperlink" Target="https://www.openstreetmap.org/node/4143595903" TargetMode="External"/><Relationship Id="rId2506" Type="http://schemas.openxmlformats.org/officeDocument/2006/relationships/hyperlink" Target="https://www.les3dynasties.com/" TargetMode="External"/><Relationship Id="rId2507" Type="http://schemas.openxmlformats.org/officeDocument/2006/relationships/hyperlink" Target="https://www.google.com/maps/search/?api=1&amp;query=43.6271679,1.397368" TargetMode="External"/><Relationship Id="rId2508" Type="http://schemas.openxmlformats.org/officeDocument/2006/relationships/hyperlink" Target="https://www.openstreetmap.org/way/64416261" TargetMode="External"/><Relationship Id="rId2509" Type="http://schemas.openxmlformats.org/officeDocument/2006/relationships/hyperlink" Target="https://www.ltmodernes.fr/" TargetMode="External"/><Relationship Id="rId2510" Type="http://schemas.openxmlformats.org/officeDocument/2006/relationships/hyperlink" Target="https://www.google.com/maps/search/?api=1&amp;query=43.6344876,1.3990658" TargetMode="External"/><Relationship Id="rId2511" Type="http://schemas.openxmlformats.org/officeDocument/2006/relationships/hyperlink" Target="https://www.openstreetmap.org/way/64420681" TargetMode="External"/><Relationship Id="rId2512" Type="http://schemas.openxmlformats.org/officeDocument/2006/relationships/hyperlink" Target="https://www.restaurantleon.fr/nos-restaurants/toulouse-blagnac" TargetMode="External"/><Relationship Id="rId2513" Type="http://schemas.openxmlformats.org/officeDocument/2006/relationships/hyperlink" Target="https://www.google.com/maps/search/?api=1&amp;query=43.6386896,1.3756152" TargetMode="External"/><Relationship Id="rId2514" Type="http://schemas.openxmlformats.org/officeDocument/2006/relationships/hyperlink" Target="https://www.openstreetmap.org/node/3919124733" TargetMode="External"/><Relationship Id="rId2515" Type="http://schemas.openxmlformats.org/officeDocument/2006/relationships/hyperlink" Target="https://www.google.com/maps/search/?api=1&amp;query=43.6314261,1.3803919" TargetMode="External"/><Relationship Id="rId2516" Type="http://schemas.openxmlformats.org/officeDocument/2006/relationships/hyperlink" Target="https://www.openstreetmap.org/way/64420833" TargetMode="External"/><Relationship Id="rId2517" Type="http://schemas.openxmlformats.org/officeDocument/2006/relationships/hyperlink" Target="https://maisondafrique-restaurant.fr/" TargetMode="External"/><Relationship Id="rId2518" Type="http://schemas.openxmlformats.org/officeDocument/2006/relationships/hyperlink" Target="https://www.google.com/maps/search/?api=1&amp;query=43.6362828,1.3838094" TargetMode="External"/><Relationship Id="rId2519" Type="http://schemas.openxmlformats.org/officeDocument/2006/relationships/hyperlink" Target="https://www.openstreetmap.org/node/7880385115" TargetMode="External"/><Relationship Id="rId2520" Type="http://schemas.openxmlformats.org/officeDocument/2006/relationships/hyperlink" Target="https://restaurants.memphis-restaurant.com/blagnac/" TargetMode="External"/><Relationship Id="rId2521" Type="http://schemas.openxmlformats.org/officeDocument/2006/relationships/hyperlink" Target="https://www.google.com/maps/search/?api=1&amp;query=43.6448535,1.3684578" TargetMode="External"/><Relationship Id="rId2522" Type="http://schemas.openxmlformats.org/officeDocument/2006/relationships/hyperlink" Target="https://www.openstreetmap.org/way/64423289" TargetMode="External"/><Relationship Id="rId2523" Type="http://schemas.openxmlformats.org/officeDocument/2006/relationships/hyperlink" Target="https://twitter.com/restaurantmima?lang=fr" TargetMode="External"/><Relationship Id="rId2524" Type="http://schemas.openxmlformats.org/officeDocument/2006/relationships/hyperlink" Target="https://www.google.com/maps/search/?api=1&amp;query=43.6556743,1.3689344" TargetMode="External"/><Relationship Id="rId2525" Type="http://schemas.openxmlformats.org/officeDocument/2006/relationships/hyperlink" Target="https://www.openstreetmap.org/node/6396850431" TargetMode="External"/><Relationship Id="rId2526" Type="http://schemas.openxmlformats.org/officeDocument/2006/relationships/hyperlink" Target="https://www.pizza-mongelli.com/pizzeria/blagnac/" TargetMode="External"/><Relationship Id="rId2527" Type="http://schemas.openxmlformats.org/officeDocument/2006/relationships/hyperlink" Target="https://www.google.com/maps/search/?api=1&amp;query=43.6342565,1.3985622" TargetMode="External"/><Relationship Id="rId2528" Type="http://schemas.openxmlformats.org/officeDocument/2006/relationships/hyperlink" Target="https://www.openstreetmap.org/way/64424129" TargetMode="External"/><Relationship Id="rId2529" Type="http://schemas.openxmlformats.org/officeDocument/2006/relationships/hyperlink" Target="http://www.restaurant-pacific.fr/" TargetMode="External"/><Relationship Id="rId2530" Type="http://schemas.openxmlformats.org/officeDocument/2006/relationships/hyperlink" Target="https://www.google.com/maps/search/?api=1&amp;query=43.6404233,1.376971" TargetMode="External"/><Relationship Id="rId2531" Type="http://schemas.openxmlformats.org/officeDocument/2006/relationships/hyperlink" Target="https://www.openstreetmap.org/node/5343664782" TargetMode="External"/><Relationship Id="rId2532" Type="http://schemas.openxmlformats.org/officeDocument/2006/relationships/hyperlink" Target="https://letchap.fr/" TargetMode="External"/><Relationship Id="rId2533" Type="http://schemas.openxmlformats.org/officeDocument/2006/relationships/hyperlink" Target="https://www.google.com/maps/search/?api=1&amp;query=43.6552962,1.36884" TargetMode="External"/><Relationship Id="rId2534" Type="http://schemas.openxmlformats.org/officeDocument/2006/relationships/hyperlink" Target="https://www.openstreetmap.org/node/11068041875" TargetMode="External"/><Relationship Id="rId2535" Type="http://schemas.openxmlformats.org/officeDocument/2006/relationships/hyperlink" Target="https://restaurants.leparadisdufruit.fr/toulouse-blagnac/" TargetMode="External"/><Relationship Id="rId2536" Type="http://schemas.openxmlformats.org/officeDocument/2006/relationships/hyperlink" Target="https://www.google.com/maps/search/?api=1&amp;query=43.6443763,1.3723695" TargetMode="External"/><Relationship Id="rId2537" Type="http://schemas.openxmlformats.org/officeDocument/2006/relationships/hyperlink" Target="https://www.openstreetmap.org/node/2554000387" TargetMode="External"/><Relationship Id="rId2538" Type="http://schemas.openxmlformats.org/officeDocument/2006/relationships/hyperlink" Target="https://www.pizzapierre.fr/" TargetMode="External"/><Relationship Id="rId2539" Type="http://schemas.openxmlformats.org/officeDocument/2006/relationships/hyperlink" Target="https://www.google.com/maps/search/?api=1&amp;query=43.6335026,1.3971442" TargetMode="External"/><Relationship Id="rId2540" Type="http://schemas.openxmlformats.org/officeDocument/2006/relationships/hyperlink" Target="https://www.openstreetmap.org/node/1751451508" TargetMode="External"/><Relationship Id="rId2541" Type="http://schemas.openxmlformats.org/officeDocument/2006/relationships/hyperlink" Target="https://www.google.com/maps/search/?api=1&amp;query=43.6242044,1.3890721" TargetMode="External"/><Relationship Id="rId2542" Type="http://schemas.openxmlformats.org/officeDocument/2006/relationships/hyperlink" Target="https://www.openstreetmap.org/way/325742998" TargetMode="External"/><Relationship Id="rId2543" Type="http://schemas.openxmlformats.org/officeDocument/2006/relationships/hyperlink" Target="https://www.google.com/maps/search/?api=1&amp;query=43.6230247,1.3834322" TargetMode="External"/><Relationship Id="rId2544" Type="http://schemas.openxmlformats.org/officeDocument/2006/relationships/hyperlink" Target="https://www.openstreetmap.org/node/4011793913" TargetMode="External"/><Relationship Id="rId2545" Type="http://schemas.openxmlformats.org/officeDocument/2006/relationships/hyperlink" Target="https://www.google.com/maps/search/?api=1&amp;query=43.6237209,1.3866699" TargetMode="External"/><Relationship Id="rId2546" Type="http://schemas.openxmlformats.org/officeDocument/2006/relationships/hyperlink" Target="https://www.openstreetmap.org/way/64419899" TargetMode="External"/><Relationship Id="rId2547" Type="http://schemas.openxmlformats.org/officeDocument/2006/relationships/hyperlink" Target="https://rajpoot-restaurant-blagnac.eatbu.com/" TargetMode="External"/><Relationship Id="rId2548" Type="http://schemas.openxmlformats.org/officeDocument/2006/relationships/hyperlink" Target="https://www.google.com/maps/search/?api=1&amp;query=43.6294586,1.3873229" TargetMode="External"/><Relationship Id="rId2549" Type="http://schemas.openxmlformats.org/officeDocument/2006/relationships/hyperlink" Target="https://www.openstreetmap.org/node/4856973221" TargetMode="External"/><Relationship Id="rId2550" Type="http://schemas.openxmlformats.org/officeDocument/2006/relationships/hyperlink" Target="https://www.google.com/maps/search/?api=1&amp;query=43.6233132,1.3877043" TargetMode="External"/><Relationship Id="rId2551" Type="http://schemas.openxmlformats.org/officeDocument/2006/relationships/hyperlink" Target="https://www.openstreetmap.org/way/64413164" TargetMode="External"/><Relationship Id="rId2552" Type="http://schemas.openxmlformats.org/officeDocument/2006/relationships/hyperlink" Target="https://www.sushi-bian.fr/" TargetMode="External"/><Relationship Id="rId2553" Type="http://schemas.openxmlformats.org/officeDocument/2006/relationships/hyperlink" Target="https://www.google.com/maps/search/?api=1&amp;query=43.6363443,1.3915905" TargetMode="External"/><Relationship Id="rId2554" Type="http://schemas.openxmlformats.org/officeDocument/2006/relationships/hyperlink" Target="https://www.openstreetmap.org/node/1751451517" TargetMode="External"/><Relationship Id="rId2555" Type="http://schemas.openxmlformats.org/officeDocument/2006/relationships/hyperlink" Target="https://www.delarte.fr/nos-restaurants/occitanie/haute-garonne/blagnac/pizzeria-toulouse-blagnac" TargetMode="External"/><Relationship Id="rId2556" Type="http://schemas.openxmlformats.org/officeDocument/2006/relationships/hyperlink" Target="https://www.google.com/maps/search/?api=1&amp;query=43.6480401,1.366862" TargetMode="External"/><Relationship Id="rId2557" Type="http://schemas.openxmlformats.org/officeDocument/2006/relationships/hyperlink" Target="https://www.openstreetmap.org/way/64422523" TargetMode="External"/><Relationship Id="rId2558" Type="http://schemas.openxmlformats.org/officeDocument/2006/relationships/hyperlink" Target="https://www.google.com/maps/search/?api=1&amp;query=43.6342919,1.3984258" TargetMode="External"/><Relationship Id="rId2559" Type="http://schemas.openxmlformats.org/officeDocument/2006/relationships/hyperlink" Target="https://www.openstreetmap.org/way/64407490" TargetMode="External"/><Relationship Id="rId2560" Type="http://schemas.openxmlformats.org/officeDocument/2006/relationships/hyperlink" Target="https://www.google.com/maps/search/?api=1&amp;query=43.65437,1.3600985" TargetMode="External"/><Relationship Id="rId2561" Type="http://schemas.openxmlformats.org/officeDocument/2006/relationships/hyperlink" Target="https://www.openstreetmap.org/node/2126687249" TargetMode="External"/><Relationship Id="rId2562" Type="http://schemas.openxmlformats.org/officeDocument/2006/relationships/hyperlink" Target="https://www.google.com/maps/search/?api=1&amp;query=43.6337068,1.3989973" TargetMode="External"/><Relationship Id="rId2563" Type="http://schemas.openxmlformats.org/officeDocument/2006/relationships/hyperlink" Target="https://www.openstreetmap.org/node/1645821700" TargetMode="External"/><Relationship Id="rId2564" Type="http://schemas.openxmlformats.org/officeDocument/2006/relationships/hyperlink" Target="https://tichayabistrot-thai.eatbu.com/" TargetMode="External"/><Relationship Id="rId2565" Type="http://schemas.openxmlformats.org/officeDocument/2006/relationships/hyperlink" Target="https://www.google.com/maps/search/?api=1&amp;query=43.6345843,1.3994666" TargetMode="External"/><Relationship Id="rId2566" Type="http://schemas.openxmlformats.org/officeDocument/2006/relationships/hyperlink" Target="https://www.openstreetmap.org/way/844724377" TargetMode="External"/><Relationship Id="rId2567" Type="http://schemas.openxmlformats.org/officeDocument/2006/relationships/hyperlink" Target="https://tokami-blagnac.com/" TargetMode="External"/><Relationship Id="rId2568" Type="http://schemas.openxmlformats.org/officeDocument/2006/relationships/hyperlink" Target="https://www.google.com/maps/search/?api=1&amp;query=43.6443136,1.3724265" TargetMode="External"/><Relationship Id="rId2569" Type="http://schemas.openxmlformats.org/officeDocument/2006/relationships/hyperlink" Target="https://www.openstreetmap.org/node/2554000386" TargetMode="External"/><Relationship Id="rId2570" Type="http://schemas.openxmlformats.org/officeDocument/2006/relationships/hyperlink" Target="https://www.washokusushi.net/" TargetMode="External"/><Relationship Id="rId2571" Type="http://schemas.openxmlformats.org/officeDocument/2006/relationships/hyperlink" Target="https://www.google.com/maps/search/?api=1&amp;query=43.633541,1.3990173" TargetMode="External"/><Relationship Id="rId2572" Type="http://schemas.openxmlformats.org/officeDocument/2006/relationships/hyperlink" Target="https://www.openstreetmap.org/node/12151654557" TargetMode="External"/><Relationship Id="rId2573" Type="http://schemas.openxmlformats.org/officeDocument/2006/relationships/hyperlink" Target="https://yammysushi.fr/" TargetMode="External"/><Relationship Id="rId2574" Type="http://schemas.openxmlformats.org/officeDocument/2006/relationships/hyperlink" Target="https://www.google.com/maps/search/?api=1&amp;query=43.6550585,1.369013" TargetMode="External"/><Relationship Id="rId2575" Type="http://schemas.openxmlformats.org/officeDocument/2006/relationships/hyperlink" Target="https://www.openstreetmap.org/way/283872305" TargetMode="External"/><Relationship Id="rId2576" Type="http://schemas.openxmlformats.org/officeDocument/2006/relationships/hyperlink" Target="https://www.google.com/maps/search/?api=1&amp;query=43.4602861,1.3236786" TargetMode="External"/><Relationship Id="rId2577" Type="http://schemas.openxmlformats.org/officeDocument/2006/relationships/hyperlink" Target="https://www.openstreetmap.org/node/7388721737" TargetMode="External"/><Relationship Id="rId2578" Type="http://schemas.openxmlformats.org/officeDocument/2006/relationships/hyperlink" Target="https://www.google.com/maps/search/?api=1&amp;query=43.4727949,1.3332341" TargetMode="External"/><Relationship Id="rId2579" Type="http://schemas.openxmlformats.org/officeDocument/2006/relationships/hyperlink" Target="https://www.openstreetmap.org/node/5320296610" TargetMode="External"/><Relationship Id="rId2580" Type="http://schemas.openxmlformats.org/officeDocument/2006/relationships/hyperlink" Target="https://www.facebook.com/pages/category/Restaurant/BRASSERIE-REPUBLIQUE-190223594388088/" TargetMode="External"/><Relationship Id="rId2581" Type="http://schemas.openxmlformats.org/officeDocument/2006/relationships/hyperlink" Target="https://www.google.com/maps/search/?api=1&amp;query=43.4606207,1.3277082" TargetMode="External"/><Relationship Id="rId2582" Type="http://schemas.openxmlformats.org/officeDocument/2006/relationships/hyperlink" Target="https://www.openstreetmap.org/node/7419876530" TargetMode="External"/><Relationship Id="rId2583" Type="http://schemas.openxmlformats.org/officeDocument/2006/relationships/hyperlink" Target="https://www.casa-vostra.fr/" TargetMode="External"/><Relationship Id="rId2584" Type="http://schemas.openxmlformats.org/officeDocument/2006/relationships/hyperlink" Target="https://www.google.com/maps/search/?api=1&amp;query=43.4567683,1.3236083" TargetMode="External"/><Relationship Id="rId2585" Type="http://schemas.openxmlformats.org/officeDocument/2006/relationships/hyperlink" Target="https://www.openstreetmap.org/node/6759388888" TargetMode="External"/><Relationship Id="rId2586" Type="http://schemas.openxmlformats.org/officeDocument/2006/relationships/hyperlink" Target="https://www.google.com/maps/search/?api=1&amp;query=43.4743486,1.3327756" TargetMode="External"/><Relationship Id="rId2587" Type="http://schemas.openxmlformats.org/officeDocument/2006/relationships/hyperlink" Target="https://www.openstreetmap.org/node/9457782470" TargetMode="External"/><Relationship Id="rId2588" Type="http://schemas.openxmlformats.org/officeDocument/2006/relationships/hyperlink" Target="https://www.google.com/maps/search/?api=1&amp;query=43.4488265,1.3193986" TargetMode="External"/><Relationship Id="rId2589" Type="http://schemas.openxmlformats.org/officeDocument/2006/relationships/hyperlink" Target="https://www.openstreetmap.org/node/7813541285" TargetMode="External"/><Relationship Id="rId2590" Type="http://schemas.openxmlformats.org/officeDocument/2006/relationships/hyperlink" Target="https://www.google.com/maps/search/?api=1&amp;query=43.4652103,1.3264878" TargetMode="External"/><Relationship Id="rId2591" Type="http://schemas.openxmlformats.org/officeDocument/2006/relationships/hyperlink" Target="https://www.openstreetmap.org/node/8418563685" TargetMode="External"/><Relationship Id="rId2592" Type="http://schemas.openxmlformats.org/officeDocument/2006/relationships/hyperlink" Target="https://www.google.com/maps/search/?api=1&amp;query=43.4735831,1.332605" TargetMode="External"/><Relationship Id="rId2593" Type="http://schemas.openxmlformats.org/officeDocument/2006/relationships/hyperlink" Target="https://www.openstreetmap.org/node/4135058344" TargetMode="External"/><Relationship Id="rId2594" Type="http://schemas.openxmlformats.org/officeDocument/2006/relationships/hyperlink" Target="https://www.google.com/maps/search/?api=1&amp;query=43.4609074,1.3275569" TargetMode="External"/><Relationship Id="rId2595" Type="http://schemas.openxmlformats.org/officeDocument/2006/relationships/hyperlink" Target="https://www.openstreetmap.org/node/8827860318" TargetMode="External"/><Relationship Id="rId2596" Type="http://schemas.openxmlformats.org/officeDocument/2006/relationships/hyperlink" Target="https://fabric-restaurant.fr/" TargetMode="External"/><Relationship Id="rId2597" Type="http://schemas.openxmlformats.org/officeDocument/2006/relationships/hyperlink" Target="https://www.google.com/maps/search/?api=1&amp;query=43.458671,1.3264871" TargetMode="External"/><Relationship Id="rId2598" Type="http://schemas.openxmlformats.org/officeDocument/2006/relationships/hyperlink" Target="https://www.openstreetmap.org/node/8196496721" TargetMode="External"/><Relationship Id="rId2599" Type="http://schemas.openxmlformats.org/officeDocument/2006/relationships/hyperlink" Target="https://www.google.com/maps/search/?api=1&amp;query=43.4594446,1.3256206" TargetMode="External"/><Relationship Id="rId2600" Type="http://schemas.openxmlformats.org/officeDocument/2006/relationships/hyperlink" Target="https://www.openstreetmap.org/node/7814966986" TargetMode="External"/><Relationship Id="rId2601" Type="http://schemas.openxmlformats.org/officeDocument/2006/relationships/hyperlink" Target="https://icki-sushi-muret.ma-commande.fr/icki-sushi-muret/muret-centre/1327/0/12069/page.htm" TargetMode="External"/><Relationship Id="rId2602" Type="http://schemas.openxmlformats.org/officeDocument/2006/relationships/hyperlink" Target="https://www.google.com/maps/search/?api=1&amp;query=43.4635649,1.3257335" TargetMode="External"/><Relationship Id="rId2603" Type="http://schemas.openxmlformats.org/officeDocument/2006/relationships/hyperlink" Target="https://www.openstreetmap.org/node/8185271916" TargetMode="External"/><Relationship Id="rId2604" Type="http://schemas.openxmlformats.org/officeDocument/2006/relationships/hyperlink" Target="https://www.larcencielmuret.com/" TargetMode="External"/><Relationship Id="rId2605" Type="http://schemas.openxmlformats.org/officeDocument/2006/relationships/hyperlink" Target="https://www.google.com/maps/search/?api=1&amp;query=43.4476985,1.2717116" TargetMode="External"/><Relationship Id="rId2606" Type="http://schemas.openxmlformats.org/officeDocument/2006/relationships/hyperlink" Target="https://www.openstreetmap.org/way/143474755" TargetMode="External"/><Relationship Id="rId2607" Type="http://schemas.openxmlformats.org/officeDocument/2006/relationships/hyperlink" Target="https://restaurant-opaline.fr/" TargetMode="External"/><Relationship Id="rId2608" Type="http://schemas.openxmlformats.org/officeDocument/2006/relationships/hyperlink" Target="https://www.google.com/maps/search/?api=1&amp;query=43.4653389,1.2646352" TargetMode="External"/><Relationship Id="rId2609" Type="http://schemas.openxmlformats.org/officeDocument/2006/relationships/hyperlink" Target="https://www.openstreetmap.org/way/81792828" TargetMode="External"/><Relationship Id="rId2610" Type="http://schemas.openxmlformats.org/officeDocument/2006/relationships/hyperlink" Target="https://www.google.com/maps/search/?api=1&amp;query=43.4599442,1.3273863" TargetMode="External"/><Relationship Id="rId2611" Type="http://schemas.openxmlformats.org/officeDocument/2006/relationships/hyperlink" Target="https://www.openstreetmap.org/node/8808554030" TargetMode="External"/><Relationship Id="rId2612" Type="http://schemas.openxmlformats.org/officeDocument/2006/relationships/hyperlink" Target="https://www.la-boucherie.fr/" TargetMode="External"/><Relationship Id="rId2613" Type="http://schemas.openxmlformats.org/officeDocument/2006/relationships/hyperlink" Target="https://www.google.com/maps/search/?api=1&amp;query=43.4722017,1.3321432" TargetMode="External"/><Relationship Id="rId2614" Type="http://schemas.openxmlformats.org/officeDocument/2006/relationships/hyperlink" Target="https://www.openstreetmap.org/node/4581256096" TargetMode="External"/><Relationship Id="rId2615" Type="http://schemas.openxmlformats.org/officeDocument/2006/relationships/hyperlink" Target="https://www.lagrange31.fr/" TargetMode="External"/><Relationship Id="rId2616" Type="http://schemas.openxmlformats.org/officeDocument/2006/relationships/hyperlink" Target="https://www.google.com/maps/search/?api=1&amp;query=43.4774058,1.3347772" TargetMode="External"/><Relationship Id="rId2617" Type="http://schemas.openxmlformats.org/officeDocument/2006/relationships/hyperlink" Target="https://www.openstreetmap.org/node/8184640782" TargetMode="External"/><Relationship Id="rId2618" Type="http://schemas.openxmlformats.org/officeDocument/2006/relationships/hyperlink" Target="https://www.google.com/maps/search/?api=1&amp;query=43.4819109,1.3348742" TargetMode="External"/><Relationship Id="rId2619" Type="http://schemas.openxmlformats.org/officeDocument/2006/relationships/hyperlink" Target="https://www.openstreetmap.org/way/81402399" TargetMode="External"/><Relationship Id="rId2620" Type="http://schemas.openxmlformats.org/officeDocument/2006/relationships/hyperlink" Target="https://lescenario-muret.fr/" TargetMode="External"/><Relationship Id="rId2621" Type="http://schemas.openxmlformats.org/officeDocument/2006/relationships/hyperlink" Target="https://www.google.com/maps/search/?api=1&amp;query=43.4726847,1.3323251" TargetMode="External"/><Relationship Id="rId2622" Type="http://schemas.openxmlformats.org/officeDocument/2006/relationships/hyperlink" Target="https://www.openstreetmap.org/node/7812073689" TargetMode="External"/><Relationship Id="rId2623" Type="http://schemas.openxmlformats.org/officeDocument/2006/relationships/hyperlink" Target="https://www.google.com/maps/search/?api=1&amp;query=43.4716417,1.3316937" TargetMode="External"/><Relationship Id="rId2624" Type="http://schemas.openxmlformats.org/officeDocument/2006/relationships/hyperlink" Target="https://www.openstreetmap.org/node/7812085287" TargetMode="External"/><Relationship Id="rId2625" Type="http://schemas.openxmlformats.org/officeDocument/2006/relationships/hyperlink" Target="https://www.google.com/maps/search/?api=1&amp;query=43.4609813,1.3270333" TargetMode="External"/><Relationship Id="rId2626" Type="http://schemas.openxmlformats.org/officeDocument/2006/relationships/hyperlink" Target="https://www.openstreetmap.org/node/7973860431" TargetMode="External"/><Relationship Id="rId2627" Type="http://schemas.openxmlformats.org/officeDocument/2006/relationships/hyperlink" Target="https://www.google.com/maps/search/?api=1&amp;query=43.4567595,1.3327046" TargetMode="External"/><Relationship Id="rId2628" Type="http://schemas.openxmlformats.org/officeDocument/2006/relationships/hyperlink" Target="https://www.openstreetmap.org/node/8699488517" TargetMode="External"/><Relationship Id="rId2629" Type="http://schemas.openxmlformats.org/officeDocument/2006/relationships/hyperlink" Target="https://www.google.com/maps/search/?api=1&amp;query=43.4607683,1.3269591" TargetMode="External"/><Relationship Id="rId2630" Type="http://schemas.openxmlformats.org/officeDocument/2006/relationships/hyperlink" Target="https://www.openstreetmap.org/node/9124429917" TargetMode="External"/><Relationship Id="rId2631" Type="http://schemas.openxmlformats.org/officeDocument/2006/relationships/hyperlink" Target="https://www.restaurant-nagoya.fr/" TargetMode="External"/><Relationship Id="rId2632" Type="http://schemas.openxmlformats.org/officeDocument/2006/relationships/hyperlink" Target="https://www.google.com/maps/search/?api=1&amp;query=43.4805908,1.3328195" TargetMode="External"/><Relationship Id="rId2633" Type="http://schemas.openxmlformats.org/officeDocument/2006/relationships/hyperlink" Target="https://www.openstreetmap.org/way/81402684" TargetMode="External"/><Relationship Id="rId2634" Type="http://schemas.openxmlformats.org/officeDocument/2006/relationships/hyperlink" Target="https://www.google.com/maps/search/?api=1&amp;query=43.4719282,1.331843" TargetMode="External"/><Relationship Id="rId2635" Type="http://schemas.openxmlformats.org/officeDocument/2006/relationships/hyperlink" Target="https://www.openstreetmap.org/node/7812085485" TargetMode="External"/><Relationship Id="rId2636" Type="http://schemas.openxmlformats.org/officeDocument/2006/relationships/hyperlink" Target="https://www.google.com/maps/search/?api=1&amp;query=43.4632082,1.3251446" TargetMode="External"/><Relationship Id="rId2637" Type="http://schemas.openxmlformats.org/officeDocument/2006/relationships/hyperlink" Target="https://www.openstreetmap.org/node/8109758817" TargetMode="External"/><Relationship Id="rId2638" Type="http://schemas.openxmlformats.org/officeDocument/2006/relationships/hyperlink" Target="https://www.pizza-mongelli.com/" TargetMode="External"/><Relationship Id="rId2639" Type="http://schemas.openxmlformats.org/officeDocument/2006/relationships/hyperlink" Target="https://www.google.com/maps/search/?api=1&amp;query=43.4620757,1.3243123" TargetMode="External"/><Relationship Id="rId2640" Type="http://schemas.openxmlformats.org/officeDocument/2006/relationships/hyperlink" Target="https://www.openstreetmap.org/node/5993375824" TargetMode="External"/><Relationship Id="rId2641" Type="http://schemas.openxmlformats.org/officeDocument/2006/relationships/hyperlink" Target="https://pizzarello.fr/" TargetMode="External"/><Relationship Id="rId2642" Type="http://schemas.openxmlformats.org/officeDocument/2006/relationships/hyperlink" Target="https://www.google.com/maps/search/?api=1&amp;query=43.4453914,1.3160504" TargetMode="External"/><Relationship Id="rId2643" Type="http://schemas.openxmlformats.org/officeDocument/2006/relationships/hyperlink" Target="https://www.openstreetmap.org/node/4134253562" TargetMode="External"/><Relationship Id="rId2644" Type="http://schemas.openxmlformats.org/officeDocument/2006/relationships/hyperlink" Target="https://www.pizza-salvadora-muret.fr/" TargetMode="External"/><Relationship Id="rId2645" Type="http://schemas.openxmlformats.org/officeDocument/2006/relationships/hyperlink" Target="https://www.google.com/maps/search/?api=1&amp;query=43.4600383,1.3257407" TargetMode="External"/><Relationship Id="rId2646" Type="http://schemas.openxmlformats.org/officeDocument/2006/relationships/hyperlink" Target="https://www.openstreetmap.org/node/482748155" TargetMode="External"/><Relationship Id="rId2647" Type="http://schemas.openxmlformats.org/officeDocument/2006/relationships/hyperlink" Target="https://www.google.com/maps/search/?api=1&amp;query=43.4584384,1.3254838" TargetMode="External"/><Relationship Id="rId2648" Type="http://schemas.openxmlformats.org/officeDocument/2006/relationships/hyperlink" Target="https://www.openstreetmap.org/node/8699396220" TargetMode="External"/><Relationship Id="rId2649" Type="http://schemas.openxmlformats.org/officeDocument/2006/relationships/hyperlink" Target="https://www.google.com/maps/search/?api=1&amp;query=43.4559466,1.3297229" TargetMode="External"/><Relationship Id="rId2650" Type="http://schemas.openxmlformats.org/officeDocument/2006/relationships/hyperlink" Target="https://www.openstreetmap.org/node/7812085285" TargetMode="External"/><Relationship Id="rId2651" Type="http://schemas.openxmlformats.org/officeDocument/2006/relationships/hyperlink" Target="https://www.google.com/maps/search/?api=1&amp;query=43.4898335,1.3430088" TargetMode="External"/><Relationship Id="rId2652" Type="http://schemas.openxmlformats.org/officeDocument/2006/relationships/hyperlink" Target="https://www.openstreetmap.org/way/81401972" TargetMode="External"/><Relationship Id="rId2653" Type="http://schemas.openxmlformats.org/officeDocument/2006/relationships/hyperlink" Target="https://www.google.com/maps/search/?api=1&amp;query=43.4642273,1.32534" TargetMode="External"/><Relationship Id="rId2654" Type="http://schemas.openxmlformats.org/officeDocument/2006/relationships/hyperlink" Target="https://www.openstreetmap.org/node/12014601017" TargetMode="External"/><Relationship Id="rId2655" Type="http://schemas.openxmlformats.org/officeDocument/2006/relationships/hyperlink" Target="http://www.osaintchristophe.fr/" TargetMode="External"/><Relationship Id="rId2656" Type="http://schemas.openxmlformats.org/officeDocument/2006/relationships/hyperlink" Target="https://www.google.com/maps/search/?api=1&amp;query=43.4693868,1.3290916" TargetMode="External"/><Relationship Id="rId2657" Type="http://schemas.openxmlformats.org/officeDocument/2006/relationships/hyperlink" Target="https://www.openstreetmap.org/node/1872507452" TargetMode="External"/><Relationship Id="rId2658" Type="http://schemas.openxmlformats.org/officeDocument/2006/relationships/hyperlink" Target="https://www.google.com/maps/search/?api=1&amp;query=43.5587634,1.3656892" TargetMode="External"/><Relationship Id="rId2659" Type="http://schemas.openxmlformats.org/officeDocument/2006/relationships/hyperlink" Target="https://www.openstreetmap.org/node/6900837106" TargetMode="External"/><Relationship Id="rId2660" Type="http://schemas.openxmlformats.org/officeDocument/2006/relationships/hyperlink" Target="https://www.ciel-a-table.fr/fr/" TargetMode="External"/><Relationship Id="rId2661" Type="http://schemas.openxmlformats.org/officeDocument/2006/relationships/hyperlink" Target="https://www.google.com/maps/search/?api=1&amp;query=43.5363499,1.3441361" TargetMode="External"/><Relationship Id="rId2662" Type="http://schemas.openxmlformats.org/officeDocument/2006/relationships/hyperlink" Target="https://www.openstreetmap.org/node/12112184396" TargetMode="External"/><Relationship Id="rId2663" Type="http://schemas.openxmlformats.org/officeDocument/2006/relationships/hyperlink" Target="https://www.google.com/maps/search/?api=1&amp;query=43.5481103,1.3497508" TargetMode="External"/><Relationship Id="rId2664" Type="http://schemas.openxmlformats.org/officeDocument/2006/relationships/hyperlink" Target="https://www.openstreetmap.org/node/10832518154" TargetMode="External"/><Relationship Id="rId2665" Type="http://schemas.openxmlformats.org/officeDocument/2006/relationships/hyperlink" Target="https://www.google.com/maps/search/?api=1&amp;query=43.5354138,1.3635171" TargetMode="External"/><Relationship Id="rId2666" Type="http://schemas.openxmlformats.org/officeDocument/2006/relationships/hyperlink" Target="https://www.openstreetmap.org/node/7444961591" TargetMode="External"/><Relationship Id="rId2667" Type="http://schemas.openxmlformats.org/officeDocument/2006/relationships/hyperlink" Target="https://www.google.com/maps/search/?api=1&amp;query=43.5376189,1.3423262" TargetMode="External"/><Relationship Id="rId2668" Type="http://schemas.openxmlformats.org/officeDocument/2006/relationships/hyperlink" Target="https://www.openstreetmap.org/node/12121942093" TargetMode="External"/><Relationship Id="rId2669" Type="http://schemas.openxmlformats.org/officeDocument/2006/relationships/hyperlink" Target="https://www.las2pizz.fr/" TargetMode="External"/><Relationship Id="rId2670" Type="http://schemas.openxmlformats.org/officeDocument/2006/relationships/hyperlink" Target="https://www.google.com/maps/search/?api=1&amp;query=43.5581583,1.3652627" TargetMode="External"/><Relationship Id="rId2671" Type="http://schemas.openxmlformats.org/officeDocument/2006/relationships/hyperlink" Target="https://www.openstreetmap.org/node/3519552229" TargetMode="External"/><Relationship Id="rId2672" Type="http://schemas.openxmlformats.org/officeDocument/2006/relationships/hyperlink" Target="https://lescale-cugnaux.eatbu.com/" TargetMode="External"/><Relationship Id="rId2673" Type="http://schemas.openxmlformats.org/officeDocument/2006/relationships/hyperlink" Target="https://www.google.com/maps/search/?api=1&amp;query=43.5370141,1.3679806" TargetMode="External"/><Relationship Id="rId2674" Type="http://schemas.openxmlformats.org/officeDocument/2006/relationships/hyperlink" Target="https://www.openstreetmap.org/way/70495554" TargetMode="External"/><Relationship Id="rId2675" Type="http://schemas.openxmlformats.org/officeDocument/2006/relationships/hyperlink" Target="https://www.google.com/maps/search/?api=1&amp;query=43.5399156,1.346249" TargetMode="External"/><Relationship Id="rId2676" Type="http://schemas.openxmlformats.org/officeDocument/2006/relationships/hyperlink" Target="https://www.openstreetmap.org/node/12106523894" TargetMode="External"/><Relationship Id="rId2677" Type="http://schemas.openxmlformats.org/officeDocument/2006/relationships/hyperlink" Target="https://www.google.com/maps/search/?api=1&amp;query=43.5381403,1.3415964" TargetMode="External"/><Relationship Id="rId2678" Type="http://schemas.openxmlformats.org/officeDocument/2006/relationships/hyperlink" Target="https://www.openstreetmap.org/node/13514956762" TargetMode="External"/><Relationship Id="rId2679" Type="http://schemas.openxmlformats.org/officeDocument/2006/relationships/hyperlink" Target="https://www.google.com/maps/search/?api=1&amp;query=43.5367884,1.3437064" TargetMode="External"/><Relationship Id="rId2680" Type="http://schemas.openxmlformats.org/officeDocument/2006/relationships/hyperlink" Target="https://www.openstreetmap.org/node/7445425887" TargetMode="External"/><Relationship Id="rId2681" Type="http://schemas.openxmlformats.org/officeDocument/2006/relationships/hyperlink" Target="https://www.google.com/maps/search/?api=1&amp;query=43.5583258,1.365471" TargetMode="External"/><Relationship Id="rId2682" Type="http://schemas.openxmlformats.org/officeDocument/2006/relationships/hyperlink" Target="https://www.openstreetmap.org/node/5001278129" TargetMode="External"/><Relationship Id="rId2683" Type="http://schemas.openxmlformats.org/officeDocument/2006/relationships/hyperlink" Target="https://www.restaurantlebillot.fr/restaurant-cugnaux" TargetMode="External"/><Relationship Id="rId2684" Type="http://schemas.openxmlformats.org/officeDocument/2006/relationships/hyperlink" Target="https://www.google.com/maps/search/?api=1&amp;query=43.5466345,1.3525667" TargetMode="External"/><Relationship Id="rId2685" Type="http://schemas.openxmlformats.org/officeDocument/2006/relationships/hyperlink" Target="https://www.openstreetmap.org/node/12306698182" TargetMode="External"/><Relationship Id="rId2686" Type="http://schemas.openxmlformats.org/officeDocument/2006/relationships/hyperlink" Target="https://www.google.com/maps/search/?api=1&amp;query=43.5362919,1.3442412" TargetMode="External"/><Relationship Id="rId2687" Type="http://schemas.openxmlformats.org/officeDocument/2006/relationships/hyperlink" Target="https://www.openstreetmap.org/node/12112205719" TargetMode="External"/><Relationship Id="rId2688" Type="http://schemas.openxmlformats.org/officeDocument/2006/relationships/hyperlink" Target="https://www.google.com/maps/search/?api=1&amp;query=43.5388078,1.3458059" TargetMode="External"/><Relationship Id="rId2689" Type="http://schemas.openxmlformats.org/officeDocument/2006/relationships/hyperlink" Target="https://www.openstreetmap.org/node/12115199303" TargetMode="External"/><Relationship Id="rId2690" Type="http://schemas.openxmlformats.org/officeDocument/2006/relationships/hyperlink" Target="https://levenitien-cugnaux.eatbu.com/" TargetMode="External"/><Relationship Id="rId2691" Type="http://schemas.openxmlformats.org/officeDocument/2006/relationships/hyperlink" Target="https://www.google.com/maps/search/?api=1&amp;query=43.5299993,1.3515796" TargetMode="External"/><Relationship Id="rId2692" Type="http://schemas.openxmlformats.org/officeDocument/2006/relationships/hyperlink" Target="https://www.openstreetmap.org/node/7416692883" TargetMode="External"/><Relationship Id="rId2693" Type="http://schemas.openxmlformats.org/officeDocument/2006/relationships/hyperlink" Target="https://www.google.com/maps/search/?api=1&amp;query=43.5549982,1.3667767" TargetMode="External"/><Relationship Id="rId2694" Type="http://schemas.openxmlformats.org/officeDocument/2006/relationships/hyperlink" Target="https://www.openstreetmap.org/node/10802233783" TargetMode="External"/><Relationship Id="rId2695" Type="http://schemas.openxmlformats.org/officeDocument/2006/relationships/hyperlink" Target="https://www.google.com/maps/search/?api=1&amp;query=43.5375732,1.3424281" TargetMode="External"/><Relationship Id="rId2696" Type="http://schemas.openxmlformats.org/officeDocument/2006/relationships/hyperlink" Target="https://www.openstreetmap.org/node/12121942091" TargetMode="External"/><Relationship Id="rId2697" Type="http://schemas.openxmlformats.org/officeDocument/2006/relationships/hyperlink" Target="https://www.google.com/maps/search/?api=1&amp;query=43.5301489,1.3513625" TargetMode="External"/><Relationship Id="rId2698" Type="http://schemas.openxmlformats.org/officeDocument/2006/relationships/hyperlink" Target="https://www.openstreetmap.org/node/7419348049" TargetMode="External"/><Relationship Id="rId2699" Type="http://schemas.openxmlformats.org/officeDocument/2006/relationships/hyperlink" Target="https://www.google.com/maps/search/?api=1&amp;query=43.5380865,1.3410186" TargetMode="External"/><Relationship Id="rId2700" Type="http://schemas.openxmlformats.org/officeDocument/2006/relationships/hyperlink" Target="https://www.openstreetmap.org/node/12121954218" TargetMode="External"/><Relationship Id="rId2701" Type="http://schemas.openxmlformats.org/officeDocument/2006/relationships/hyperlink" Target="https://www.google.com/maps/search/?api=1&amp;query=43.536976,1.3430255" TargetMode="External"/><Relationship Id="rId2702" Type="http://schemas.openxmlformats.org/officeDocument/2006/relationships/hyperlink" Target="https://www.openstreetmap.org/node/12291688422" TargetMode="External"/><Relationship Id="rId2703" Type="http://schemas.openxmlformats.org/officeDocument/2006/relationships/hyperlink" Target="https://www.instagram.com/mrdokebab" TargetMode="External"/><Relationship Id="rId2704" Type="http://schemas.openxmlformats.org/officeDocument/2006/relationships/hyperlink" Target="https://www.google.com/maps/search/?api=1&amp;query=43.5361017,1.3445216" TargetMode="External"/><Relationship Id="rId2705" Type="http://schemas.openxmlformats.org/officeDocument/2006/relationships/hyperlink" Target="https://www.openstreetmap.org/node/12102979230" TargetMode="External"/><Relationship Id="rId2706" Type="http://schemas.openxmlformats.org/officeDocument/2006/relationships/hyperlink" Target="https://www.google.com/maps/search/?api=1&amp;query=43.554012,1.3699783" TargetMode="External"/><Relationship Id="rId2707" Type="http://schemas.openxmlformats.org/officeDocument/2006/relationships/hyperlink" Target="https://www.openstreetmap.org/node/5905696865" TargetMode="External"/><Relationship Id="rId2708" Type="http://schemas.openxmlformats.org/officeDocument/2006/relationships/hyperlink" Target="https://www.google.com/maps/search/?api=1&amp;query=43.5405702,1.3463874" TargetMode="External"/><Relationship Id="rId2709" Type="http://schemas.openxmlformats.org/officeDocument/2006/relationships/hyperlink" Target="https://www.openstreetmap.org/node/12106579488" TargetMode="External"/><Relationship Id="rId2710" Type="http://schemas.openxmlformats.org/officeDocument/2006/relationships/hyperlink" Target="https://www.google.com/maps/search/?api=1&amp;query=43.5357613,1.3461152" TargetMode="External"/><Relationship Id="rId2711" Type="http://schemas.openxmlformats.org/officeDocument/2006/relationships/hyperlink" Target="https://www.openstreetmap.org/node/12112182178" TargetMode="External"/><Relationship Id="rId2712" Type="http://schemas.openxmlformats.org/officeDocument/2006/relationships/hyperlink" Target="https://www.google.com/maps/search/?api=1&amp;query=43.5387148,1.3457536" TargetMode="External"/><Relationship Id="rId2713" Type="http://schemas.openxmlformats.org/officeDocument/2006/relationships/hyperlink" Target="https://www.openstreetmap.org/node/12115148779" TargetMode="External"/><Relationship Id="rId2714" Type="http://schemas.openxmlformats.org/officeDocument/2006/relationships/hyperlink" Target="https://www.google.com/maps/search/?api=1&amp;query=43.5371551,1.3438652" TargetMode="External"/><Relationship Id="rId2715" Type="http://schemas.openxmlformats.org/officeDocument/2006/relationships/hyperlink" Target="https://www.openstreetmap.org/node/7442928086" TargetMode="External"/><Relationship Id="rId2716" Type="http://schemas.openxmlformats.org/officeDocument/2006/relationships/hyperlink" Target="https://www.google.com/maps/search/?api=1&amp;query=43.5373894,1.3428449" TargetMode="External"/><Relationship Id="rId2717" Type="http://schemas.openxmlformats.org/officeDocument/2006/relationships/hyperlink" Target="https://www.openstreetmap.org/node/12121942085" TargetMode="External"/><Relationship Id="rId2718" Type="http://schemas.openxmlformats.org/officeDocument/2006/relationships/hyperlink" Target="https://www.google.com/maps/search/?api=1&amp;query=43.5482463,1.3496487" TargetMode="External"/><Relationship Id="rId2719" Type="http://schemas.openxmlformats.org/officeDocument/2006/relationships/hyperlink" Target="https://www.openstreetmap.org/node/10832518155" TargetMode="External"/><Relationship Id="rId2720" Type="http://schemas.openxmlformats.org/officeDocument/2006/relationships/hyperlink" Target="https://www.google.com/maps/search/?api=1&amp;query=43.5319235,1.3562275" TargetMode="External"/><Relationship Id="rId2721" Type="http://schemas.openxmlformats.org/officeDocument/2006/relationships/hyperlink" Target="https://www.openstreetmap.org/node/13326155895" TargetMode="External"/><Relationship Id="rId2722" Type="http://schemas.openxmlformats.org/officeDocument/2006/relationships/hyperlink" Target="https://www.google.com/maps/search/?api=1&amp;query=43.5369676,1.3568942" TargetMode="External"/><Relationship Id="rId2723" Type="http://schemas.openxmlformats.org/officeDocument/2006/relationships/hyperlink" Target="https://www.openstreetmap.org/node/10688648700" TargetMode="External"/><Relationship Id="rId2724" Type="http://schemas.openxmlformats.org/officeDocument/2006/relationships/hyperlink" Target="https://www.google.com/maps/search/?api=1&amp;query=43.5974375,1.2917947" TargetMode="External"/><Relationship Id="rId2725" Type="http://schemas.openxmlformats.org/officeDocument/2006/relationships/hyperlink" Target="https://www.openstreetmap.org/way/74301628" TargetMode="External"/><Relationship Id="rId2726" Type="http://schemas.openxmlformats.org/officeDocument/2006/relationships/hyperlink" Target="https://www.google.com/maps/search/?api=1&amp;query=43.5665029,1.2974088" TargetMode="External"/><Relationship Id="rId2727" Type="http://schemas.openxmlformats.org/officeDocument/2006/relationships/hyperlink" Target="https://www.openstreetmap.org/node/11773561736" TargetMode="External"/><Relationship Id="rId2728" Type="http://schemas.openxmlformats.org/officeDocument/2006/relationships/hyperlink" Target="https://www.google.com/maps/search/?api=1&amp;query=43.567593,1.3081714" TargetMode="External"/><Relationship Id="rId2729" Type="http://schemas.openxmlformats.org/officeDocument/2006/relationships/hyperlink" Target="https://www.openstreetmap.org/node/12899654101" TargetMode="External"/><Relationship Id="rId2730" Type="http://schemas.openxmlformats.org/officeDocument/2006/relationships/hyperlink" Target="https://www.google.com/maps/search/?api=1&amp;query=43.5981424,1.2905462" TargetMode="External"/><Relationship Id="rId2731" Type="http://schemas.openxmlformats.org/officeDocument/2006/relationships/hyperlink" Target="https://www.openstreetmap.org/node/7683087356" TargetMode="External"/><Relationship Id="rId2732" Type="http://schemas.openxmlformats.org/officeDocument/2006/relationships/hyperlink" Target="https://www.google.com/maps/search/?api=1&amp;query=43.5707322,1.3124331" TargetMode="External"/><Relationship Id="rId2733" Type="http://schemas.openxmlformats.org/officeDocument/2006/relationships/hyperlink" Target="https://www.openstreetmap.org/node/1414801645" TargetMode="External"/><Relationship Id="rId2734" Type="http://schemas.openxmlformats.org/officeDocument/2006/relationships/hyperlink" Target="https://www.google.com/maps/search/?api=1&amp;query=43.5628507,1.3036059" TargetMode="External"/><Relationship Id="rId2735" Type="http://schemas.openxmlformats.org/officeDocument/2006/relationships/hyperlink" Target="https://www.openstreetmap.org/node/11483191119" TargetMode="External"/><Relationship Id="rId2736" Type="http://schemas.openxmlformats.org/officeDocument/2006/relationships/hyperlink" Target="https://joyatoulouse.fr/" TargetMode="External"/><Relationship Id="rId2737" Type="http://schemas.openxmlformats.org/officeDocument/2006/relationships/hyperlink" Target="https://www.google.com/maps/search/?api=1&amp;query=43.570856,1.3135114" TargetMode="External"/><Relationship Id="rId2738" Type="http://schemas.openxmlformats.org/officeDocument/2006/relationships/hyperlink" Target="https://www.openstreetmap.org/node/13167335205" TargetMode="External"/><Relationship Id="rId2739" Type="http://schemas.openxmlformats.org/officeDocument/2006/relationships/hyperlink" Target="https://www.google.com/maps/search/?api=1&amp;query=43.591522,1.2985628" TargetMode="External"/><Relationship Id="rId2740" Type="http://schemas.openxmlformats.org/officeDocument/2006/relationships/hyperlink" Target="https://www.openstreetmap.org/way/612954693" TargetMode="External"/><Relationship Id="rId2741" Type="http://schemas.openxmlformats.org/officeDocument/2006/relationships/hyperlink" Target="https://www.lacoteetlarete.fr/" TargetMode="External"/><Relationship Id="rId2742" Type="http://schemas.openxmlformats.org/officeDocument/2006/relationships/hyperlink" Target="https://www.google.com/maps/search/?api=1&amp;query=43.5698205,1.3083598" TargetMode="External"/><Relationship Id="rId2743" Type="http://schemas.openxmlformats.org/officeDocument/2006/relationships/hyperlink" Target="https://www.openstreetmap.org/node/443209272" TargetMode="External"/><Relationship Id="rId2744" Type="http://schemas.openxmlformats.org/officeDocument/2006/relationships/hyperlink" Target="https://www.google.com/maps/search/?api=1&amp;query=43.5969945,1.2910371" TargetMode="External"/><Relationship Id="rId2745" Type="http://schemas.openxmlformats.org/officeDocument/2006/relationships/hyperlink" Target="https://www.openstreetmap.org/node/6041492062" TargetMode="External"/><Relationship Id="rId2746" Type="http://schemas.openxmlformats.org/officeDocument/2006/relationships/hyperlink" Target="https://www.google.com/maps/search/?api=1&amp;query=43.5980643,1.2909794" TargetMode="External"/><Relationship Id="rId2747" Type="http://schemas.openxmlformats.org/officeDocument/2006/relationships/hyperlink" Target="https://www.openstreetmap.org/node/11521229865" TargetMode="External"/><Relationship Id="rId2748" Type="http://schemas.openxmlformats.org/officeDocument/2006/relationships/hyperlink" Target="https://www.google.com/maps/search/?api=1&amp;query=43.5628944,1.304196" TargetMode="External"/><Relationship Id="rId2749" Type="http://schemas.openxmlformats.org/officeDocument/2006/relationships/hyperlink" Target="https://www.openstreetmap.org/node/11483191118" TargetMode="External"/><Relationship Id="rId2750" Type="http://schemas.openxmlformats.org/officeDocument/2006/relationships/hyperlink" Target="https://www.google.com/maps/search/?api=1&amp;query=43.5623786,1.2912622" TargetMode="External"/><Relationship Id="rId2751" Type="http://schemas.openxmlformats.org/officeDocument/2006/relationships/hyperlink" Target="https://www.openstreetmap.org/node/11494985812" TargetMode="External"/><Relationship Id="rId2752" Type="http://schemas.openxmlformats.org/officeDocument/2006/relationships/hyperlink" Target="https://www.mademoiselle-soline.fr/" TargetMode="External"/><Relationship Id="rId2753" Type="http://schemas.openxmlformats.org/officeDocument/2006/relationships/hyperlink" Target="https://www.google.com/maps/search/?api=1&amp;query=43.5651982,1.2961574" TargetMode="External"/><Relationship Id="rId2754" Type="http://schemas.openxmlformats.org/officeDocument/2006/relationships/hyperlink" Target="https://www.openstreetmap.org/node/11773561686" TargetMode="External"/><Relationship Id="rId2755" Type="http://schemas.openxmlformats.org/officeDocument/2006/relationships/hyperlink" Target="https://www.google.com/maps/search/?api=1&amp;query=43.5956276,1.2877226" TargetMode="External"/><Relationship Id="rId2756" Type="http://schemas.openxmlformats.org/officeDocument/2006/relationships/hyperlink" Target="https://www.openstreetmap.org/way/612954732" TargetMode="External"/><Relationship Id="rId2757" Type="http://schemas.openxmlformats.org/officeDocument/2006/relationships/hyperlink" Target="https://moya31830.fr/" TargetMode="External"/><Relationship Id="rId2758" Type="http://schemas.openxmlformats.org/officeDocument/2006/relationships/hyperlink" Target="https://www.google.com/maps/search/?api=1&amp;query=43.5976953,1.2899957" TargetMode="External"/><Relationship Id="rId2759" Type="http://schemas.openxmlformats.org/officeDocument/2006/relationships/hyperlink" Target="https://www.openstreetmap.org/node/7869615413" TargetMode="External"/><Relationship Id="rId2760" Type="http://schemas.openxmlformats.org/officeDocument/2006/relationships/hyperlink" Target="https://www.google.com/maps/search/?api=1&amp;query=43.5707298,1.3127157" TargetMode="External"/><Relationship Id="rId2761" Type="http://schemas.openxmlformats.org/officeDocument/2006/relationships/hyperlink" Target="https://www.openstreetmap.org/node/1414753104" TargetMode="External"/><Relationship Id="rId2762" Type="http://schemas.openxmlformats.org/officeDocument/2006/relationships/hyperlink" Target="https://www.google.com/maps/search/?api=1&amp;query=43.567647,1.3082758" TargetMode="External"/><Relationship Id="rId2763" Type="http://schemas.openxmlformats.org/officeDocument/2006/relationships/hyperlink" Target="https://www.openstreetmap.org/node/11524546268" TargetMode="External"/><Relationship Id="rId2764" Type="http://schemas.openxmlformats.org/officeDocument/2006/relationships/hyperlink" Target="https://www.google.com/maps/search/?api=1&amp;query=43.5667422,1.2962646" TargetMode="External"/><Relationship Id="rId2765" Type="http://schemas.openxmlformats.org/officeDocument/2006/relationships/hyperlink" Target="https://www.openstreetmap.org/node/11482251438" TargetMode="External"/><Relationship Id="rId2766" Type="http://schemas.openxmlformats.org/officeDocument/2006/relationships/hyperlink" Target="https://www.google.com/maps/search/?api=1&amp;query=43.5654819,1.2976197" TargetMode="External"/><Relationship Id="rId2767" Type="http://schemas.openxmlformats.org/officeDocument/2006/relationships/hyperlink" Target="https://www.openstreetmap.org/node/2078544492" TargetMode="External"/><Relationship Id="rId2768" Type="http://schemas.openxmlformats.org/officeDocument/2006/relationships/hyperlink" Target="https://www.amafolia.fr/" TargetMode="External"/><Relationship Id="rId2769" Type="http://schemas.openxmlformats.org/officeDocument/2006/relationships/hyperlink" Target="https://www.google.com/maps/search/?api=1&amp;query=43.6250593,1.4860941" TargetMode="External"/><Relationship Id="rId2770" Type="http://schemas.openxmlformats.org/officeDocument/2006/relationships/hyperlink" Target="https://www.openstreetmap.org/node/10542366502" TargetMode="External"/><Relationship Id="rId2771" Type="http://schemas.openxmlformats.org/officeDocument/2006/relationships/hyperlink" Target="https://www.google.com/maps/search/?api=1&amp;query=43.5858967,1.5243884" TargetMode="External"/><Relationship Id="rId2772" Type="http://schemas.openxmlformats.org/officeDocument/2006/relationships/hyperlink" Target="https://www.openstreetmap.org/node/1261028288" TargetMode="External"/><Relationship Id="rId2773" Type="http://schemas.openxmlformats.org/officeDocument/2006/relationships/hyperlink" Target="https://www.google.com/maps/search/?api=1&amp;query=43.6098978,1.4958596" TargetMode="External"/><Relationship Id="rId2774" Type="http://schemas.openxmlformats.org/officeDocument/2006/relationships/hyperlink" Target="https://www.openstreetmap.org/node/6875659059" TargetMode="External"/><Relationship Id="rId2775" Type="http://schemas.openxmlformats.org/officeDocument/2006/relationships/hyperlink" Target="https://www.restaurantflonflon.com/" TargetMode="External"/><Relationship Id="rId2776" Type="http://schemas.openxmlformats.org/officeDocument/2006/relationships/hyperlink" Target="https://www.google.com/maps/search/?api=1&amp;query=43.6315469,1.5003768" TargetMode="External"/><Relationship Id="rId2777" Type="http://schemas.openxmlformats.org/officeDocument/2006/relationships/hyperlink" Target="https://www.openstreetmap.org/node/9836098660" TargetMode="External"/><Relationship Id="rId2778" Type="http://schemas.openxmlformats.org/officeDocument/2006/relationships/hyperlink" Target="https://www.holocene-restaurant.fr/restaurant-balma" TargetMode="External"/><Relationship Id="rId2779" Type="http://schemas.openxmlformats.org/officeDocument/2006/relationships/hyperlink" Target="https://www.google.com/maps/search/?api=1&amp;query=43.6273435,1.4877641" TargetMode="External"/><Relationship Id="rId2780" Type="http://schemas.openxmlformats.org/officeDocument/2006/relationships/hyperlink" Target="https://www.openstreetmap.org/node/5526097102" TargetMode="External"/><Relationship Id="rId2781" Type="http://schemas.openxmlformats.org/officeDocument/2006/relationships/hyperlink" Target="https://pub-jacques.fr/" TargetMode="External"/><Relationship Id="rId2782" Type="http://schemas.openxmlformats.org/officeDocument/2006/relationships/hyperlink" Target="https://www.google.com/maps/search/?api=1&amp;query=43.5948644,1.4969621" TargetMode="External"/><Relationship Id="rId2783" Type="http://schemas.openxmlformats.org/officeDocument/2006/relationships/hyperlink" Target="https://www.openstreetmap.org/node/11853270387" TargetMode="External"/><Relationship Id="rId2784" Type="http://schemas.openxmlformats.org/officeDocument/2006/relationships/hyperlink" Target="https://www.google.com/maps/search/?api=1&amp;query=43.5863923,1.5014769" TargetMode="External"/><Relationship Id="rId2785" Type="http://schemas.openxmlformats.org/officeDocument/2006/relationships/hyperlink" Target="https://www.openstreetmap.org/way/64110356" TargetMode="External"/><Relationship Id="rId2786" Type="http://schemas.openxmlformats.org/officeDocument/2006/relationships/hyperlink" Target="https://www.google.com/maps/search/?api=1&amp;query=43.6097913,1.4972641" TargetMode="External"/><Relationship Id="rId2787" Type="http://schemas.openxmlformats.org/officeDocument/2006/relationships/hyperlink" Target="https://www.openstreetmap.org/node/6907921453" TargetMode="External"/><Relationship Id="rId2788" Type="http://schemas.openxmlformats.org/officeDocument/2006/relationships/hyperlink" Target="https://villadavinci.fr/" TargetMode="External"/><Relationship Id="rId2789" Type="http://schemas.openxmlformats.org/officeDocument/2006/relationships/hyperlink" Target="https://www.google.com/maps/search/?api=1&amp;query=43.6093075,1.4912158" TargetMode="External"/><Relationship Id="rId2790" Type="http://schemas.openxmlformats.org/officeDocument/2006/relationships/hyperlink" Target="https://www.openstreetmap.org/node/6465299490" TargetMode="External"/><Relationship Id="rId2791" Type="http://schemas.openxmlformats.org/officeDocument/2006/relationships/hyperlink" Target="https://www.google.com/maps/search/?api=1&amp;query=43.6099524,1.4966813" TargetMode="External"/><Relationship Id="rId2792" Type="http://schemas.openxmlformats.org/officeDocument/2006/relationships/hyperlink" Target="https://www.openstreetmap.org/node/10926968339" TargetMode="External"/><Relationship Id="rId2793" Type="http://schemas.openxmlformats.org/officeDocument/2006/relationships/hyperlink" Target="https://www.lecarrousel-balma.fr/" TargetMode="External"/><Relationship Id="rId2794" Type="http://schemas.openxmlformats.org/officeDocument/2006/relationships/hyperlink" Target="https://www.google.com/maps/search/?api=1&amp;query=43.5943789,1.4999447" TargetMode="External"/><Relationship Id="rId2795" Type="http://schemas.openxmlformats.org/officeDocument/2006/relationships/hyperlink" Target="https://www.openstreetmap.org/node/873828832" TargetMode="External"/><Relationship Id="rId2796" Type="http://schemas.openxmlformats.org/officeDocument/2006/relationships/hyperlink" Target="https://www.google.com/maps/search/?api=1&amp;query=43.6349436,1.4973487" TargetMode="External"/><Relationship Id="rId2797" Type="http://schemas.openxmlformats.org/officeDocument/2006/relationships/hyperlink" Target="https://www.openstreetmap.org/node/1180303041" TargetMode="External"/><Relationship Id="rId2798" Type="http://schemas.openxmlformats.org/officeDocument/2006/relationships/hyperlink" Target="https://www.lesfeuillantines.fr/" TargetMode="External"/><Relationship Id="rId2799" Type="http://schemas.openxmlformats.org/officeDocument/2006/relationships/hyperlink" Target="https://www.google.com/maps/search/?api=1&amp;query=43.6329931,1.5066472" TargetMode="External"/><Relationship Id="rId2800" Type="http://schemas.openxmlformats.org/officeDocument/2006/relationships/hyperlink" Target="https://www.openstreetmap.org/way/64109979" TargetMode="External"/><Relationship Id="rId2801" Type="http://schemas.openxmlformats.org/officeDocument/2006/relationships/hyperlink" Target="https://www.www.restaurant-lequilibre.fr/" TargetMode="External"/><Relationship Id="rId2802" Type="http://schemas.openxmlformats.org/officeDocument/2006/relationships/hyperlink" Target="https://www.google.com/maps/search/?api=1&amp;query=43.6094307,1.4980846" TargetMode="External"/><Relationship Id="rId2803" Type="http://schemas.openxmlformats.org/officeDocument/2006/relationships/hyperlink" Target="https://www.openstreetmap.org/node/6500567393" TargetMode="External"/><Relationship Id="rId2804" Type="http://schemas.openxmlformats.org/officeDocument/2006/relationships/hyperlink" Target="https://www.pizza-mongelli.com/pizzeria/balma/" TargetMode="External"/><Relationship Id="rId2805" Type="http://schemas.openxmlformats.org/officeDocument/2006/relationships/hyperlink" Target="https://www.google.com/maps/search/?api=1&amp;query=43.6085281,1.493087" TargetMode="External"/><Relationship Id="rId2806" Type="http://schemas.openxmlformats.org/officeDocument/2006/relationships/hyperlink" Target="https://www.openstreetmap.org/node/6465299726" TargetMode="External"/><Relationship Id="rId2807" Type="http://schemas.openxmlformats.org/officeDocument/2006/relationships/hyperlink" Target="https://www.google.com/maps/search/?api=1&amp;query=43.6284899,1.4872135" TargetMode="External"/><Relationship Id="rId2808" Type="http://schemas.openxmlformats.org/officeDocument/2006/relationships/hyperlink" Target="https://www.openstreetmap.org/node/11333040319" TargetMode="External"/><Relationship Id="rId2809" Type="http://schemas.openxmlformats.org/officeDocument/2006/relationships/hyperlink" Target="https://www.google.com/maps/search/?api=1&amp;query=43.6196774,1.5048795" TargetMode="External"/><Relationship Id="rId2810" Type="http://schemas.openxmlformats.org/officeDocument/2006/relationships/hyperlink" Target="https://www.openstreetmap.org/node/8634310223" TargetMode="External"/><Relationship Id="rId2811" Type="http://schemas.openxmlformats.org/officeDocument/2006/relationships/hyperlink" Target="https://www.pizzabonici.com/" TargetMode="External"/><Relationship Id="rId2812" Type="http://schemas.openxmlformats.org/officeDocument/2006/relationships/hyperlink" Target="https://www.google.com/maps/search/?api=1&amp;query=43.6114263,1.4954505" TargetMode="External"/><Relationship Id="rId2813" Type="http://schemas.openxmlformats.org/officeDocument/2006/relationships/hyperlink" Target="https://www.openstreetmap.org/node/12485147108" TargetMode="External"/><Relationship Id="rId2814" Type="http://schemas.openxmlformats.org/officeDocument/2006/relationships/hyperlink" Target="https://bufalinobalma.eatbu.com/" TargetMode="External"/><Relationship Id="rId2815" Type="http://schemas.openxmlformats.org/officeDocument/2006/relationships/hyperlink" Target="https://www.google.com/maps/search/?api=1&amp;query=43.6244581,1.4947109" TargetMode="External"/><Relationship Id="rId2816" Type="http://schemas.openxmlformats.org/officeDocument/2006/relationships/hyperlink" Target="https://www.openstreetmap.org/node/8615373380" TargetMode="External"/><Relationship Id="rId2817" Type="http://schemas.openxmlformats.org/officeDocument/2006/relationships/hyperlink" Target="https://www.google.com/maps/search/?api=1&amp;query=43.6281081,1.4922492" TargetMode="External"/><Relationship Id="rId2818" Type="http://schemas.openxmlformats.org/officeDocument/2006/relationships/hyperlink" Target="https://www.openstreetmap.org/way/328264609" TargetMode="External"/><Relationship Id="rId2819" Type="http://schemas.openxmlformats.org/officeDocument/2006/relationships/hyperlink" Target="https://www.google.com/maps/search/?api=1&amp;query=43.6250655,1.4936984" TargetMode="External"/><Relationship Id="rId2820" Type="http://schemas.openxmlformats.org/officeDocument/2006/relationships/hyperlink" Target="https://www.openstreetmap.org/node/11231123420" TargetMode="External"/><Relationship Id="rId2821" Type="http://schemas.openxmlformats.org/officeDocument/2006/relationships/hyperlink" Target="https://www.google.com/maps/search/?api=1&amp;query=43.6246521,1.4943875" TargetMode="External"/><Relationship Id="rId2822" Type="http://schemas.openxmlformats.org/officeDocument/2006/relationships/hyperlink" Target="https://www.openstreetmap.org/node/11231123421" TargetMode="External"/><Relationship Id="rId2823" Type="http://schemas.openxmlformats.org/officeDocument/2006/relationships/hyperlink" Target="https://apulian.fr/" TargetMode="External"/><Relationship Id="rId2824" Type="http://schemas.openxmlformats.org/officeDocument/2006/relationships/hyperlink" Target="https://www.google.com/maps/search/?api=1&amp;query=43.5440439,1.4791463" TargetMode="External"/><Relationship Id="rId2825" Type="http://schemas.openxmlformats.org/officeDocument/2006/relationships/hyperlink" Target="https://www.openstreetmap.org/node/12492193721" TargetMode="External"/><Relationship Id="rId2826" Type="http://schemas.openxmlformats.org/officeDocument/2006/relationships/hyperlink" Target="https://www.google.com/maps/search/?api=1&amp;query=43.5520044,1.4695586" TargetMode="External"/><Relationship Id="rId2827" Type="http://schemas.openxmlformats.org/officeDocument/2006/relationships/hyperlink" Target="https://www.openstreetmap.org/node/7433774461" TargetMode="External"/><Relationship Id="rId2828" Type="http://schemas.openxmlformats.org/officeDocument/2006/relationships/hyperlink" Target="https://www.buffalo-grill.fr/nos-restaurants/toulouse-ramonville-saint-agne" TargetMode="External"/><Relationship Id="rId2829" Type="http://schemas.openxmlformats.org/officeDocument/2006/relationships/hyperlink" Target="https://www.google.com/maps/search/?api=1&amp;query=43.5537855,1.4832234" TargetMode="External"/><Relationship Id="rId2830" Type="http://schemas.openxmlformats.org/officeDocument/2006/relationships/hyperlink" Target="https://www.openstreetmap.org/node/615204677" TargetMode="External"/><Relationship Id="rId2831" Type="http://schemas.openxmlformats.org/officeDocument/2006/relationships/hyperlink" Target="https://www.google.com/maps/search/?api=1&amp;query=43.546377,1.4756402" TargetMode="External"/><Relationship Id="rId2832" Type="http://schemas.openxmlformats.org/officeDocument/2006/relationships/hyperlink" Target="https://www.openstreetmap.org/node/4405674845" TargetMode="External"/><Relationship Id="rId2833" Type="http://schemas.openxmlformats.org/officeDocument/2006/relationships/hyperlink" Target="https://restaurant-capland.fr/" TargetMode="External"/><Relationship Id="rId2834" Type="http://schemas.openxmlformats.org/officeDocument/2006/relationships/hyperlink" Target="https://www.google.com/maps/search/?api=1&amp;query=43.5469713,1.478103" TargetMode="External"/><Relationship Id="rId2835" Type="http://schemas.openxmlformats.org/officeDocument/2006/relationships/hyperlink" Target="https://www.openstreetmap.org/node/4405518167" TargetMode="External"/><Relationship Id="rId2836" Type="http://schemas.openxmlformats.org/officeDocument/2006/relationships/hyperlink" Target="https://www.chez-david-ramonville.fr/" TargetMode="External"/><Relationship Id="rId2837" Type="http://schemas.openxmlformats.org/officeDocument/2006/relationships/hyperlink" Target="https://www.google.com/maps/search/?api=1&amp;query=43.5514062,1.4700937" TargetMode="External"/><Relationship Id="rId2838" Type="http://schemas.openxmlformats.org/officeDocument/2006/relationships/hyperlink" Target="https://www.openstreetmap.org/node/4335503353" TargetMode="External"/><Relationship Id="rId2839" Type="http://schemas.openxmlformats.org/officeDocument/2006/relationships/hyperlink" Target="https://latabledelaurent.com/" TargetMode="External"/><Relationship Id="rId2840" Type="http://schemas.openxmlformats.org/officeDocument/2006/relationships/hyperlink" Target="https://www.google.com/maps/search/?api=1&amp;query=43.5421958,1.4882581" TargetMode="External"/><Relationship Id="rId2841" Type="http://schemas.openxmlformats.org/officeDocument/2006/relationships/hyperlink" Target="https://www.openstreetmap.org/node/873545395" TargetMode="External"/><Relationship Id="rId2842" Type="http://schemas.openxmlformats.org/officeDocument/2006/relationships/hyperlink" Target="https://le103.eatbu.com/" TargetMode="External"/><Relationship Id="rId2843" Type="http://schemas.openxmlformats.org/officeDocument/2006/relationships/hyperlink" Target="https://www.google.com/maps/search/?api=1&amp;query=43.5398867,1.4791084" TargetMode="External"/><Relationship Id="rId2844" Type="http://schemas.openxmlformats.org/officeDocument/2006/relationships/hyperlink" Target="https://www.openstreetmap.org/node/873836112" TargetMode="External"/><Relationship Id="rId2845" Type="http://schemas.openxmlformats.org/officeDocument/2006/relationships/hyperlink" Target="http://www.lebikini.com/" TargetMode="External"/><Relationship Id="rId2846" Type="http://schemas.openxmlformats.org/officeDocument/2006/relationships/hyperlink" Target="https://www.google.com/maps/search/?api=1&amp;query=43.5479005,1.4854419" TargetMode="External"/><Relationship Id="rId2847" Type="http://schemas.openxmlformats.org/officeDocument/2006/relationships/hyperlink" Target="https://www.openstreetmap.org/node/2395146860" TargetMode="External"/><Relationship Id="rId2848" Type="http://schemas.openxmlformats.org/officeDocument/2006/relationships/hyperlink" Target="http://www.ledomainedemontjoie.com/restaurant/" TargetMode="External"/><Relationship Id="rId2849" Type="http://schemas.openxmlformats.org/officeDocument/2006/relationships/hyperlink" Target="https://www.google.com/maps/search/?api=1&amp;query=43.5400759,1.4603629" TargetMode="External"/><Relationship Id="rId2850" Type="http://schemas.openxmlformats.org/officeDocument/2006/relationships/hyperlink" Target="https://www.openstreetmap.org/node/6967111162" TargetMode="External"/><Relationship Id="rId2851" Type="http://schemas.openxmlformats.org/officeDocument/2006/relationships/hyperlink" Target="https://www.google.com/maps/search/?api=1&amp;query=43.5499873,1.4835496" TargetMode="External"/><Relationship Id="rId2852" Type="http://schemas.openxmlformats.org/officeDocument/2006/relationships/hyperlink" Target="https://www.openstreetmap.org/node/445763897" TargetMode="External"/><Relationship Id="rId2853" Type="http://schemas.openxmlformats.org/officeDocument/2006/relationships/hyperlink" Target="https://www.google.com/maps/search/?api=1&amp;query=43.5404508,1.4800824" TargetMode="External"/><Relationship Id="rId2854" Type="http://schemas.openxmlformats.org/officeDocument/2006/relationships/hyperlink" Target="https://www.openstreetmap.org/node/873743635" TargetMode="External"/><Relationship Id="rId2855" Type="http://schemas.openxmlformats.org/officeDocument/2006/relationships/hyperlink" Target="https://pizzanicoramonville.fr/" TargetMode="External"/><Relationship Id="rId2856" Type="http://schemas.openxmlformats.org/officeDocument/2006/relationships/hyperlink" Target="https://www.google.com/maps/search/?api=1&amp;query=43.5404898,1.4797544" TargetMode="External"/><Relationship Id="rId2857" Type="http://schemas.openxmlformats.org/officeDocument/2006/relationships/hyperlink" Target="https://www.openstreetmap.org/node/6557493819" TargetMode="External"/><Relationship Id="rId2858" Type="http://schemas.openxmlformats.org/officeDocument/2006/relationships/hyperlink" Target="https://www.pizza-mongelli.com/reservation-mongelli-ramonville/" TargetMode="External"/><Relationship Id="rId2859" Type="http://schemas.openxmlformats.org/officeDocument/2006/relationships/hyperlink" Target="https://www.google.com/maps/search/?api=1&amp;query=43.5427556,1.477981" TargetMode="External"/><Relationship Id="rId2860" Type="http://schemas.openxmlformats.org/officeDocument/2006/relationships/hyperlink" Target="https://www.openstreetmap.org/way/73847448" TargetMode="External"/><Relationship Id="rId2861" Type="http://schemas.openxmlformats.org/officeDocument/2006/relationships/hyperlink" Target="https://www.google.com/maps/search/?api=1&amp;query=43.5416853,1.4897244" TargetMode="External"/><Relationship Id="rId2862" Type="http://schemas.openxmlformats.org/officeDocument/2006/relationships/hyperlink" Target="https://www.openstreetmap.org/node/6461289447" TargetMode="External"/><Relationship Id="rId2863" Type="http://schemas.openxmlformats.org/officeDocument/2006/relationships/hyperlink" Target="https://www.google.com/maps/search/?api=1&amp;query=43.5500583,1.4835022" TargetMode="External"/><Relationship Id="rId2864" Type="http://schemas.openxmlformats.org/officeDocument/2006/relationships/hyperlink" Target="https://www.openstreetmap.org/node/1202313460" TargetMode="External"/><Relationship Id="rId2865" Type="http://schemas.openxmlformats.org/officeDocument/2006/relationships/hyperlink" Target="https://www.google.com/maps/search/?api=1&amp;query=43.5472642,1.4774895" TargetMode="External"/><Relationship Id="rId2866" Type="http://schemas.openxmlformats.org/officeDocument/2006/relationships/hyperlink" Target="https://www.openstreetmap.org/node/4405697381" TargetMode="External"/><Relationship Id="rId2867" Type="http://schemas.openxmlformats.org/officeDocument/2006/relationships/hyperlink" Target="https://www.google.com/maps/search/?api=1&amp;query=43.5476686,1.4780002" TargetMode="External"/><Relationship Id="rId2868" Type="http://schemas.openxmlformats.org/officeDocument/2006/relationships/hyperlink" Target="https://www.openstreetmap.org/node/4405697374" TargetMode="External"/><Relationship Id="rId2869" Type="http://schemas.openxmlformats.org/officeDocument/2006/relationships/hyperlink" Target="http://etape-d-asie.fr/" TargetMode="External"/><Relationship Id="rId2870" Type="http://schemas.openxmlformats.org/officeDocument/2006/relationships/hyperlink" Target="https://www.google.com/maps/search/?api=1&amp;query=43.5465954,1.4782568" TargetMode="External"/><Relationship Id="rId2871" Type="http://schemas.openxmlformats.org/officeDocument/2006/relationships/hyperlink" Target="https://www.openstreetmap.org/node/1430326679" TargetMode="External"/><Relationship Id="rId2872" Type="http://schemas.openxmlformats.org/officeDocument/2006/relationships/hyperlink" Target="https://www.google.com/maps/search/?api=1&amp;query=43.5161517,1.5009883" TargetMode="External"/><Relationship Id="rId2873" Type="http://schemas.openxmlformats.org/officeDocument/2006/relationships/hyperlink" Target="https://www.openstreetmap.org/node/2296505817" TargetMode="External"/><Relationship Id="rId2874" Type="http://schemas.openxmlformats.org/officeDocument/2006/relationships/hyperlink" Target="https://auxgoutsdailleurs.com/" TargetMode="External"/><Relationship Id="rId2875" Type="http://schemas.openxmlformats.org/officeDocument/2006/relationships/hyperlink" Target="https://www.google.com/maps/search/?api=1&amp;query=43.5164459,1.5007111" TargetMode="External"/><Relationship Id="rId2876" Type="http://schemas.openxmlformats.org/officeDocument/2006/relationships/hyperlink" Target="https://www.openstreetmap.org/node/7041334214" TargetMode="External"/><Relationship Id="rId2877" Type="http://schemas.openxmlformats.org/officeDocument/2006/relationships/hyperlink" Target="https://www.burgersetterroir.fr/" TargetMode="External"/><Relationship Id="rId2878" Type="http://schemas.openxmlformats.org/officeDocument/2006/relationships/hyperlink" Target="https://www.google.com/maps/search/?api=1&amp;query=43.5154198,1.4986571" TargetMode="External"/><Relationship Id="rId2879" Type="http://schemas.openxmlformats.org/officeDocument/2006/relationships/hyperlink" Target="https://www.openstreetmap.org/node/9140334433" TargetMode="External"/><Relationship Id="rId2880" Type="http://schemas.openxmlformats.org/officeDocument/2006/relationships/hyperlink" Target="http://candelu-pizza.fr/" TargetMode="External"/><Relationship Id="rId2881" Type="http://schemas.openxmlformats.org/officeDocument/2006/relationships/hyperlink" Target="https://www.google.com/maps/search/?api=1&amp;query=43.5184942,1.5059506" TargetMode="External"/><Relationship Id="rId2882" Type="http://schemas.openxmlformats.org/officeDocument/2006/relationships/hyperlink" Target="https://www.openstreetmap.org/node/493161924" TargetMode="External"/><Relationship Id="rId2883" Type="http://schemas.openxmlformats.org/officeDocument/2006/relationships/hyperlink" Target="https://www.google.com/maps/search/?api=1&amp;query=43.5180392,1.5078948" TargetMode="External"/><Relationship Id="rId2884" Type="http://schemas.openxmlformats.org/officeDocument/2006/relationships/hyperlink" Target="https://www.openstreetmap.org/node/1962619095" TargetMode="External"/><Relationship Id="rId2885" Type="http://schemas.openxmlformats.org/officeDocument/2006/relationships/hyperlink" Target="https://m.facebook.com/lantidoteRL/" TargetMode="External"/><Relationship Id="rId2886" Type="http://schemas.openxmlformats.org/officeDocument/2006/relationships/hyperlink" Target="https://www.google.com/maps/search/?api=1&amp;query=43.5156255,1.4989377" TargetMode="External"/><Relationship Id="rId2887" Type="http://schemas.openxmlformats.org/officeDocument/2006/relationships/hyperlink" Target="https://www.openstreetmap.org/node/9192683275" TargetMode="External"/><Relationship Id="rId2888" Type="http://schemas.openxmlformats.org/officeDocument/2006/relationships/hyperlink" Target="https://www.lassiettevoyageuse31.fr/" TargetMode="External"/><Relationship Id="rId2889" Type="http://schemas.openxmlformats.org/officeDocument/2006/relationships/hyperlink" Target="https://www.google.com/maps/search/?api=1&amp;query=43.518589,1.5062617" TargetMode="External"/><Relationship Id="rId2890" Type="http://schemas.openxmlformats.org/officeDocument/2006/relationships/hyperlink" Target="https://www.openstreetmap.org/node/11053505378" TargetMode="External"/><Relationship Id="rId2891" Type="http://schemas.openxmlformats.org/officeDocument/2006/relationships/hyperlink" Target="https://www.indochinecastanet.fr/" TargetMode="External"/><Relationship Id="rId2892" Type="http://schemas.openxmlformats.org/officeDocument/2006/relationships/hyperlink" Target="https://www.google.com/maps/search/?api=1&amp;query=43.5147133,1.4992049" TargetMode="External"/><Relationship Id="rId2893" Type="http://schemas.openxmlformats.org/officeDocument/2006/relationships/hyperlink" Target="https://www.openstreetmap.org/node/1557142740" TargetMode="External"/><Relationship Id="rId2894" Type="http://schemas.openxmlformats.org/officeDocument/2006/relationships/hyperlink" Target="https://www.google.com/maps/search/?api=1&amp;query=43.5167437,1.4982713" TargetMode="External"/><Relationship Id="rId2895" Type="http://schemas.openxmlformats.org/officeDocument/2006/relationships/hyperlink" Target="https://www.openstreetmap.org/node/1742819753" TargetMode="External"/><Relationship Id="rId2896" Type="http://schemas.openxmlformats.org/officeDocument/2006/relationships/hyperlink" Target="https://www.google.com/maps/search/?api=1&amp;query=43.5235102,1.5190065" TargetMode="External"/><Relationship Id="rId2897" Type="http://schemas.openxmlformats.org/officeDocument/2006/relationships/hyperlink" Target="https://www.openstreetmap.org/node/259131130" TargetMode="External"/><Relationship Id="rId2898" Type="http://schemas.openxmlformats.org/officeDocument/2006/relationships/hyperlink" Target="https://www.google.com/maps/search/?api=1&amp;query=43.5149076,1.4983899" TargetMode="External"/><Relationship Id="rId2899" Type="http://schemas.openxmlformats.org/officeDocument/2006/relationships/hyperlink" Target="https://www.openstreetmap.org/node/792684426" TargetMode="External"/><Relationship Id="rId2900" Type="http://schemas.openxmlformats.org/officeDocument/2006/relationships/hyperlink" Target="https://www.google.com/maps/search/?api=1&amp;query=43.5162723,1.5007898" TargetMode="External"/><Relationship Id="rId2901" Type="http://schemas.openxmlformats.org/officeDocument/2006/relationships/hyperlink" Target="https://www.openstreetmap.org/node/2296504345" TargetMode="External"/><Relationship Id="rId2902" Type="http://schemas.openxmlformats.org/officeDocument/2006/relationships/hyperlink" Target="https://lejardindelana.fr/" TargetMode="External"/><Relationship Id="rId2903" Type="http://schemas.openxmlformats.org/officeDocument/2006/relationships/hyperlink" Target="https://www.google.com/maps/search/?api=1&amp;query=43.5165509,1.4999924" TargetMode="External"/><Relationship Id="rId2904" Type="http://schemas.openxmlformats.org/officeDocument/2006/relationships/hyperlink" Target="https://www.openstreetmap.org/node/2356855691" TargetMode="External"/><Relationship Id="rId2905" Type="http://schemas.openxmlformats.org/officeDocument/2006/relationships/hyperlink" Target="https://pokoshi.fr/" TargetMode="External"/><Relationship Id="rId2906" Type="http://schemas.openxmlformats.org/officeDocument/2006/relationships/hyperlink" Target="https://www.google.com/maps/search/?api=1&amp;query=43.5152735,1.4978437" TargetMode="External"/><Relationship Id="rId2907" Type="http://schemas.openxmlformats.org/officeDocument/2006/relationships/hyperlink" Target="https://www.openstreetmap.org/node/12471634888" TargetMode="External"/><Relationship Id="rId2908" Type="http://schemas.openxmlformats.org/officeDocument/2006/relationships/hyperlink" Target="https://www.stephie-romeo.fr/" TargetMode="External"/><Relationship Id="rId2909" Type="http://schemas.openxmlformats.org/officeDocument/2006/relationships/hyperlink" Target="https://www.google.com/maps/search/?api=1&amp;query=43.5184686,1.5060788" TargetMode="External"/><Relationship Id="rId2910" Type="http://schemas.openxmlformats.org/officeDocument/2006/relationships/hyperlink" Target="https://www.openstreetmap.org/node/766485053" TargetMode="External"/><Relationship Id="rId2911" Type="http://schemas.openxmlformats.org/officeDocument/2006/relationships/hyperlink" Target="https://traditionpizza.fr/" TargetMode="External"/><Relationship Id="rId2912" Type="http://schemas.openxmlformats.org/officeDocument/2006/relationships/hyperlink" Target="https://www.google.com/maps/search/?api=1&amp;query=43.5149293,1.4989851" TargetMode="External"/><Relationship Id="rId2913" Type="http://schemas.openxmlformats.org/officeDocument/2006/relationships/hyperlink" Target="https://www.openstreetmap.org/node/2439030955" TargetMode="External"/><Relationship Id="rId2914" Type="http://schemas.openxmlformats.org/officeDocument/2006/relationships/hyperlink" Target="https://www.google.com/maps/search/?api=1&amp;query=43.5664019,1.5177656" TargetMode="External"/><Relationship Id="rId2915" Type="http://schemas.openxmlformats.org/officeDocument/2006/relationships/hyperlink" Target="https://www.openstreetmap.org/node/14137531225" TargetMode="External"/><Relationship Id="rId2916" Type="http://schemas.openxmlformats.org/officeDocument/2006/relationships/hyperlink" Target="https://www.google.com/maps/search/?api=1&amp;query=43.5514669,1.5245132" TargetMode="External"/><Relationship Id="rId2917" Type="http://schemas.openxmlformats.org/officeDocument/2006/relationships/hyperlink" Target="https://www.openstreetmap.org/node/598098457" TargetMode="External"/><Relationship Id="rId2918" Type="http://schemas.openxmlformats.org/officeDocument/2006/relationships/hyperlink" Target="https://www.google.com/maps/search/?api=1&amp;query=43.5515465,1.5337431" TargetMode="External"/><Relationship Id="rId2919" Type="http://schemas.openxmlformats.org/officeDocument/2006/relationships/hyperlink" Target="https://www.openstreetmap.org/node/13613040998" TargetMode="External"/><Relationship Id="rId2920" Type="http://schemas.openxmlformats.org/officeDocument/2006/relationships/hyperlink" Target="https://www.pitcholina.fr/" TargetMode="External"/><Relationship Id="rId2921" Type="http://schemas.openxmlformats.org/officeDocument/2006/relationships/hyperlink" Target="https://www.google.com/maps/search/?api=1&amp;query=43.5636295,1.5155111" TargetMode="External"/><Relationship Id="rId2922" Type="http://schemas.openxmlformats.org/officeDocument/2006/relationships/hyperlink" Target="https://www.openstreetmap.org/node/5140225073" TargetMode="External"/><Relationship Id="rId2923" Type="http://schemas.openxmlformats.org/officeDocument/2006/relationships/hyperlink" Target="https://bistro-regent.fr/" TargetMode="External"/><Relationship Id="rId2924" Type="http://schemas.openxmlformats.org/officeDocument/2006/relationships/hyperlink" Target="https://www.google.com/maps/search/?api=1&amp;query=43.5646574,1.5156551" TargetMode="External"/><Relationship Id="rId2925" Type="http://schemas.openxmlformats.org/officeDocument/2006/relationships/hyperlink" Target="https://www.openstreetmap.org/node/6968813837" TargetMode="External"/><Relationship Id="rId2926" Type="http://schemas.openxmlformats.org/officeDocument/2006/relationships/hyperlink" Target="https://www.google.com/maps/search/?api=1&amp;query=43.5605005,1.5308337" TargetMode="External"/><Relationship Id="rId2927" Type="http://schemas.openxmlformats.org/officeDocument/2006/relationships/hyperlink" Target="https://www.openstreetmap.org/node/1468318809" TargetMode="External"/><Relationship Id="rId2928" Type="http://schemas.openxmlformats.org/officeDocument/2006/relationships/hyperlink" Target="https://www.google.com/maps/search/?api=1&amp;query=43.5625396,1.5236768" TargetMode="External"/><Relationship Id="rId2929" Type="http://schemas.openxmlformats.org/officeDocument/2006/relationships/hyperlink" Target="https://www.openstreetmap.org/way/75016895" TargetMode="External"/><Relationship Id="rId2930" Type="http://schemas.openxmlformats.org/officeDocument/2006/relationships/hyperlink" Target="https://www.google.com/maps/search/?api=1&amp;query=43.5513036,1.5342852" TargetMode="External"/><Relationship Id="rId2931" Type="http://schemas.openxmlformats.org/officeDocument/2006/relationships/hyperlink" Target="https://www.openstreetmap.org/node/2969315016" TargetMode="External"/><Relationship Id="rId2932" Type="http://schemas.openxmlformats.org/officeDocument/2006/relationships/hyperlink" Target="https://www.delarte.fr/nos-restaurants/occitanie/haute-garonne/st-orens-de-gameville/pizzeria-toulouse-saint-orens" TargetMode="External"/><Relationship Id="rId2933" Type="http://schemas.openxmlformats.org/officeDocument/2006/relationships/hyperlink" Target="https://www.google.com/maps/search/?api=1&amp;query=43.5657485,1.5171172" TargetMode="External"/><Relationship Id="rId2934" Type="http://schemas.openxmlformats.org/officeDocument/2006/relationships/hyperlink" Target="https://www.openstreetmap.org/node/1468315711" TargetMode="External"/><Relationship Id="rId2935" Type="http://schemas.openxmlformats.org/officeDocument/2006/relationships/hyperlink" Target="https://www.google.com/maps/search/?api=1&amp;query=43.5655976,1.5177825" TargetMode="External"/><Relationship Id="rId2936" Type="http://schemas.openxmlformats.org/officeDocument/2006/relationships/hyperlink" Target="https://www.openstreetmap.org/node/1468315723" TargetMode="External"/><Relationship Id="rId2937" Type="http://schemas.openxmlformats.org/officeDocument/2006/relationships/hyperlink" Target="https://www.google.com/maps/search/?api=1&amp;query=43.5604955,1.5308773" TargetMode="External"/><Relationship Id="rId2938" Type="http://schemas.openxmlformats.org/officeDocument/2006/relationships/hyperlink" Target="https://www.openstreetmap.org/node/11166350253" TargetMode="External"/><Relationship Id="rId2939" Type="http://schemas.openxmlformats.org/officeDocument/2006/relationships/hyperlink" Target="https://www.google.com/maps/search/?api=1&amp;query=43.5656136,1.517655" TargetMode="External"/><Relationship Id="rId2940" Type="http://schemas.openxmlformats.org/officeDocument/2006/relationships/hyperlink" Target="https://www.openstreetmap.org/node/1468315718" TargetMode="External"/><Relationship Id="rId2941" Type="http://schemas.openxmlformats.org/officeDocument/2006/relationships/hyperlink" Target="https://www.google.com/maps/search/?api=1&amp;query=43.5299219,1.2082281" TargetMode="External"/><Relationship Id="rId2942" Type="http://schemas.openxmlformats.org/officeDocument/2006/relationships/hyperlink" Target="https://www.openstreetmap.org/node/7987836894" TargetMode="External"/><Relationship Id="rId2943" Type="http://schemas.openxmlformats.org/officeDocument/2006/relationships/hyperlink" Target="https://www.google.com/maps/search/?api=1&amp;query=43.5327822,1.2278224" TargetMode="External"/><Relationship Id="rId2944" Type="http://schemas.openxmlformats.org/officeDocument/2006/relationships/hyperlink" Target="https://www.openstreetmap.org/node/2516313239" TargetMode="External"/><Relationship Id="rId2945" Type="http://schemas.openxmlformats.org/officeDocument/2006/relationships/hyperlink" Target="https://www.google.com/maps/search/?api=1&amp;query=43.5427293,1.2384906" TargetMode="External"/><Relationship Id="rId2946" Type="http://schemas.openxmlformats.org/officeDocument/2006/relationships/hyperlink" Target="https://www.openstreetmap.org/node/11868762316" TargetMode="External"/><Relationship Id="rId2947" Type="http://schemas.openxmlformats.org/officeDocument/2006/relationships/hyperlink" Target="https://www.google.com/maps/search/?api=1&amp;query=43.6496023,1.4848288" TargetMode="External"/><Relationship Id="rId2948" Type="http://schemas.openxmlformats.org/officeDocument/2006/relationships/hyperlink" Target="https://www.openstreetmap.org/node/13896432220" TargetMode="External"/><Relationship Id="rId2949" Type="http://schemas.openxmlformats.org/officeDocument/2006/relationships/hyperlink" Target="https://www.restaurant-asiansaveurs.fr/" TargetMode="External"/><Relationship Id="rId2950" Type="http://schemas.openxmlformats.org/officeDocument/2006/relationships/hyperlink" Target="https://www.google.com/maps/search/?api=1&amp;query=43.6372426,1.4980251" TargetMode="External"/><Relationship Id="rId2951" Type="http://schemas.openxmlformats.org/officeDocument/2006/relationships/hyperlink" Target="https://www.openstreetmap.org/way/1309062591" TargetMode="External"/><Relationship Id="rId2952" Type="http://schemas.openxmlformats.org/officeDocument/2006/relationships/hyperlink" Target="https://www.google.com/maps/search/?api=1&amp;query=43.6393481,1.501556" TargetMode="External"/><Relationship Id="rId2953" Type="http://schemas.openxmlformats.org/officeDocument/2006/relationships/hyperlink" Target="https://www.openstreetmap.org/node/4347753389" TargetMode="External"/><Relationship Id="rId2954" Type="http://schemas.openxmlformats.org/officeDocument/2006/relationships/hyperlink" Target="https://www.holdem-cafe.fr/" TargetMode="External"/><Relationship Id="rId2955" Type="http://schemas.openxmlformats.org/officeDocument/2006/relationships/hyperlink" Target="https://www.google.com/maps/search/?api=1&amp;query=43.6392816,1.5001994" TargetMode="External"/><Relationship Id="rId2956" Type="http://schemas.openxmlformats.org/officeDocument/2006/relationships/hyperlink" Target="https://www.openstreetmap.org/way/166450961" TargetMode="External"/><Relationship Id="rId2957" Type="http://schemas.openxmlformats.org/officeDocument/2006/relationships/hyperlink" Target="https://www.google.com/maps/search/?api=1&amp;query=43.6581076,1.4815258" TargetMode="External"/><Relationship Id="rId2958" Type="http://schemas.openxmlformats.org/officeDocument/2006/relationships/hyperlink" Target="https://www.openstreetmap.org/node/4715398191" TargetMode="External"/><Relationship Id="rId2959" Type="http://schemas.openxmlformats.org/officeDocument/2006/relationships/hyperlink" Target="https://www.google.com/maps/search/?api=1&amp;query=43.6399315,1.502036" TargetMode="External"/><Relationship Id="rId2960" Type="http://schemas.openxmlformats.org/officeDocument/2006/relationships/hyperlink" Target="https://www.openstreetmap.org/node/5247264737" TargetMode="External"/><Relationship Id="rId2961" Type="http://schemas.openxmlformats.org/officeDocument/2006/relationships/hyperlink" Target="https://www.google.com/maps/search/?api=1&amp;query=43.6492814,1.4745843" TargetMode="External"/><Relationship Id="rId2962" Type="http://schemas.openxmlformats.org/officeDocument/2006/relationships/hyperlink" Target="https://www.openstreetmap.org/node/9024655717" TargetMode="External"/><Relationship Id="rId2963" Type="http://schemas.openxmlformats.org/officeDocument/2006/relationships/hyperlink" Target="https://www.google.com/maps/search/?api=1&amp;query=43.658143,1.4831306" TargetMode="External"/><Relationship Id="rId2964" Type="http://schemas.openxmlformats.org/officeDocument/2006/relationships/hyperlink" Target="https://www.openstreetmap.org/node/12011843070" TargetMode="External"/><Relationship Id="rId2965" Type="http://schemas.openxmlformats.org/officeDocument/2006/relationships/hyperlink" Target="https://www.restaurantlabambouseraie.com/" TargetMode="External"/><Relationship Id="rId2966" Type="http://schemas.openxmlformats.org/officeDocument/2006/relationships/hyperlink" Target="https://www.google.com/maps/search/?api=1&amp;query=43.6455215,1.472174" TargetMode="External"/><Relationship Id="rId2967" Type="http://schemas.openxmlformats.org/officeDocument/2006/relationships/hyperlink" Target="https://www.openstreetmap.org/node/1432189802" TargetMode="External"/><Relationship Id="rId2968" Type="http://schemas.openxmlformats.org/officeDocument/2006/relationships/hyperlink" Target="https://www.bonneauberge31.fr/" TargetMode="External"/><Relationship Id="rId2969" Type="http://schemas.openxmlformats.org/officeDocument/2006/relationships/hyperlink" Target="https://www.google.com/maps/search/?api=1&amp;query=43.6597163,1.4876908" TargetMode="External"/><Relationship Id="rId2970" Type="http://schemas.openxmlformats.org/officeDocument/2006/relationships/hyperlink" Target="https://www.openstreetmap.org/node/9838075802" TargetMode="External"/><Relationship Id="rId2971" Type="http://schemas.openxmlformats.org/officeDocument/2006/relationships/hyperlink" Target="https://www.google.com/maps/search/?api=1&amp;query=43.6493474,1.4741816" TargetMode="External"/><Relationship Id="rId2972" Type="http://schemas.openxmlformats.org/officeDocument/2006/relationships/hyperlink" Target="https://www.openstreetmap.org/node/579944581" TargetMode="External"/><Relationship Id="rId2973" Type="http://schemas.openxmlformats.org/officeDocument/2006/relationships/hyperlink" Target="https://www.google.com/maps/search/?api=1&amp;query=43.6494914,1.4850521" TargetMode="External"/><Relationship Id="rId2974" Type="http://schemas.openxmlformats.org/officeDocument/2006/relationships/hyperlink" Target="https://www.openstreetmap.org/node/4318691181" TargetMode="External"/><Relationship Id="rId2975" Type="http://schemas.openxmlformats.org/officeDocument/2006/relationships/hyperlink" Target="https://www.google.com/maps/search/?api=1&amp;query=43.6561742,1.477954" TargetMode="External"/><Relationship Id="rId2976" Type="http://schemas.openxmlformats.org/officeDocument/2006/relationships/hyperlink" Target="https://www.openstreetmap.org/node/2485473989" TargetMode="External"/><Relationship Id="rId2977" Type="http://schemas.openxmlformats.org/officeDocument/2006/relationships/hyperlink" Target="http://www.les9dragons.fr/" TargetMode="External"/><Relationship Id="rId2978" Type="http://schemas.openxmlformats.org/officeDocument/2006/relationships/hyperlink" Target="https://www.google.com/maps/search/?api=1&amp;query=43.6401073,1.5022124" TargetMode="External"/><Relationship Id="rId2979" Type="http://schemas.openxmlformats.org/officeDocument/2006/relationships/hyperlink" Target="https://www.openstreetmap.org/node/5247264739" TargetMode="External"/><Relationship Id="rId2980" Type="http://schemas.openxmlformats.org/officeDocument/2006/relationships/hyperlink" Target="http://lesmetsenmelee.com/" TargetMode="External"/><Relationship Id="rId2981" Type="http://schemas.openxmlformats.org/officeDocument/2006/relationships/hyperlink" Target="https://www.google.com/maps/search/?api=1&amp;query=43.6399775,1.4985175" TargetMode="External"/><Relationship Id="rId2982" Type="http://schemas.openxmlformats.org/officeDocument/2006/relationships/hyperlink" Target="https://www.openstreetmap.org/node/6235711474" TargetMode="External"/><Relationship Id="rId2983" Type="http://schemas.openxmlformats.org/officeDocument/2006/relationships/hyperlink" Target="https://www.google.com/maps/search/?api=1&amp;query=43.6553955,1.4767676" TargetMode="External"/><Relationship Id="rId2984" Type="http://schemas.openxmlformats.org/officeDocument/2006/relationships/hyperlink" Target="https://www.openstreetmap.org/node/2312517022" TargetMode="External"/><Relationship Id="rId2985" Type="http://schemas.openxmlformats.org/officeDocument/2006/relationships/hyperlink" Target="https://www.google.com/maps/search/?api=1&amp;query=43.657558,1.4802742" TargetMode="External"/><Relationship Id="rId2986" Type="http://schemas.openxmlformats.org/officeDocument/2006/relationships/hyperlink" Target="https://www.openstreetmap.org/node/13895931681" TargetMode="External"/><Relationship Id="rId2987" Type="http://schemas.openxmlformats.org/officeDocument/2006/relationships/hyperlink" Target="https://www.google.com/maps/search/?api=1&amp;query=43.6496073,1.48468" TargetMode="External"/><Relationship Id="rId2988" Type="http://schemas.openxmlformats.org/officeDocument/2006/relationships/hyperlink" Target="https://www.openstreetmap.org/node/4318691178" TargetMode="External"/><Relationship Id="rId2989" Type="http://schemas.openxmlformats.org/officeDocument/2006/relationships/hyperlink" Target="https://www.pizzapapa.fr/" TargetMode="External"/><Relationship Id="rId2990" Type="http://schemas.openxmlformats.org/officeDocument/2006/relationships/hyperlink" Target="https://www.google.com/maps/search/?api=1&amp;query=43.6412817,1.5035993" TargetMode="External"/><Relationship Id="rId2991" Type="http://schemas.openxmlformats.org/officeDocument/2006/relationships/hyperlink" Target="https://www.openstreetmap.org/node/6119042511" TargetMode="External"/><Relationship Id="rId2992" Type="http://schemas.openxmlformats.org/officeDocument/2006/relationships/hyperlink" Target="https://pokewok31.fr/" TargetMode="External"/><Relationship Id="rId2993" Type="http://schemas.openxmlformats.org/officeDocument/2006/relationships/hyperlink" Target="https://www.google.com/maps/search/?api=1&amp;query=43.6391184,1.5010778" TargetMode="External"/><Relationship Id="rId2994" Type="http://schemas.openxmlformats.org/officeDocument/2006/relationships/hyperlink" Target="https://www.openstreetmap.org/way/1424673560" TargetMode="External"/><Relationship Id="rId2995" Type="http://schemas.openxmlformats.org/officeDocument/2006/relationships/hyperlink" Target="https://www.rougecomptoir.fr/" TargetMode="External"/><Relationship Id="rId2996" Type="http://schemas.openxmlformats.org/officeDocument/2006/relationships/hyperlink" Target="https://www.google.com/maps/search/?api=1&amp;query=43.6404658,1.5028521" TargetMode="External"/><Relationship Id="rId2997" Type="http://schemas.openxmlformats.org/officeDocument/2006/relationships/hyperlink" Target="https://www.openstreetmap.org/node/8881021127" TargetMode="External"/><Relationship Id="rId2998" Type="http://schemas.openxmlformats.org/officeDocument/2006/relationships/hyperlink" Target="https://www.google.com/maps/search/?api=1&amp;query=43.6582321,1.4730159" TargetMode="External"/><Relationship Id="rId2999" Type="http://schemas.openxmlformats.org/officeDocument/2006/relationships/hyperlink" Target="https://www.openstreetmap.org/node/3485328971" TargetMode="External"/><Relationship Id="rId3000" Type="http://schemas.openxmlformats.org/officeDocument/2006/relationships/hyperlink" Target="https://www.google.com/maps/search/?api=1&amp;query=43.6537948,1.4915054" TargetMode="External"/><Relationship Id="rId3001" Type="http://schemas.openxmlformats.org/officeDocument/2006/relationships/hyperlink" Target="https://www.openstreetmap.org/node/13875543799" TargetMode="External"/><Relationship Id="rId3002" Type="http://schemas.openxmlformats.org/officeDocument/2006/relationships/hyperlink" Target="https://www.google.com/maps/search/?api=1&amp;query=43.6555065,1.4789758" TargetMode="External"/><Relationship Id="rId3003" Type="http://schemas.openxmlformats.org/officeDocument/2006/relationships/hyperlink" Target="https://www.openstreetmap.org/node/2485473994" TargetMode="External"/><Relationship Id="rId3004" Type="http://schemas.openxmlformats.org/officeDocument/2006/relationships/hyperlink" Target="https://oki-uchi.eatbu.com/" TargetMode="External"/><Relationship Id="rId3005" Type="http://schemas.openxmlformats.org/officeDocument/2006/relationships/hyperlink" Target="https://www.google.com/maps/search/?api=1&amp;query=43.6535855,1.4847116" TargetMode="External"/><Relationship Id="rId3006" Type="http://schemas.openxmlformats.org/officeDocument/2006/relationships/hyperlink" Target="https://www.openstreetmap.org/node/11451838669" TargetMode="External"/><Relationship Id="rId3007" Type="http://schemas.openxmlformats.org/officeDocument/2006/relationships/hyperlink" Target="https://www.google.com/maps/search/?api=1&amp;query=43.6931583,1.4296141" TargetMode="External"/><Relationship Id="rId3008" Type="http://schemas.openxmlformats.org/officeDocument/2006/relationships/hyperlink" Target="https://www.openstreetmap.org/node/2562954708" TargetMode="External"/><Relationship Id="rId3009" Type="http://schemas.openxmlformats.org/officeDocument/2006/relationships/hyperlink" Target="https://www.google.com/maps/search/?api=1&amp;query=43.5262706,1.3429597" TargetMode="External"/><Relationship Id="rId3010" Type="http://schemas.openxmlformats.org/officeDocument/2006/relationships/hyperlink" Target="https://www.openstreetmap.org/node/4809424621" TargetMode="External"/><Relationship Id="rId3011" Type="http://schemas.openxmlformats.org/officeDocument/2006/relationships/hyperlink" Target="https://www.google.com/maps/search/?api=1&amp;query=43.5249841,1.3440513" TargetMode="External"/><Relationship Id="rId3012" Type="http://schemas.openxmlformats.org/officeDocument/2006/relationships/hyperlink" Target="https://www.openstreetmap.org/node/9349337917" TargetMode="External"/><Relationship Id="rId3013" Type="http://schemas.openxmlformats.org/officeDocument/2006/relationships/hyperlink" Target="https://escaledasie.eatbu.com/?lang=fr" TargetMode="External"/><Relationship Id="rId3014" Type="http://schemas.openxmlformats.org/officeDocument/2006/relationships/hyperlink" Target="https://www.google.com/maps/search/?api=1&amp;query=43.5273534,1.3405766" TargetMode="External"/><Relationship Id="rId3015" Type="http://schemas.openxmlformats.org/officeDocument/2006/relationships/hyperlink" Target="https://www.openstreetmap.org/way/71203082" TargetMode="External"/><Relationship Id="rId3016" Type="http://schemas.openxmlformats.org/officeDocument/2006/relationships/hyperlink" Target="https://www.creperie-espritlibre.fr/" TargetMode="External"/><Relationship Id="rId3017" Type="http://schemas.openxmlformats.org/officeDocument/2006/relationships/hyperlink" Target="https://www.google.com/maps/search/?api=1&amp;query=43.5238952,1.3426528" TargetMode="External"/><Relationship Id="rId3018" Type="http://schemas.openxmlformats.org/officeDocument/2006/relationships/hyperlink" Target="https://www.openstreetmap.org/node/13513020526" TargetMode="External"/><Relationship Id="rId3019" Type="http://schemas.openxmlformats.org/officeDocument/2006/relationships/hyperlink" Target="https://www.google.com/maps/search/?api=1&amp;query=43.5235317,1.342427" TargetMode="External"/><Relationship Id="rId3020" Type="http://schemas.openxmlformats.org/officeDocument/2006/relationships/hyperlink" Target="https://www.openstreetmap.org/node/7588684689" TargetMode="External"/><Relationship Id="rId3021" Type="http://schemas.openxmlformats.org/officeDocument/2006/relationships/hyperlink" Target="https://www.google.com/maps/search/?api=1&amp;query=43.526821,1.3405444" TargetMode="External"/><Relationship Id="rId3022" Type="http://schemas.openxmlformats.org/officeDocument/2006/relationships/hyperlink" Target="https://www.openstreetmap.org/node/4659829473" TargetMode="External"/><Relationship Id="rId3023" Type="http://schemas.openxmlformats.org/officeDocument/2006/relationships/hyperlink" Target="https://www.google.com/maps/search/?api=1&amp;query=43.5321536,1.4032769" TargetMode="External"/><Relationship Id="rId3024" Type="http://schemas.openxmlformats.org/officeDocument/2006/relationships/hyperlink" Target="https://www.openstreetmap.org/way/1220045696" TargetMode="External"/><Relationship Id="rId3025" Type="http://schemas.openxmlformats.org/officeDocument/2006/relationships/hyperlink" Target="https://www.google.com/maps/search/?api=1&amp;query=43.5223293,1.4086087" TargetMode="External"/><Relationship Id="rId3026" Type="http://schemas.openxmlformats.org/officeDocument/2006/relationships/hyperlink" Target="https://www.openstreetmap.org/node/5141769737" TargetMode="External"/><Relationship Id="rId3027" Type="http://schemas.openxmlformats.org/officeDocument/2006/relationships/hyperlink" Target="https://www.google.com/maps/search/?api=1&amp;query=43.5239123,1.4066012" TargetMode="External"/><Relationship Id="rId3028" Type="http://schemas.openxmlformats.org/officeDocument/2006/relationships/hyperlink" Target="https://www.openstreetmap.org/node/1373605035" TargetMode="External"/><Relationship Id="rId3029" Type="http://schemas.openxmlformats.org/officeDocument/2006/relationships/hyperlink" Target="https://www.google.com/maps/search/?api=1&amp;query=43.534453,1.3981053" TargetMode="External"/><Relationship Id="rId3030" Type="http://schemas.openxmlformats.org/officeDocument/2006/relationships/hyperlink" Target="https://www.openstreetmap.org/node/2601814419" TargetMode="External"/><Relationship Id="rId3031" Type="http://schemas.openxmlformats.org/officeDocument/2006/relationships/hyperlink" Target="https://garonne.restaurantfujin.com/fr/" TargetMode="External"/><Relationship Id="rId3032" Type="http://schemas.openxmlformats.org/officeDocument/2006/relationships/hyperlink" Target="https://www.google.com/maps/search/?api=1&amp;query=43.5349195,1.3971705" TargetMode="External"/><Relationship Id="rId3033" Type="http://schemas.openxmlformats.org/officeDocument/2006/relationships/hyperlink" Target="https://www.openstreetmap.org/node/13507791525" TargetMode="External"/><Relationship Id="rId3034" Type="http://schemas.openxmlformats.org/officeDocument/2006/relationships/hyperlink" Target="https://www.google.com/maps/search/?api=1&amp;query=43.5321132,1.4034998" TargetMode="External"/><Relationship Id="rId3035" Type="http://schemas.openxmlformats.org/officeDocument/2006/relationships/hyperlink" Target="https://www.openstreetmap.org/way/1488397161" TargetMode="External"/><Relationship Id="rId3036" Type="http://schemas.openxmlformats.org/officeDocument/2006/relationships/hyperlink" Target="https://www.google.com/maps/search/?api=1&amp;query=43.5311648,1.4065256" TargetMode="External"/><Relationship Id="rId3037" Type="http://schemas.openxmlformats.org/officeDocument/2006/relationships/hyperlink" Target="https://www.openstreetmap.org/way/84371758" TargetMode="External"/><Relationship Id="rId3038" Type="http://schemas.openxmlformats.org/officeDocument/2006/relationships/hyperlink" Target="https://www.google.com/maps/search/?api=1&amp;query=43.5353006,1.4080848" TargetMode="External"/><Relationship Id="rId3039" Type="http://schemas.openxmlformats.org/officeDocument/2006/relationships/hyperlink" Target="https://www.openstreetmap.org/way/543642957" TargetMode="External"/><Relationship Id="rId3040" Type="http://schemas.openxmlformats.org/officeDocument/2006/relationships/hyperlink" Target="https://www.google.com/maps/search/?api=1&amp;query=43.5380811,1.3707637" TargetMode="External"/><Relationship Id="rId3041" Type="http://schemas.openxmlformats.org/officeDocument/2006/relationships/hyperlink" Target="https://www.openstreetmap.org/node/1577822745" TargetMode="External"/><Relationship Id="rId3042" Type="http://schemas.openxmlformats.org/officeDocument/2006/relationships/hyperlink" Target="https://www.google.com/maps/search/?api=1&amp;query=43.5352374,1.4063068" TargetMode="External"/><Relationship Id="rId3043" Type="http://schemas.openxmlformats.org/officeDocument/2006/relationships/hyperlink" Target="https://www.openstreetmap.org/way/84394684" TargetMode="External"/><Relationship Id="rId3044" Type="http://schemas.openxmlformats.org/officeDocument/2006/relationships/hyperlink" Target="http://www.lesjardinsdelenclos.fr/" TargetMode="External"/><Relationship Id="rId3045" Type="http://schemas.openxmlformats.org/officeDocument/2006/relationships/hyperlink" Target="https://www.google.com/maps/search/?api=1&amp;query=43.5346422,1.3983035" TargetMode="External"/><Relationship Id="rId3046" Type="http://schemas.openxmlformats.org/officeDocument/2006/relationships/hyperlink" Target="https://www.openstreetmap.org/node/2601814420" TargetMode="External"/><Relationship Id="rId3047" Type="http://schemas.openxmlformats.org/officeDocument/2006/relationships/hyperlink" Target="https://www.delarte.fr/restaurant-italien-pizzeria-toulouse-portet-sur-garonne.html" TargetMode="External"/><Relationship Id="rId3048" Type="http://schemas.openxmlformats.org/officeDocument/2006/relationships/hyperlink" Target="https://www.google.com/maps/search/?api=1&amp;query=43.5353098,1.4090744" TargetMode="External"/><Relationship Id="rId3049" Type="http://schemas.openxmlformats.org/officeDocument/2006/relationships/hyperlink" Target="https://www.openstreetmap.org/way/543642956" TargetMode="External"/><Relationship Id="rId3050" Type="http://schemas.openxmlformats.org/officeDocument/2006/relationships/hyperlink" Target="https://lepetitfrou.fr/" TargetMode="External"/><Relationship Id="rId3051" Type="http://schemas.openxmlformats.org/officeDocument/2006/relationships/hyperlink" Target="https://www.google.com/maps/search/?api=1&amp;query=43.5099159,1.3345202" TargetMode="External"/><Relationship Id="rId3052" Type="http://schemas.openxmlformats.org/officeDocument/2006/relationships/hyperlink" Target="https://www.openstreetmap.org/node/13893851028" TargetMode="External"/><Relationship Id="rId3053" Type="http://schemas.openxmlformats.org/officeDocument/2006/relationships/hyperlink" Target="https://www.google.com/maps/search/?api=1&amp;query=43.5187069,1.334181" TargetMode="External"/><Relationship Id="rId3054" Type="http://schemas.openxmlformats.org/officeDocument/2006/relationships/hyperlink" Target="https://www.openstreetmap.org/node/12260837843" TargetMode="External"/><Relationship Id="rId3055" Type="http://schemas.openxmlformats.org/officeDocument/2006/relationships/hyperlink" Target="https://le-brasier.eatbu.com/" TargetMode="External"/><Relationship Id="rId3056" Type="http://schemas.openxmlformats.org/officeDocument/2006/relationships/hyperlink" Target="https://www.google.com/maps/search/?api=1&amp;query=43.5111837,1.3280355" TargetMode="External"/><Relationship Id="rId3057" Type="http://schemas.openxmlformats.org/officeDocument/2006/relationships/hyperlink" Target="https://www.openstreetmap.org/node/11383267542" TargetMode="External"/><Relationship Id="rId3058" Type="http://schemas.openxmlformats.org/officeDocument/2006/relationships/hyperlink" Target="https://www.google.com/maps/search/?api=1&amp;query=43.5192326,1.3336419" TargetMode="External"/><Relationship Id="rId3059" Type="http://schemas.openxmlformats.org/officeDocument/2006/relationships/hyperlink" Target="https://www.openstreetmap.org/node/12260837842" TargetMode="External"/><Relationship Id="rId3060" Type="http://schemas.openxmlformats.org/officeDocument/2006/relationships/hyperlink" Target="https://www.google.com/maps/search/?api=1&amp;query=43.51684,1.3249595" TargetMode="External"/><Relationship Id="rId3061" Type="http://schemas.openxmlformats.org/officeDocument/2006/relationships/hyperlink" Target="https://www.openstreetmap.org/way/123577250" TargetMode="External"/><Relationship Id="rId3062" Type="http://schemas.openxmlformats.org/officeDocument/2006/relationships/hyperlink" Target="https://www.google.com/maps/search/?api=1&amp;query=43.6693612,1.4286744" TargetMode="External"/><Relationship Id="rId3063" Type="http://schemas.openxmlformats.org/officeDocument/2006/relationships/hyperlink" Target="https://www.openstreetmap.org/node/11736516720" TargetMode="External"/><Relationship Id="rId3064" Type="http://schemas.openxmlformats.org/officeDocument/2006/relationships/hyperlink" Target="http://www.restaurant-kory.fr/" TargetMode="External"/><Relationship Id="rId3065" Type="http://schemas.openxmlformats.org/officeDocument/2006/relationships/hyperlink" Target="https://www.google.com/maps/search/?api=1&amp;query=43.6613661,1.430177" TargetMode="External"/><Relationship Id="rId3066" Type="http://schemas.openxmlformats.org/officeDocument/2006/relationships/hyperlink" Target="https://www.openstreetmap.org/node/2187051557" TargetMode="External"/><Relationship Id="rId3067" Type="http://schemas.openxmlformats.org/officeDocument/2006/relationships/hyperlink" Target="https://www.google.com/maps/search/?api=1&amp;query=43.6613537,1.4301048" TargetMode="External"/><Relationship Id="rId3068" Type="http://schemas.openxmlformats.org/officeDocument/2006/relationships/hyperlink" Target="https://www.openstreetmap.org/node/2187051559" TargetMode="External"/><Relationship Id="rId3069" Type="http://schemas.openxmlformats.org/officeDocument/2006/relationships/hyperlink" Target="https://www.lacoteetlarete.fr/" TargetMode="External"/><Relationship Id="rId3070" Type="http://schemas.openxmlformats.org/officeDocument/2006/relationships/hyperlink" Target="https://www.google.com/maps/search/?api=1&amp;query=43.6611643,1.430747" TargetMode="External"/><Relationship Id="rId3071" Type="http://schemas.openxmlformats.org/officeDocument/2006/relationships/hyperlink" Target="https://www.openstreetmap.org/node/2185109449" TargetMode="External"/><Relationship Id="rId3072" Type="http://schemas.openxmlformats.org/officeDocument/2006/relationships/hyperlink" Target="https://lejardincreole.eatbu.com/" TargetMode="External"/><Relationship Id="rId3073" Type="http://schemas.openxmlformats.org/officeDocument/2006/relationships/hyperlink" Target="https://www.google.com/maps/search/?api=1&amp;query=43.6707502,1.4131211" TargetMode="External"/><Relationship Id="rId3074" Type="http://schemas.openxmlformats.org/officeDocument/2006/relationships/hyperlink" Target="https://www.openstreetmap.org/node/9020581065" TargetMode="External"/><Relationship Id="rId3075" Type="http://schemas.openxmlformats.org/officeDocument/2006/relationships/hyperlink" Target="https://www.lelieutrattoria.com/?lang=fr" TargetMode="External"/><Relationship Id="rId3076" Type="http://schemas.openxmlformats.org/officeDocument/2006/relationships/hyperlink" Target="https://www.google.com/maps/search/?api=1&amp;query=43.6683322,1.4292862" TargetMode="External"/><Relationship Id="rId3077" Type="http://schemas.openxmlformats.org/officeDocument/2006/relationships/hyperlink" Target="https://www.openstreetmap.org/node/11736508718" TargetMode="External"/><Relationship Id="rId3078" Type="http://schemas.openxmlformats.org/officeDocument/2006/relationships/hyperlink" Target="https://www.google.com/maps/search/?api=1&amp;query=43.6637289,1.4300596" TargetMode="External"/><Relationship Id="rId3079" Type="http://schemas.openxmlformats.org/officeDocument/2006/relationships/hyperlink" Target="https://www.openstreetmap.org/node/2291321310" TargetMode="External"/><Relationship Id="rId3080" Type="http://schemas.openxmlformats.org/officeDocument/2006/relationships/hyperlink" Target="https://www.alardoise-restaurant.fr/" TargetMode="External"/><Relationship Id="rId3081" Type="http://schemas.openxmlformats.org/officeDocument/2006/relationships/hyperlink" Target="https://www.google.com/maps/search/?api=1&amp;query=43.6637075,1.4306108" TargetMode="External"/><Relationship Id="rId3082" Type="http://schemas.openxmlformats.org/officeDocument/2006/relationships/hyperlink" Target="https://www.openstreetmap.org/node/4418075038" TargetMode="External"/><Relationship Id="rId3083" Type="http://schemas.openxmlformats.org/officeDocument/2006/relationships/hyperlink" Target="https://www.google.com/maps/search/?api=1&amp;query=43.6660119,1.4413051" TargetMode="External"/><Relationship Id="rId3084" Type="http://schemas.openxmlformats.org/officeDocument/2006/relationships/hyperlink" Target="https://www.openstreetmap.org/node/13722696726" TargetMode="External"/><Relationship Id="rId3085" Type="http://schemas.openxmlformats.org/officeDocument/2006/relationships/hyperlink" Target="https://www.google.com/maps/search/?api=1&amp;query=43.6597602,1.4565425" TargetMode="External"/><Relationship Id="rId3086" Type="http://schemas.openxmlformats.org/officeDocument/2006/relationships/hyperlink" Target="https://www.openstreetmap.org/node/579958800" TargetMode="External"/><Relationship Id="rId3087" Type="http://schemas.openxmlformats.org/officeDocument/2006/relationships/hyperlink" Target="https://www.google.com/maps/search/?api=1&amp;query=43.6099684,1.2838762" TargetMode="External"/><Relationship Id="rId3088" Type="http://schemas.openxmlformats.org/officeDocument/2006/relationships/hyperlink" Target="https://www.openstreetmap.org/node/3217982874" TargetMode="External"/><Relationship Id="rId3089" Type="http://schemas.openxmlformats.org/officeDocument/2006/relationships/hyperlink" Target="https://www.google.com/maps/search/?api=1&amp;query=43.6175651,1.2809592" TargetMode="External"/><Relationship Id="rId3090" Type="http://schemas.openxmlformats.org/officeDocument/2006/relationships/hyperlink" Target="https://www.openstreetmap.org/node/11775031052" TargetMode="External"/><Relationship Id="rId3091" Type="http://schemas.openxmlformats.org/officeDocument/2006/relationships/hyperlink" Target="https://www.google.com/maps/search/?api=1&amp;query=43.6172889,1.2820355" TargetMode="External"/><Relationship Id="rId3092" Type="http://schemas.openxmlformats.org/officeDocument/2006/relationships/hyperlink" Target="https://www.openstreetmap.org/node/1857067690" TargetMode="External"/><Relationship Id="rId3093" Type="http://schemas.openxmlformats.org/officeDocument/2006/relationships/hyperlink" Target="https://www.winefood.fr/" TargetMode="External"/><Relationship Id="rId3094" Type="http://schemas.openxmlformats.org/officeDocument/2006/relationships/hyperlink" Target="https://www.google.com/maps/search/?api=1&amp;query=43.6081222,1.286007" TargetMode="External"/><Relationship Id="rId3095" Type="http://schemas.openxmlformats.org/officeDocument/2006/relationships/hyperlink" Target="https://www.openstreetmap.org/node/7962626873" TargetMode="External"/><Relationship Id="rId3096" Type="http://schemas.openxmlformats.org/officeDocument/2006/relationships/hyperlink" Target="https://www.google.com/maps/search/?api=1&amp;query=43.5750947,1.2731286" TargetMode="External"/><Relationship Id="rId3097" Type="http://schemas.openxmlformats.org/officeDocument/2006/relationships/hyperlink" Target="https://www.openstreetmap.org/node/1674303314" TargetMode="External"/><Relationship Id="rId3098" Type="http://schemas.openxmlformats.org/officeDocument/2006/relationships/hyperlink" Target="https://www.facebook.com/casadicarlottapizza/" TargetMode="External"/><Relationship Id="rId3099" Type="http://schemas.openxmlformats.org/officeDocument/2006/relationships/hyperlink" Target="https://www.google.com/maps/search/?api=1&amp;query=43.5815459,1.2742924" TargetMode="External"/><Relationship Id="rId3100" Type="http://schemas.openxmlformats.org/officeDocument/2006/relationships/hyperlink" Target="https://www.openstreetmap.org/node/7993677689" TargetMode="External"/><Relationship Id="rId3101" Type="http://schemas.openxmlformats.org/officeDocument/2006/relationships/hyperlink" Target="https://www.restaurantle11.fr/" TargetMode="External"/><Relationship Id="rId3102" Type="http://schemas.openxmlformats.org/officeDocument/2006/relationships/hyperlink" Target="https://www.google.com/maps/search/?api=1&amp;query=43.5836255,1.276747" TargetMode="External"/><Relationship Id="rId3103" Type="http://schemas.openxmlformats.org/officeDocument/2006/relationships/hyperlink" Target="https://www.openstreetmap.org/way/114612057" TargetMode="External"/><Relationship Id="rId3104" Type="http://schemas.openxmlformats.org/officeDocument/2006/relationships/hyperlink" Target="https://www.google.com/maps/search/?api=1&amp;query=43.5765261,1.2758228" TargetMode="External"/><Relationship Id="rId3105" Type="http://schemas.openxmlformats.org/officeDocument/2006/relationships/hyperlink" Target="https://www.openstreetmap.org/node/7993654828" TargetMode="External"/><Relationship Id="rId3106" Type="http://schemas.openxmlformats.org/officeDocument/2006/relationships/hyperlink" Target="https://www.google.com/maps/search/?api=1&amp;query=43.6545062,1.3244408" TargetMode="External"/><Relationship Id="rId3107" Type="http://schemas.openxmlformats.org/officeDocument/2006/relationships/hyperlink" Target="https://www.openstreetmap.org/node/4078169210" TargetMode="External"/><Relationship Id="rId3108" Type="http://schemas.openxmlformats.org/officeDocument/2006/relationships/hyperlink" Target="https://www.google.com/maps/search/?api=1&amp;query=43.6463,1.3368156" TargetMode="External"/><Relationship Id="rId3109" Type="http://schemas.openxmlformats.org/officeDocument/2006/relationships/hyperlink" Target="https://www.openstreetmap.org/node/9550508378" TargetMode="External"/><Relationship Id="rId3110" Type="http://schemas.openxmlformats.org/officeDocument/2006/relationships/hyperlink" Target="https://www.google.com/maps/search/?api=1&amp;query=43.6511436,1.3340489" TargetMode="External"/><Relationship Id="rId3111" Type="http://schemas.openxmlformats.org/officeDocument/2006/relationships/hyperlink" Target="https://www.openstreetmap.org/node/5184352224" TargetMode="External"/><Relationship Id="rId3112" Type="http://schemas.openxmlformats.org/officeDocument/2006/relationships/hyperlink" Target="https://www.google.com/maps/search/?api=1&amp;query=43.6530254,1.3284633" TargetMode="External"/><Relationship Id="rId3113" Type="http://schemas.openxmlformats.org/officeDocument/2006/relationships/hyperlink" Target="https://www.openstreetmap.org/node/6703500314" TargetMode="External"/><Relationship Id="rId3114" Type="http://schemas.openxmlformats.org/officeDocument/2006/relationships/hyperlink" Target="https://www.google.com/maps/search/?api=1&amp;query=43.6530199,1.3298401" TargetMode="External"/><Relationship Id="rId3115" Type="http://schemas.openxmlformats.org/officeDocument/2006/relationships/hyperlink" Target="https://www.openstreetmap.org/node/1912020192" TargetMode="External"/><Relationship Id="rId3116" Type="http://schemas.openxmlformats.org/officeDocument/2006/relationships/hyperlink" Target="https://www.google.com/maps/search/?api=1&amp;query=43.6512541,1.3344076" TargetMode="External"/><Relationship Id="rId3117" Type="http://schemas.openxmlformats.org/officeDocument/2006/relationships/hyperlink" Target="https://www.openstreetmap.org/node/6915495565" TargetMode="External"/><Relationship Id="rId3118" Type="http://schemas.openxmlformats.org/officeDocument/2006/relationships/hyperlink" Target="https://restaurantlanimal.fr/" TargetMode="External"/><Relationship Id="rId3119" Type="http://schemas.openxmlformats.org/officeDocument/2006/relationships/hyperlink" Target="https://www.google.com/maps/search/?api=1&amp;query=43.6520698,1.3300836" TargetMode="External"/><Relationship Id="rId3120" Type="http://schemas.openxmlformats.org/officeDocument/2006/relationships/hyperlink" Target="https://www.openstreetmap.org/node/9861129390" TargetMode="External"/><Relationship Id="rId3121" Type="http://schemas.openxmlformats.org/officeDocument/2006/relationships/hyperlink" Target="https://www.google.com/maps/search/?api=1&amp;query=43.6506639,1.3328879" TargetMode="External"/><Relationship Id="rId3122" Type="http://schemas.openxmlformats.org/officeDocument/2006/relationships/hyperlink" Target="https://www.openstreetmap.org/node/2948253439" TargetMode="External"/><Relationship Id="rId3123" Type="http://schemas.openxmlformats.org/officeDocument/2006/relationships/hyperlink" Target="https://la-cantine-des-canailles.eatbu.com/" TargetMode="External"/><Relationship Id="rId3124" Type="http://schemas.openxmlformats.org/officeDocument/2006/relationships/hyperlink" Target="https://www.google.com/maps/search/?api=1&amp;query=43.6541738,1.323723" TargetMode="External"/><Relationship Id="rId3125" Type="http://schemas.openxmlformats.org/officeDocument/2006/relationships/hyperlink" Target="https://www.openstreetmap.org/node/9823779107" TargetMode="External"/><Relationship Id="rId3126" Type="http://schemas.openxmlformats.org/officeDocument/2006/relationships/hyperlink" Target="https://www.google.com/maps/search/?api=1&amp;query=43.6465518,1.3367039" TargetMode="External"/><Relationship Id="rId3127" Type="http://schemas.openxmlformats.org/officeDocument/2006/relationships/hyperlink" Target="https://www.openstreetmap.org/node/5359925784" TargetMode="External"/><Relationship Id="rId3128" Type="http://schemas.openxmlformats.org/officeDocument/2006/relationships/hyperlink" Target="https://www.google.com/maps/search/?api=1&amp;query=43.6481265,1.335856" TargetMode="External"/><Relationship Id="rId3129" Type="http://schemas.openxmlformats.org/officeDocument/2006/relationships/hyperlink" Target="https://www.openstreetmap.org/node/5347811033" TargetMode="External"/><Relationship Id="rId3130" Type="http://schemas.openxmlformats.org/officeDocument/2006/relationships/hyperlink" Target="https://www.google.com/maps/search/?api=1&amp;query=43.6508351,1.3346176" TargetMode="External"/><Relationship Id="rId3131" Type="http://schemas.openxmlformats.org/officeDocument/2006/relationships/hyperlink" Target="https://www.openstreetmap.org/node/6915495563" TargetMode="External"/><Relationship Id="rId3132" Type="http://schemas.openxmlformats.org/officeDocument/2006/relationships/hyperlink" Target="https://www.google.com/maps/search/?api=1&amp;query=43.6504033,1.3351559" TargetMode="External"/><Relationship Id="rId3133" Type="http://schemas.openxmlformats.org/officeDocument/2006/relationships/hyperlink" Target="https://www.openstreetmap.org/node/840601102" TargetMode="External"/><Relationship Id="rId3134" Type="http://schemas.openxmlformats.org/officeDocument/2006/relationships/hyperlink" Target="https://les-soeurs-veg.fr/" TargetMode="External"/><Relationship Id="rId3135" Type="http://schemas.openxmlformats.org/officeDocument/2006/relationships/hyperlink" Target="https://www.google.com/maps/search/?api=1&amp;query=43.6481398,1.3360317" TargetMode="External"/><Relationship Id="rId3136" Type="http://schemas.openxmlformats.org/officeDocument/2006/relationships/hyperlink" Target="https://www.openstreetmap.org/node/13006542101" TargetMode="External"/><Relationship Id="rId3137" Type="http://schemas.openxmlformats.org/officeDocument/2006/relationships/hyperlink" Target="https://www.google.com/maps/search/?api=1&amp;query=43.650813,1.3344089" TargetMode="External"/><Relationship Id="rId3138" Type="http://schemas.openxmlformats.org/officeDocument/2006/relationships/hyperlink" Target="https://www.openstreetmap.org/node/6915495564" TargetMode="External"/><Relationship Id="rId3139" Type="http://schemas.openxmlformats.org/officeDocument/2006/relationships/hyperlink" Target="https://www.google.com/maps/search/?api=1&amp;query=43.6504948,1.3351961" TargetMode="External"/><Relationship Id="rId3140" Type="http://schemas.openxmlformats.org/officeDocument/2006/relationships/hyperlink" Target="https://www.openstreetmap.org/node/5208132521" TargetMode="External"/><Relationship Id="rId3141" Type="http://schemas.openxmlformats.org/officeDocument/2006/relationships/hyperlink" Target="https://www.google.com/maps/search/?api=1&amp;query=43.659524,1.3573948" TargetMode="External"/><Relationship Id="rId3142" Type="http://schemas.openxmlformats.org/officeDocument/2006/relationships/hyperlink" Target="https://www.openstreetmap.org/node/2126686791" TargetMode="External"/><Relationship Id="rId3143" Type="http://schemas.openxmlformats.org/officeDocument/2006/relationships/hyperlink" Target="https://www.google.com/maps/search/?api=1&amp;query=43.6464077,1.3371042" TargetMode="External"/><Relationship Id="rId3144" Type="http://schemas.openxmlformats.org/officeDocument/2006/relationships/hyperlink" Target="https://www.openstreetmap.org/node/9550508379" TargetMode="External"/><Relationship Id="rId3145" Type="http://schemas.openxmlformats.org/officeDocument/2006/relationships/hyperlink" Target="https://www.google.com/maps/search/?api=1&amp;query=43.6484302,1.3356133" TargetMode="External"/><Relationship Id="rId3146" Type="http://schemas.openxmlformats.org/officeDocument/2006/relationships/hyperlink" Target="https://www.openstreetmap.org/node/5347807905" TargetMode="External"/><Relationship Id="rId3147" Type="http://schemas.openxmlformats.org/officeDocument/2006/relationships/hyperlink" Target="https://www.google.com/maps/search/?api=1&amp;query=43.6477017,1.3364057" TargetMode="External"/><Relationship Id="rId3148" Type="http://schemas.openxmlformats.org/officeDocument/2006/relationships/hyperlink" Target="https://www.openstreetmap.org/way/73189720" TargetMode="External"/><Relationship Id="rId3149" Type="http://schemas.openxmlformats.org/officeDocument/2006/relationships/hyperlink" Target="https://www.google.com/maps/search/?api=1&amp;query=43.6610192,1.3464172" TargetMode="External"/><Relationship Id="rId3150" Type="http://schemas.openxmlformats.org/officeDocument/2006/relationships/hyperlink" Target="https://www.openstreetmap.org/way/73188184" TargetMode="External"/><Relationship Id="rId3151" Type="http://schemas.openxmlformats.org/officeDocument/2006/relationships/hyperlink" Target="https://www.google.com/maps/search/?api=1&amp;query=43.6697674,1.3684661" TargetMode="External"/><Relationship Id="rId3152" Type="http://schemas.openxmlformats.org/officeDocument/2006/relationships/hyperlink" Target="https://www.openstreetmap.org/node/2608405387" TargetMode="External"/><Relationship Id="rId3153" Type="http://schemas.openxmlformats.org/officeDocument/2006/relationships/hyperlink" Target="https://botna.fr/botna-beauzelle/" TargetMode="External"/><Relationship Id="rId3154" Type="http://schemas.openxmlformats.org/officeDocument/2006/relationships/hyperlink" Target="https://www.google.com/maps/search/?api=1&amp;query=43.66023,1.3691868" TargetMode="External"/><Relationship Id="rId3155" Type="http://schemas.openxmlformats.org/officeDocument/2006/relationships/hyperlink" Target="https://www.openstreetmap.org/node/4285856589" TargetMode="External"/><Relationship Id="rId3156" Type="http://schemas.openxmlformats.org/officeDocument/2006/relationships/hyperlink" Target="https://freshcooking.fr/" TargetMode="External"/><Relationship Id="rId3157" Type="http://schemas.openxmlformats.org/officeDocument/2006/relationships/hyperlink" Target="https://www.google.com/maps/search/?api=1&amp;query=43.6676401,1.3638921" TargetMode="External"/><Relationship Id="rId3158" Type="http://schemas.openxmlformats.org/officeDocument/2006/relationships/hyperlink" Target="https://www.openstreetmap.org/node/7809245642" TargetMode="External"/><Relationship Id="rId3159" Type="http://schemas.openxmlformats.org/officeDocument/2006/relationships/hyperlink" Target="https://lardoisebeauzelle.sitew.fr/" TargetMode="External"/><Relationship Id="rId3160" Type="http://schemas.openxmlformats.org/officeDocument/2006/relationships/hyperlink" Target="https://www.google.com/maps/search/?api=1&amp;query=43.6698149,1.3674658" TargetMode="External"/><Relationship Id="rId3161" Type="http://schemas.openxmlformats.org/officeDocument/2006/relationships/hyperlink" Target="https://www.openstreetmap.org/node/2613737712" TargetMode="External"/><Relationship Id="rId3162" Type="http://schemas.openxmlformats.org/officeDocument/2006/relationships/hyperlink" Target="https://www.aubergedebeauzelle.fr/" TargetMode="External"/><Relationship Id="rId3163" Type="http://schemas.openxmlformats.org/officeDocument/2006/relationships/hyperlink" Target="https://www.google.com/maps/search/?api=1&amp;query=43.6656716,1.3774937" TargetMode="External"/><Relationship Id="rId3164" Type="http://schemas.openxmlformats.org/officeDocument/2006/relationships/hyperlink" Target="https://www.openstreetmap.org/node/7437388574" TargetMode="External"/><Relationship Id="rId3165" Type="http://schemas.openxmlformats.org/officeDocument/2006/relationships/hyperlink" Target="https://lecarredessports.fr/" TargetMode="External"/><Relationship Id="rId3166" Type="http://schemas.openxmlformats.org/officeDocument/2006/relationships/hyperlink" Target="https://www.google.com/maps/search/?api=1&amp;query=43.6678871,1.364312" TargetMode="External"/><Relationship Id="rId3167" Type="http://schemas.openxmlformats.org/officeDocument/2006/relationships/hyperlink" Target="https://www.openstreetmap.org/node/8722382209" TargetMode="External"/><Relationship Id="rId3168" Type="http://schemas.openxmlformats.org/officeDocument/2006/relationships/hyperlink" Target="https://jeromecourtois1.wixsite.com/legarossosbarrestaur" TargetMode="External"/><Relationship Id="rId3169" Type="http://schemas.openxmlformats.org/officeDocument/2006/relationships/hyperlink" Target="https://www.google.com/maps/search/?api=1&amp;query=43.6665797,1.3641213" TargetMode="External"/><Relationship Id="rId3170" Type="http://schemas.openxmlformats.org/officeDocument/2006/relationships/hyperlink" Target="https://www.openstreetmap.org/node/6411122691" TargetMode="External"/><Relationship Id="rId3171" Type="http://schemas.openxmlformats.org/officeDocument/2006/relationships/hyperlink" Target="https://lepicerierestaurant.fr/" TargetMode="External"/><Relationship Id="rId3172" Type="http://schemas.openxmlformats.org/officeDocument/2006/relationships/hyperlink" Target="https://www.google.com/maps/search/?api=1&amp;query=43.6839886,1.3197871" TargetMode="External"/><Relationship Id="rId3173" Type="http://schemas.openxmlformats.org/officeDocument/2006/relationships/hyperlink" Target="https://www.openstreetmap.org/node/12696414615" TargetMode="External"/><Relationship Id="rId3174" Type="http://schemas.openxmlformats.org/officeDocument/2006/relationships/hyperlink" Target="https://www.google.com/maps/search/?api=1&amp;query=43.6821188,1.3180247" TargetMode="External"/><Relationship Id="rId3175" Type="http://schemas.openxmlformats.org/officeDocument/2006/relationships/hyperlink" Target="https://www.openstreetmap.org/node/12728211860" TargetMode="External"/><Relationship Id="rId3176" Type="http://schemas.openxmlformats.org/officeDocument/2006/relationships/hyperlink" Target="https://www.laloukapizzeria.fr/carte-1" TargetMode="External"/><Relationship Id="rId3177" Type="http://schemas.openxmlformats.org/officeDocument/2006/relationships/hyperlink" Target="https://www.google.com/maps/search/?api=1&amp;query=43.6820458,1.3183119" TargetMode="External"/><Relationship Id="rId3178" Type="http://schemas.openxmlformats.org/officeDocument/2006/relationships/hyperlink" Target="https://www.openstreetmap.org/node/12728211853" TargetMode="External"/><Relationship Id="rId3179" Type="http://schemas.openxmlformats.org/officeDocument/2006/relationships/hyperlink" Target="https://www.la-table-des-oliviers.com/" TargetMode="External"/><Relationship Id="rId3180" Type="http://schemas.openxmlformats.org/officeDocument/2006/relationships/hyperlink" Target="https://www.google.com/maps/search/?api=1&amp;query=43.6841561,1.3210325" TargetMode="External"/><Relationship Id="rId3181" Type="http://schemas.openxmlformats.org/officeDocument/2006/relationships/hyperlink" Target="https://www.openstreetmap.org/node/12696454485" TargetMode="External"/><Relationship Id="rId3182" Type="http://schemas.openxmlformats.org/officeDocument/2006/relationships/hyperlink" Target="https://www.ledomainedulac.com/" TargetMode="External"/><Relationship Id="rId3183" Type="http://schemas.openxmlformats.org/officeDocument/2006/relationships/hyperlink" Target="https://www.google.com/maps/search/?api=1&amp;query=43.676786,1.3127287" TargetMode="External"/><Relationship Id="rId3184" Type="http://schemas.openxmlformats.org/officeDocument/2006/relationships/hyperlink" Target="https://www.openstreetmap.org/node/8942160866" TargetMode="External"/><Relationship Id="rId3185" Type="http://schemas.openxmlformats.org/officeDocument/2006/relationships/hyperlink" Target="https://www.google.com/maps/search/?api=1&amp;query=43.6880502,1.337097" TargetMode="External"/><Relationship Id="rId3186" Type="http://schemas.openxmlformats.org/officeDocument/2006/relationships/hyperlink" Target="https://www.openstreetmap.org/node/12716228977" TargetMode="External"/><Relationship Id="rId3187" Type="http://schemas.openxmlformats.org/officeDocument/2006/relationships/hyperlink" Target="https://www.montini-pizza.com/fr/la-carte" TargetMode="External"/><Relationship Id="rId3188" Type="http://schemas.openxmlformats.org/officeDocument/2006/relationships/hyperlink" Target="https://www.google.com/maps/search/?api=1&amp;query=43.6836343,1.3211921" TargetMode="External"/><Relationship Id="rId3189" Type="http://schemas.openxmlformats.org/officeDocument/2006/relationships/hyperlink" Target="https://www.openstreetmap.org/way/63380267" TargetMode="External"/><Relationship Id="rId3190" Type="http://schemas.openxmlformats.org/officeDocument/2006/relationships/hyperlink" Target="https://www.google.com/maps/search/?api=1&amp;query=43.6880471,1.3363822" TargetMode="External"/><Relationship Id="rId3191" Type="http://schemas.openxmlformats.org/officeDocument/2006/relationships/hyperlink" Target="https://www.openstreetmap.org/node/12716228969" TargetMode="External"/><Relationship Id="rId3192" Type="http://schemas.openxmlformats.org/officeDocument/2006/relationships/hyperlink" Target="https://www.google.com/maps/search/?api=1&amp;query=43.687656,1.3355717" TargetMode="External"/><Relationship Id="rId3193" Type="http://schemas.openxmlformats.org/officeDocument/2006/relationships/hyperlink" Target="https://www.openstreetmap.org/node/12696454498" TargetMode="External"/><Relationship Id="rId3194" Type="http://schemas.openxmlformats.org/officeDocument/2006/relationships/hyperlink" Target="https://www.google.com/maps/search/?api=1&amp;query=43.7362762,1.3737986" TargetMode="External"/><Relationship Id="rId3195" Type="http://schemas.openxmlformats.org/officeDocument/2006/relationships/hyperlink" Target="https://www.openstreetmap.org/node/11865540991" TargetMode="External"/><Relationship Id="rId3196" Type="http://schemas.openxmlformats.org/officeDocument/2006/relationships/hyperlink" Target="https://www.google.com/maps/search/?api=1&amp;query=43.7424005,1.3704197" TargetMode="External"/><Relationship Id="rId3197" Type="http://schemas.openxmlformats.org/officeDocument/2006/relationships/hyperlink" Target="https://www.openstreetmap.org/node/13363479901" TargetMode="External"/><Relationship Id="rId3198" Type="http://schemas.openxmlformats.org/officeDocument/2006/relationships/hyperlink" Target="https://www.google.com/maps/search/?api=1&amp;query=43.5179917,1.561331" TargetMode="External"/><Relationship Id="rId3199" Type="http://schemas.openxmlformats.org/officeDocument/2006/relationships/hyperlink" Target="https://www.openstreetmap.org/node/6684903062" TargetMode="External"/><Relationship Id="rId3200" Type="http://schemas.openxmlformats.org/officeDocument/2006/relationships/hyperlink" Target="https://www.google.com/maps/search/?api=1&amp;query=43.5163077,1.5472817" TargetMode="External"/><Relationship Id="rId3201" Type="http://schemas.openxmlformats.org/officeDocument/2006/relationships/hyperlink" Target="https://www.openstreetmap.org/way/66664573" TargetMode="External"/><Relationship Id="rId3202" Type="http://schemas.openxmlformats.org/officeDocument/2006/relationships/hyperlink" Target="https://www.google.com/maps/search/?api=1&amp;query=43.5156247,1.5481241" TargetMode="External"/><Relationship Id="rId3203" Type="http://schemas.openxmlformats.org/officeDocument/2006/relationships/hyperlink" Target="https://www.openstreetmap.org/node/8249753425" TargetMode="External"/><Relationship Id="rId3204" Type="http://schemas.openxmlformats.org/officeDocument/2006/relationships/hyperlink" Target="https://www.google.com/maps/search/?api=1&amp;query=43.5242928,1.5417417" TargetMode="External"/><Relationship Id="rId3205" Type="http://schemas.openxmlformats.org/officeDocument/2006/relationships/hyperlink" Target="https://www.openstreetmap.org/node/914596797" TargetMode="External"/><Relationship Id="rId3206" Type="http://schemas.openxmlformats.org/officeDocument/2006/relationships/hyperlink" Target="https://www.google.com/maps/search/?api=1&amp;query=43.5241049,1.5419585" TargetMode="External"/><Relationship Id="rId3207" Type="http://schemas.openxmlformats.org/officeDocument/2006/relationships/hyperlink" Target="https://www.openstreetmap.org/node/914596793" TargetMode="External"/><Relationship Id="rId3208" Type="http://schemas.openxmlformats.org/officeDocument/2006/relationships/hyperlink" Target="https://www.google.com/maps/search/?api=1&amp;query=43.5177394,1.5465357" TargetMode="External"/><Relationship Id="rId3209" Type="http://schemas.openxmlformats.org/officeDocument/2006/relationships/hyperlink" Target="https://www.openstreetmap.org/node/3084650955" TargetMode="External"/><Relationship Id="rId3210" Type="http://schemas.openxmlformats.org/officeDocument/2006/relationships/hyperlink" Target="http://www.mast.fr/" TargetMode="External"/><Relationship Id="rId3211" Type="http://schemas.openxmlformats.org/officeDocument/2006/relationships/hyperlink" Target="https://www.google.com/maps/search/?api=1&amp;query=43.5182625,1.5475494" TargetMode="External"/><Relationship Id="rId3212" Type="http://schemas.openxmlformats.org/officeDocument/2006/relationships/hyperlink" Target="https://www.openstreetmap.org/node/636023994" TargetMode="External"/><Relationship Id="rId3213" Type="http://schemas.openxmlformats.org/officeDocument/2006/relationships/hyperlink" Target="https://www.pizzapapadistelo.com/" TargetMode="External"/><Relationship Id="rId3214" Type="http://schemas.openxmlformats.org/officeDocument/2006/relationships/hyperlink" Target="https://www.google.com/maps/search/?api=1&amp;query=43.5178751,1.5618653" TargetMode="External"/><Relationship Id="rId3215" Type="http://schemas.openxmlformats.org/officeDocument/2006/relationships/hyperlink" Target="https://www.openstreetmap.org/node/13063579207" TargetMode="External"/><Relationship Id="rId3216" Type="http://schemas.openxmlformats.org/officeDocument/2006/relationships/hyperlink" Target="https://www.pizzaval.com/" TargetMode="External"/><Relationship Id="rId3217" Type="http://schemas.openxmlformats.org/officeDocument/2006/relationships/hyperlink" Target="https://www.google.com/maps/search/?api=1&amp;query=43.5157416,1.5480177" TargetMode="External"/><Relationship Id="rId3218" Type="http://schemas.openxmlformats.org/officeDocument/2006/relationships/hyperlink" Target="https://www.openstreetmap.org/way/342543230" TargetMode="External"/><Relationship Id="rId3219" Type="http://schemas.openxmlformats.org/officeDocument/2006/relationships/hyperlink" Target="https://www.google.com/maps/search/?api=1&amp;query=43.515513,1.5479497" TargetMode="External"/><Relationship Id="rId3220" Type="http://schemas.openxmlformats.org/officeDocument/2006/relationships/hyperlink" Target="https://www.openstreetmap.org/node/941467496" TargetMode="External"/><Relationship Id="rId3221" Type="http://schemas.openxmlformats.org/officeDocument/2006/relationships/hyperlink" Target="https://www.facebook.com/PizzeriaBellagioOfficiel" TargetMode="External"/><Relationship Id="rId3222" Type="http://schemas.openxmlformats.org/officeDocument/2006/relationships/hyperlink" Target="https://www.google.com/maps/search/?api=1&amp;query=43.6874292,1.4151411" TargetMode="External"/><Relationship Id="rId3223" Type="http://schemas.openxmlformats.org/officeDocument/2006/relationships/hyperlink" Target="https://www.openstreetmap.org/node/6345925852" TargetMode="External"/><Relationship Id="rId3224" Type="http://schemas.openxmlformats.org/officeDocument/2006/relationships/hyperlink" Target="http://www.litalienne.fr/" TargetMode="External"/><Relationship Id="rId3225" Type="http://schemas.openxmlformats.org/officeDocument/2006/relationships/hyperlink" Target="https://www.google.com/maps/search/?api=1&amp;query=43.7119119,1.3956905" TargetMode="External"/><Relationship Id="rId3226" Type="http://schemas.openxmlformats.org/officeDocument/2006/relationships/hyperlink" Target="https://www.openstreetmap.org/way/260639188" TargetMode="External"/><Relationship Id="rId3227" Type="http://schemas.openxmlformats.org/officeDocument/2006/relationships/hyperlink" Target="https://www.google.com/maps/search/?api=1&amp;query=43.6871269,1.4059775" TargetMode="External"/><Relationship Id="rId3228" Type="http://schemas.openxmlformats.org/officeDocument/2006/relationships/hyperlink" Target="https://www.openstreetmap.org/node/4187177911" TargetMode="External"/><Relationship Id="rId3229" Type="http://schemas.openxmlformats.org/officeDocument/2006/relationships/hyperlink" Target="https://www.google.com/maps/search/?api=1&amp;query=43.6816206,1.4216278" TargetMode="External"/><Relationship Id="rId3230" Type="http://schemas.openxmlformats.org/officeDocument/2006/relationships/hyperlink" Target="https://www.openstreetmap.org/node/7616367585" TargetMode="External"/><Relationship Id="rId3231" Type="http://schemas.openxmlformats.org/officeDocument/2006/relationships/hyperlink" Target="https://www.google.com/maps/search/?api=1&amp;query=43.6883672,1.4151667" TargetMode="External"/><Relationship Id="rId3232" Type="http://schemas.openxmlformats.org/officeDocument/2006/relationships/hyperlink" Target="https://www.openstreetmap.org/node/13962559460" TargetMode="External"/><Relationship Id="rId3233" Type="http://schemas.openxmlformats.org/officeDocument/2006/relationships/hyperlink" Target="https://www.google.com/maps/search/?api=1&amp;query=43.7219731,1.3258499" TargetMode="External"/><Relationship Id="rId3234" Type="http://schemas.openxmlformats.org/officeDocument/2006/relationships/hyperlink" Target="https://www.openstreetmap.org/way/96817714" TargetMode="External"/><Relationship Id="rId3235" Type="http://schemas.openxmlformats.org/officeDocument/2006/relationships/hyperlink" Target="https://www.en-pleine-nature.com/" TargetMode="External"/><Relationship Id="rId3236" Type="http://schemas.openxmlformats.org/officeDocument/2006/relationships/hyperlink" Target="https://www.google.com/maps/search/?api=1&amp;query=43.5852455,1.5292218" TargetMode="External"/><Relationship Id="rId3237" Type="http://schemas.openxmlformats.org/officeDocument/2006/relationships/hyperlink" Target="https://www.openstreetmap.org/node/1261012008" TargetMode="External"/><Relationship Id="rId3238" Type="http://schemas.openxmlformats.org/officeDocument/2006/relationships/hyperlink" Target="https://restaurantgalabar.fr/" TargetMode="External"/><Relationship Id="rId3239" Type="http://schemas.openxmlformats.org/officeDocument/2006/relationships/hyperlink" Target="https://www.google.com/maps/search/?api=1&amp;query=43.5832391,1.5136272" TargetMode="External"/><Relationship Id="rId3240" Type="http://schemas.openxmlformats.org/officeDocument/2006/relationships/hyperlink" Target="https://www.openstreetmap.org/node/13308179731" TargetMode="External"/><Relationship Id="rId3241" Type="http://schemas.openxmlformats.org/officeDocument/2006/relationships/hyperlink" Target="https://www.lebistrodescopains.com/" TargetMode="External"/><Relationship Id="rId3242" Type="http://schemas.openxmlformats.org/officeDocument/2006/relationships/hyperlink" Target="https://www.google.com/maps/search/?api=1&amp;query=43.5858487,1.5262687" TargetMode="External"/><Relationship Id="rId3243" Type="http://schemas.openxmlformats.org/officeDocument/2006/relationships/hyperlink" Target="https://www.openstreetmap.org/node/1261011968" TargetMode="External"/><Relationship Id="rId3244" Type="http://schemas.openxmlformats.org/officeDocument/2006/relationships/hyperlink" Target="https://www.les-caprices.fr/" TargetMode="External"/><Relationship Id="rId3245" Type="http://schemas.openxmlformats.org/officeDocument/2006/relationships/hyperlink" Target="https://www.google.com/maps/search/?api=1&amp;query=43.5861441,1.5295826" TargetMode="External"/><Relationship Id="rId3246" Type="http://schemas.openxmlformats.org/officeDocument/2006/relationships/hyperlink" Target="https://www.openstreetmap.org/node/1261011953" TargetMode="External"/><Relationship Id="rId3247" Type="http://schemas.openxmlformats.org/officeDocument/2006/relationships/hyperlink" Target="https://www.pizza-mongelli.com/" TargetMode="External"/><Relationship Id="rId3248" Type="http://schemas.openxmlformats.org/officeDocument/2006/relationships/hyperlink" Target="https://www.google.com/maps/search/?api=1&amp;query=43.5852978,1.5294136" TargetMode="External"/><Relationship Id="rId3249" Type="http://schemas.openxmlformats.org/officeDocument/2006/relationships/hyperlink" Target="https://www.openstreetmap.org/node/2496079565" TargetMode="External"/><Relationship Id="rId3250" Type="http://schemas.openxmlformats.org/officeDocument/2006/relationships/hyperlink" Target="https://suke-sushi-quint-fonsegrives.eatbu.com/" TargetMode="External"/><Relationship Id="rId3251" Type="http://schemas.openxmlformats.org/officeDocument/2006/relationships/hyperlink" Target="https://www.google.com/maps/search/?api=1&amp;query=43.5847933,1.5279082" TargetMode="External"/><Relationship Id="rId3252" Type="http://schemas.openxmlformats.org/officeDocument/2006/relationships/hyperlink" Target="https://www.openstreetmap.org/node/1261011964" TargetMode="External"/><Relationship Id="rId3253" Type="http://schemas.openxmlformats.org/officeDocument/2006/relationships/hyperlink" Target="https://www.google.com/maps/search/?api=1&amp;query=43.5854767,1.5276299" TargetMode="External"/><Relationship Id="rId3254" Type="http://schemas.openxmlformats.org/officeDocument/2006/relationships/hyperlink" Target="https://www.openstreetmap.org/node/1261011960" TargetMode="External"/><Relationship Id="rId3255" Type="http://schemas.openxmlformats.org/officeDocument/2006/relationships/hyperlink" Target="https://zenquint.fr/" TargetMode="External"/><Relationship Id="rId3256" Type="http://schemas.openxmlformats.org/officeDocument/2006/relationships/hyperlink" Target="https://www.google.com/maps/search/?api=1&amp;query=43.5838377,1.5153379" TargetMode="External"/><Relationship Id="rId3257" Type="http://schemas.openxmlformats.org/officeDocument/2006/relationships/hyperlink" Target="https://www.openstreetmap.org/node/2118637047" TargetMode="External"/><Relationship Id="rId3258" Type="http://schemas.openxmlformats.org/officeDocument/2006/relationships/hyperlink" Target="https://www.facebook.com/Decofeine/" TargetMode="External"/><Relationship Id="rId3259" Type="http://schemas.openxmlformats.org/officeDocument/2006/relationships/hyperlink" Target="https://www.google.com/maps/search/?api=1&amp;query=43.7269966,1.4125017" TargetMode="External"/><Relationship Id="rId3260" Type="http://schemas.openxmlformats.org/officeDocument/2006/relationships/hyperlink" Target="https://www.openstreetmap.org/node/10931239251" TargetMode="External"/><Relationship Id="rId3261" Type="http://schemas.openxmlformats.org/officeDocument/2006/relationships/hyperlink" Target="https://le-quarre.fr/restaurant" TargetMode="External"/><Relationship Id="rId3262" Type="http://schemas.openxmlformats.org/officeDocument/2006/relationships/hyperlink" Target="https://www.google.com/maps/search/?api=1&amp;query=43.7263757,1.4122077" TargetMode="External"/><Relationship Id="rId3263" Type="http://schemas.openxmlformats.org/officeDocument/2006/relationships/hyperlink" Target="https://www.openstreetmap.org/node/10931176367" TargetMode="External"/><Relationship Id="rId3264" Type="http://schemas.openxmlformats.org/officeDocument/2006/relationships/hyperlink" Target="https://lacassineduburger.com/" TargetMode="External"/><Relationship Id="rId3265" Type="http://schemas.openxmlformats.org/officeDocument/2006/relationships/hyperlink" Target="https://www.google.com/maps/search/?api=1&amp;query=43.7194599,1.4070168" TargetMode="External"/><Relationship Id="rId3266" Type="http://schemas.openxmlformats.org/officeDocument/2006/relationships/hyperlink" Target="https://www.openstreetmap.org/node/10931262004" TargetMode="External"/><Relationship Id="rId3267" Type="http://schemas.openxmlformats.org/officeDocument/2006/relationships/hyperlink" Target="https://www.le-galichon-restaurant-bruguieres.fr/" TargetMode="External"/><Relationship Id="rId3268" Type="http://schemas.openxmlformats.org/officeDocument/2006/relationships/hyperlink" Target="https://www.google.com/maps/search/?api=1&amp;query=43.6982865,1.4072056" TargetMode="External"/><Relationship Id="rId3269" Type="http://schemas.openxmlformats.org/officeDocument/2006/relationships/hyperlink" Target="https://www.openstreetmap.org/node/10934801591" TargetMode="External"/><Relationship Id="rId3270" Type="http://schemas.openxmlformats.org/officeDocument/2006/relationships/hyperlink" Target="https://www.baraviande-lesoiessauvages.com/" TargetMode="External"/><Relationship Id="rId3271" Type="http://schemas.openxmlformats.org/officeDocument/2006/relationships/hyperlink" Target="https://www.google.com/maps/search/?api=1&amp;query=43.7270961,1.4126119" TargetMode="External"/><Relationship Id="rId3272" Type="http://schemas.openxmlformats.org/officeDocument/2006/relationships/hyperlink" Target="https://www.openstreetmap.org/node/10931217399" TargetMode="External"/><Relationship Id="rId3273" Type="http://schemas.openxmlformats.org/officeDocument/2006/relationships/hyperlink" Target="https://www.google.com/maps/search/?api=1&amp;query=43.7270479,1.4113327" TargetMode="External"/><Relationship Id="rId3274" Type="http://schemas.openxmlformats.org/officeDocument/2006/relationships/hyperlink" Target="https://www.openstreetmap.org/node/10931213143" TargetMode="External"/><Relationship Id="rId3275" Type="http://schemas.openxmlformats.org/officeDocument/2006/relationships/hyperlink" Target="http://popi-pizza.fr/" TargetMode="External"/><Relationship Id="rId3276" Type="http://schemas.openxmlformats.org/officeDocument/2006/relationships/hyperlink" Target="https://www.google.com/maps/search/?api=1&amp;query=43.7270863,1.4112834" TargetMode="External"/><Relationship Id="rId3277" Type="http://schemas.openxmlformats.org/officeDocument/2006/relationships/hyperlink" Target="https://www.openstreetmap.org/node/10931176322" TargetMode="External"/><Relationship Id="rId3278" Type="http://schemas.openxmlformats.org/officeDocument/2006/relationships/hyperlink" Target="https://www.sendosushi.fr/" TargetMode="External"/><Relationship Id="rId3279" Type="http://schemas.openxmlformats.org/officeDocument/2006/relationships/hyperlink" Target="https://www.google.com/maps/search/?api=1&amp;query=43.7191378,1.4069586" TargetMode="External"/><Relationship Id="rId3280" Type="http://schemas.openxmlformats.org/officeDocument/2006/relationships/hyperlink" Target="https://www.openstreetmap.org/node/10931274333" TargetMode="External"/><Relationship Id="rId3281" Type="http://schemas.openxmlformats.org/officeDocument/2006/relationships/hyperlink" Target="https://o-restaurant-de-la-place-bruguieres.eatbu.com/" TargetMode="External"/><Relationship Id="rId3282" Type="http://schemas.openxmlformats.org/officeDocument/2006/relationships/hyperlink" Target="https://www.google.com/maps/search/?api=1&amp;query=43.7272016,1.4111152" TargetMode="External"/><Relationship Id="rId3283" Type="http://schemas.openxmlformats.org/officeDocument/2006/relationships/hyperlink" Target="https://www.openstreetmap.org/node/10931161247" TargetMode="External"/><Relationship Id="rId3284" Type="http://schemas.openxmlformats.org/officeDocument/2006/relationships/hyperlink" Target="https://www.aubureau.fr/restaurant-brasserie/au-bureau-fenouillet" TargetMode="External"/><Relationship Id="rId3285" Type="http://schemas.openxmlformats.org/officeDocument/2006/relationships/hyperlink" Target="https://www.google.com/maps/search/?api=1&amp;query=43.6910616,1.4000662" TargetMode="External"/><Relationship Id="rId3286" Type="http://schemas.openxmlformats.org/officeDocument/2006/relationships/hyperlink" Target="https://www.openstreetmap.org/way/1159629715" TargetMode="External"/><Relationship Id="rId3287" Type="http://schemas.openxmlformats.org/officeDocument/2006/relationships/hyperlink" Target="https://www.google.com/maps/search/?api=1&amp;query=43.6801779,1.4073081" TargetMode="External"/><Relationship Id="rId3288" Type="http://schemas.openxmlformats.org/officeDocument/2006/relationships/hyperlink" Target="https://www.openstreetmap.org/node/5773501543" TargetMode="External"/><Relationship Id="rId3289" Type="http://schemas.openxmlformats.org/officeDocument/2006/relationships/hyperlink" Target="https://www.hippopotamus.fr/nos-restaurants/hippopotamus-toulouse-fenouillet" TargetMode="External"/><Relationship Id="rId3290" Type="http://schemas.openxmlformats.org/officeDocument/2006/relationships/hyperlink" Target="https://www.google.com/maps/search/?api=1&amp;query=43.6915777,1.400787" TargetMode="External"/><Relationship Id="rId3291" Type="http://schemas.openxmlformats.org/officeDocument/2006/relationships/hyperlink" Target="https://www.openstreetmap.org/way/1159632172" TargetMode="External"/><Relationship Id="rId3292" Type="http://schemas.openxmlformats.org/officeDocument/2006/relationships/hyperlink" Target="https://www.google.com/maps/search/?api=1&amp;query=43.6890254,1.4016063" TargetMode="External"/><Relationship Id="rId3293" Type="http://schemas.openxmlformats.org/officeDocument/2006/relationships/hyperlink" Target="https://www.openstreetmap.org/node/4485277430" TargetMode="External"/><Relationship Id="rId3294" Type="http://schemas.openxmlformats.org/officeDocument/2006/relationships/hyperlink" Target="https://www.google.com/maps/search/?api=1&amp;query=43.6914714,1.4006814" TargetMode="External"/><Relationship Id="rId3295" Type="http://schemas.openxmlformats.org/officeDocument/2006/relationships/hyperlink" Target="https://www.openstreetmap.org/way/1159632170" TargetMode="External"/><Relationship Id="rId3296" Type="http://schemas.openxmlformats.org/officeDocument/2006/relationships/hyperlink" Target="https://laguinguette-enlair.fr/" TargetMode="External"/><Relationship Id="rId3297" Type="http://schemas.openxmlformats.org/officeDocument/2006/relationships/hyperlink" Target="https://www.google.com/maps/search/?api=1&amp;query=43.6932938,1.3911452" TargetMode="External"/><Relationship Id="rId3298" Type="http://schemas.openxmlformats.org/officeDocument/2006/relationships/hyperlink" Target="https://www.openstreetmap.org/node/13893817643" TargetMode="External"/><Relationship Id="rId3299" Type="http://schemas.openxmlformats.org/officeDocument/2006/relationships/hyperlink" Target="https://www.google.com/maps/search/?api=1&amp;query=43.6873531,1.4044687" TargetMode="External"/><Relationship Id="rId3300" Type="http://schemas.openxmlformats.org/officeDocument/2006/relationships/hyperlink" Target="https://www.openstreetmap.org/way/64529507" TargetMode="External"/><Relationship Id="rId3301" Type="http://schemas.openxmlformats.org/officeDocument/2006/relationships/hyperlink" Target="https://www.google.com/maps/search/?api=1&amp;query=43.6908454,1.4001732" TargetMode="External"/><Relationship Id="rId3302" Type="http://schemas.openxmlformats.org/officeDocument/2006/relationships/hyperlink" Target="https://www.openstreetmap.org/way/1159629717" TargetMode="External"/><Relationship Id="rId3303" Type="http://schemas.openxmlformats.org/officeDocument/2006/relationships/hyperlink" Target="https://www.aubureau.fr/restaurant-brasserie/au-bureau-roques" TargetMode="External"/><Relationship Id="rId3304" Type="http://schemas.openxmlformats.org/officeDocument/2006/relationships/hyperlink" Target="https://www.google.com/maps/search/?api=1&amp;query=43.5109627,1.3660964" TargetMode="External"/><Relationship Id="rId3305" Type="http://schemas.openxmlformats.org/officeDocument/2006/relationships/hyperlink" Target="https://www.openstreetmap.org/way/646704721" TargetMode="External"/><Relationship Id="rId3306" Type="http://schemas.openxmlformats.org/officeDocument/2006/relationships/hyperlink" Target="https://www.buffalo-grill.fr/nos-restaurants/toulouse-roques-sur-garonne" TargetMode="External"/><Relationship Id="rId3307" Type="http://schemas.openxmlformats.org/officeDocument/2006/relationships/hyperlink" Target="https://www.google.com/maps/search/?api=1&amp;query=43.5106358,1.3695683" TargetMode="External"/><Relationship Id="rId3308" Type="http://schemas.openxmlformats.org/officeDocument/2006/relationships/hyperlink" Target="https://www.openstreetmap.org/node/365269997" TargetMode="External"/><Relationship Id="rId3309" Type="http://schemas.openxmlformats.org/officeDocument/2006/relationships/hyperlink" Target="https://www.flunch.fr/restaurant/roques-sur-garonne/flunch-toulouse-roques/" TargetMode="External"/><Relationship Id="rId3310" Type="http://schemas.openxmlformats.org/officeDocument/2006/relationships/hyperlink" Target="https://www.google.com/maps/search/?api=1&amp;query=43.5136301,1.370976" TargetMode="External"/><Relationship Id="rId3311" Type="http://schemas.openxmlformats.org/officeDocument/2006/relationships/hyperlink" Target="https://www.openstreetmap.org/node/2982574483" TargetMode="External"/><Relationship Id="rId3312" Type="http://schemas.openxmlformats.org/officeDocument/2006/relationships/hyperlink" Target="https://restaurants.hippopotamus.fr/france/occitanie/haute-garonne/roques/toulouse-roques" TargetMode="External"/><Relationship Id="rId3313" Type="http://schemas.openxmlformats.org/officeDocument/2006/relationships/hyperlink" Target="https://www.google.com/maps/search/?api=1&amp;query=43.5112752,1.3666529" TargetMode="External"/><Relationship Id="rId3314" Type="http://schemas.openxmlformats.org/officeDocument/2006/relationships/hyperlink" Target="https://www.openstreetmap.org/way/244339694" TargetMode="External"/><Relationship Id="rId3315" Type="http://schemas.openxmlformats.org/officeDocument/2006/relationships/hyperlink" Target="https://www.google.com/maps/search/?api=1&amp;query=43.5138859,1.3713675" TargetMode="External"/><Relationship Id="rId3316" Type="http://schemas.openxmlformats.org/officeDocument/2006/relationships/hyperlink" Target="https://www.openstreetmap.org/node/12101915022" TargetMode="External"/><Relationship Id="rId3317" Type="http://schemas.openxmlformats.org/officeDocument/2006/relationships/hyperlink" Target="https://www.delarte.fr/nos-restaurants/occitanie/haute-garonne/roques/pizzeria-toulouse-roques-sur-garonne" TargetMode="External"/><Relationship Id="rId3318" Type="http://schemas.openxmlformats.org/officeDocument/2006/relationships/hyperlink" Target="https://www.google.com/maps/search/?api=1&amp;query=43.5111299,1.3663801" TargetMode="External"/><Relationship Id="rId3319" Type="http://schemas.openxmlformats.org/officeDocument/2006/relationships/hyperlink" Target="https://www.openstreetmap.org/way/244339689" TargetMode="External"/><Relationship Id="rId3320" Type="http://schemas.openxmlformats.org/officeDocument/2006/relationships/hyperlink" Target="https://www.google.com/maps/search/?api=1&amp;query=43.7020412,1.4672957" TargetMode="External"/><Relationship Id="rId3321" Type="http://schemas.openxmlformats.org/officeDocument/2006/relationships/hyperlink" Target="https://www.openstreetmap.org/node/6764188796" TargetMode="External"/><Relationship Id="rId3322" Type="http://schemas.openxmlformats.org/officeDocument/2006/relationships/hyperlink" Target="https://www.google.com/maps/search/?api=1&amp;query=43.7100798,1.4648579" TargetMode="External"/><Relationship Id="rId3323" Type="http://schemas.openxmlformats.org/officeDocument/2006/relationships/hyperlink" Target="https://www.openstreetmap.org/node/1787434478" TargetMode="External"/><Relationship Id="rId3324" Type="http://schemas.openxmlformats.org/officeDocument/2006/relationships/hyperlink" Target="https://www.google.com/maps/search/?api=1&amp;query=43.7023858,1.4669319" TargetMode="External"/><Relationship Id="rId3325" Type="http://schemas.openxmlformats.org/officeDocument/2006/relationships/hyperlink" Target="https://www.openstreetmap.org/node/1787179191" TargetMode="External"/><Relationship Id="rId3326" Type="http://schemas.openxmlformats.org/officeDocument/2006/relationships/hyperlink" Target="https://www.google.com/maps/search/?api=1&amp;query=43.7064583,1.4657119" TargetMode="External"/><Relationship Id="rId3327" Type="http://schemas.openxmlformats.org/officeDocument/2006/relationships/hyperlink" Target="https://www.openstreetmap.org/node/6764188788" TargetMode="External"/><Relationship Id="rId3328" Type="http://schemas.openxmlformats.org/officeDocument/2006/relationships/hyperlink" Target="https://www.google.com/maps/search/?api=1&amp;query=43.7152297,1.4481961" TargetMode="External"/><Relationship Id="rId3329" Type="http://schemas.openxmlformats.org/officeDocument/2006/relationships/hyperlink" Target="https://www.openstreetmap.org/node/4674458994" TargetMode="External"/><Relationship Id="rId3330" Type="http://schemas.openxmlformats.org/officeDocument/2006/relationships/hyperlink" Target="https://www.google.com/maps/search/?api=1&amp;query=43.4998558,1.3633587" TargetMode="External"/><Relationship Id="rId3331" Type="http://schemas.openxmlformats.org/officeDocument/2006/relationships/hyperlink" Target="https://www.openstreetmap.org/node/13893863800" TargetMode="External"/><Relationship Id="rId3332" Type="http://schemas.openxmlformats.org/officeDocument/2006/relationships/hyperlink" Target="https://ankka.fr/" TargetMode="External"/><Relationship Id="rId3333" Type="http://schemas.openxmlformats.org/officeDocument/2006/relationships/hyperlink" Target="https://www.google.com/maps/search/?api=1&amp;query=43.54913,1.5047827" TargetMode="External"/><Relationship Id="rId3334" Type="http://schemas.openxmlformats.org/officeDocument/2006/relationships/hyperlink" Target="https://www.openstreetmap.org/node/7148688367" TargetMode="External"/><Relationship Id="rId3335" Type="http://schemas.openxmlformats.org/officeDocument/2006/relationships/hyperlink" Target="https://www.aubureau.fr/restaurant-brasserie/au-bureau-labege" TargetMode="External"/><Relationship Id="rId3336" Type="http://schemas.openxmlformats.org/officeDocument/2006/relationships/hyperlink" Target="https://www.google.com/maps/search/?api=1&amp;query=43.5410582,1.5093135" TargetMode="External"/><Relationship Id="rId3337" Type="http://schemas.openxmlformats.org/officeDocument/2006/relationships/hyperlink" Target="https://www.openstreetmap.org/way/67893691" TargetMode="External"/><Relationship Id="rId3338" Type="http://schemas.openxmlformats.org/officeDocument/2006/relationships/hyperlink" Target="https://www.autangourmand.com/" TargetMode="External"/><Relationship Id="rId3339" Type="http://schemas.openxmlformats.org/officeDocument/2006/relationships/hyperlink" Target="https://www.google.com/maps/search/?api=1&amp;query=43.5310705,1.5280094" TargetMode="External"/><Relationship Id="rId3340" Type="http://schemas.openxmlformats.org/officeDocument/2006/relationships/hyperlink" Target="https://www.openstreetmap.org/way/67892761" TargetMode="External"/><Relationship Id="rId3341" Type="http://schemas.openxmlformats.org/officeDocument/2006/relationships/hyperlink" Target="https://tobobun.com/" TargetMode="External"/><Relationship Id="rId3342" Type="http://schemas.openxmlformats.org/officeDocument/2006/relationships/hyperlink" Target="https://www.google.com/maps/search/?api=1&amp;query=43.5408025,1.5120412" TargetMode="External"/><Relationship Id="rId3343" Type="http://schemas.openxmlformats.org/officeDocument/2006/relationships/hyperlink" Target="https://www.openstreetmap.org/node/29047143" TargetMode="External"/><Relationship Id="rId3344" Type="http://schemas.openxmlformats.org/officeDocument/2006/relationships/hyperlink" Target="https://bouillonlabege.com/" TargetMode="External"/><Relationship Id="rId3345" Type="http://schemas.openxmlformats.org/officeDocument/2006/relationships/hyperlink" Target="https://www.google.com/maps/search/?api=1&amp;query=43.5492315,1.5050859" TargetMode="External"/><Relationship Id="rId3346" Type="http://schemas.openxmlformats.org/officeDocument/2006/relationships/hyperlink" Target="https://www.openstreetmap.org/node/7148688374" TargetMode="External"/><Relationship Id="rId3347" Type="http://schemas.openxmlformats.org/officeDocument/2006/relationships/hyperlink" Target="https://restaurants.crepetouch.com/toulouse-labege-2/" TargetMode="External"/><Relationship Id="rId3348" Type="http://schemas.openxmlformats.org/officeDocument/2006/relationships/hyperlink" Target="https://www.google.com/maps/search/?api=1&amp;query=43.5506288,1.506985" TargetMode="External"/><Relationship Id="rId3349" Type="http://schemas.openxmlformats.org/officeDocument/2006/relationships/hyperlink" Target="https://www.openstreetmap.org/way/386510826" TargetMode="External"/><Relationship Id="rId3350" Type="http://schemas.openxmlformats.org/officeDocument/2006/relationships/hyperlink" Target="http://www.lejardingourmand-lunch.com/" TargetMode="External"/><Relationship Id="rId3351" Type="http://schemas.openxmlformats.org/officeDocument/2006/relationships/hyperlink" Target="https://www.google.com/maps/search/?api=1&amp;query=43.5515456,1.5059784" TargetMode="External"/><Relationship Id="rId3352" Type="http://schemas.openxmlformats.org/officeDocument/2006/relationships/hyperlink" Target="https://www.openstreetmap.org/way/719455968" TargetMode="External"/><Relationship Id="rId3353" Type="http://schemas.openxmlformats.org/officeDocument/2006/relationships/hyperlink" Target="https://restaurant.flunch.fr/labege/flunch-toulouse-labege/" TargetMode="External"/><Relationship Id="rId3354" Type="http://schemas.openxmlformats.org/officeDocument/2006/relationships/hyperlink" Target="https://www.google.com/maps/search/?api=1&amp;query=43.5502838,1.5073771" TargetMode="External"/><Relationship Id="rId3355" Type="http://schemas.openxmlformats.org/officeDocument/2006/relationships/hyperlink" Target="https://www.openstreetmap.org/way/386510811" TargetMode="External"/><Relationship Id="rId3356" Type="http://schemas.openxmlformats.org/officeDocument/2006/relationships/hyperlink" Target="https://www.google.com/maps/search/?api=1&amp;query=43.5491399,1.5117816" TargetMode="External"/><Relationship Id="rId3357" Type="http://schemas.openxmlformats.org/officeDocument/2006/relationships/hyperlink" Target="https://www.openstreetmap.org/node/7744311408" TargetMode="External"/><Relationship Id="rId3358" Type="http://schemas.openxmlformats.org/officeDocument/2006/relationships/hyperlink" Target="https://www.hippopotamus.fr/nos-restaurants/hippopotamus-labege" TargetMode="External"/><Relationship Id="rId3359" Type="http://schemas.openxmlformats.org/officeDocument/2006/relationships/hyperlink" Target="https://www.google.com/maps/search/?api=1&amp;query=43.5391519,1.5126878" TargetMode="External"/><Relationship Id="rId3360" Type="http://schemas.openxmlformats.org/officeDocument/2006/relationships/hyperlink" Target="https://www.openstreetmap.org/way/67893209" TargetMode="External"/><Relationship Id="rId3361" Type="http://schemas.openxmlformats.org/officeDocument/2006/relationships/hyperlink" Target="https://ilpopolo.fr/" TargetMode="External"/><Relationship Id="rId3362" Type="http://schemas.openxmlformats.org/officeDocument/2006/relationships/hyperlink" Target="https://www.google.com/maps/search/?api=1&amp;query=43.5396184,1.5133249" TargetMode="External"/><Relationship Id="rId3363" Type="http://schemas.openxmlformats.org/officeDocument/2006/relationships/hyperlink" Target="https://www.openstreetmap.org/node/1352295783" TargetMode="External"/><Relationship Id="rId3364" Type="http://schemas.openxmlformats.org/officeDocument/2006/relationships/hyperlink" Target="https://kobe-sushi-labege.eatbu.com/" TargetMode="External"/><Relationship Id="rId3365" Type="http://schemas.openxmlformats.org/officeDocument/2006/relationships/hyperlink" Target="https://www.google.com/maps/search/?api=1&amp;query=43.5493492,1.5115236" TargetMode="External"/><Relationship Id="rId3366" Type="http://schemas.openxmlformats.org/officeDocument/2006/relationships/hyperlink" Target="https://www.openstreetmap.org/node/2741581611" TargetMode="External"/><Relationship Id="rId3367" Type="http://schemas.openxmlformats.org/officeDocument/2006/relationships/hyperlink" Target="https://kumquat-cantine-vietnamienne.fr/labege" TargetMode="External"/><Relationship Id="rId3368" Type="http://schemas.openxmlformats.org/officeDocument/2006/relationships/hyperlink" Target="https://www.google.com/maps/search/?api=1&amp;query=43.540466,1.5139095" TargetMode="External"/><Relationship Id="rId3369" Type="http://schemas.openxmlformats.org/officeDocument/2006/relationships/hyperlink" Target="https://www.openstreetmap.org/node/13566894209" TargetMode="External"/><Relationship Id="rId3370" Type="http://schemas.openxmlformats.org/officeDocument/2006/relationships/hyperlink" Target="https://www.laleatable.com/" TargetMode="External"/><Relationship Id="rId3371" Type="http://schemas.openxmlformats.org/officeDocument/2006/relationships/hyperlink" Target="https://www.google.com/maps/search/?api=1&amp;query=43.5422783,1.5126598" TargetMode="External"/><Relationship Id="rId3372" Type="http://schemas.openxmlformats.org/officeDocument/2006/relationships/hyperlink" Target="https://www.openstreetmap.org/node/2001291179" TargetMode="External"/><Relationship Id="rId3373" Type="http://schemas.openxmlformats.org/officeDocument/2006/relationships/hyperlink" Target="https://www.la-boucherie.fr/Restaurant/la-boucherie-toulouse-labege-31/" TargetMode="External"/><Relationship Id="rId3374" Type="http://schemas.openxmlformats.org/officeDocument/2006/relationships/hyperlink" Target="https://www.google.com/maps/search/?api=1&amp;query=43.5405152,1.5118056" TargetMode="External"/><Relationship Id="rId3375" Type="http://schemas.openxmlformats.org/officeDocument/2006/relationships/hyperlink" Target="https://www.openstreetmap.org/way/67895858" TargetMode="External"/><Relationship Id="rId3376" Type="http://schemas.openxmlformats.org/officeDocument/2006/relationships/hyperlink" Target="https://www.lacoteetlarete.fr/" TargetMode="External"/><Relationship Id="rId3377" Type="http://schemas.openxmlformats.org/officeDocument/2006/relationships/hyperlink" Target="https://www.google.com/maps/search/?api=1&amp;query=43.5414439,1.5095714" TargetMode="External"/><Relationship Id="rId3378" Type="http://schemas.openxmlformats.org/officeDocument/2006/relationships/hyperlink" Target="https://www.openstreetmap.org/node/10225619436" TargetMode="External"/><Relationship Id="rId3379" Type="http://schemas.openxmlformats.org/officeDocument/2006/relationships/hyperlink" Target="http://www.lafaimdesharicots.fr/" TargetMode="External"/><Relationship Id="rId3380" Type="http://schemas.openxmlformats.org/officeDocument/2006/relationships/hyperlink" Target="https://www.google.com/maps/search/?api=1&amp;query=43.5495431,1.5112755" TargetMode="External"/><Relationship Id="rId3381" Type="http://schemas.openxmlformats.org/officeDocument/2006/relationships/hyperlink" Target="https://www.openstreetmap.org/node/356783385" TargetMode="External"/><Relationship Id="rId3382" Type="http://schemas.openxmlformats.org/officeDocument/2006/relationships/hyperlink" Target="https://www.facebook.com/profile.php?id=61554667815484" TargetMode="External"/><Relationship Id="rId3383" Type="http://schemas.openxmlformats.org/officeDocument/2006/relationships/hyperlink" Target="https://www.google.com/maps/search/?api=1&amp;query=43.5540762,1.5076383" TargetMode="External"/><Relationship Id="rId3384" Type="http://schemas.openxmlformats.org/officeDocument/2006/relationships/hyperlink" Target="https://www.openstreetmap.org/node/5672016544" TargetMode="External"/><Relationship Id="rId3385" Type="http://schemas.openxmlformats.org/officeDocument/2006/relationships/hyperlink" Target="https://www.bistro-regent.fr/ou-trouver-les-bistros/toulouse-labege/" TargetMode="External"/><Relationship Id="rId3386" Type="http://schemas.openxmlformats.org/officeDocument/2006/relationships/hyperlink" Target="https://www.google.com/maps/search/?api=1&amp;query=43.5397137,1.5130594" TargetMode="External"/><Relationship Id="rId3387" Type="http://schemas.openxmlformats.org/officeDocument/2006/relationships/hyperlink" Target="https://www.openstreetmap.org/node/460339861" TargetMode="External"/><Relationship Id="rId3388" Type="http://schemas.openxmlformats.org/officeDocument/2006/relationships/hyperlink" Target="https://legrandmechantgout.com/" TargetMode="External"/><Relationship Id="rId3389" Type="http://schemas.openxmlformats.org/officeDocument/2006/relationships/hyperlink" Target="https://www.google.com/maps/search/?api=1&amp;query=43.5498895,1.5110855" TargetMode="External"/><Relationship Id="rId3390" Type="http://schemas.openxmlformats.org/officeDocument/2006/relationships/hyperlink" Target="https://www.openstreetmap.org/node/9946853040" TargetMode="External"/><Relationship Id="rId3391" Type="http://schemas.openxmlformats.org/officeDocument/2006/relationships/hyperlink" Target="https://www.3brasseurs.com/" TargetMode="External"/><Relationship Id="rId3392" Type="http://schemas.openxmlformats.org/officeDocument/2006/relationships/hyperlink" Target="https://www.google.com/maps/search/?api=1&amp;query=43.5409053,1.5128399" TargetMode="External"/><Relationship Id="rId3393" Type="http://schemas.openxmlformats.org/officeDocument/2006/relationships/hyperlink" Target="https://www.openstreetmap.org/node/343622288" TargetMode="External"/><Relationship Id="rId3394" Type="http://schemas.openxmlformats.org/officeDocument/2006/relationships/hyperlink" Target="http://www.lesasiatides.com/" TargetMode="External"/><Relationship Id="rId3395" Type="http://schemas.openxmlformats.org/officeDocument/2006/relationships/hyperlink" Target="https://www.google.com/maps/search/?api=1&amp;query=43.5486662,1.5123713" TargetMode="External"/><Relationship Id="rId3396" Type="http://schemas.openxmlformats.org/officeDocument/2006/relationships/hyperlink" Target="https://www.openstreetmap.org/node/356783375" TargetMode="External"/><Relationship Id="rId3397" Type="http://schemas.openxmlformats.org/officeDocument/2006/relationships/hyperlink" Target="https://lesbouillonstoulousains.fr/" TargetMode="External"/><Relationship Id="rId3398" Type="http://schemas.openxmlformats.org/officeDocument/2006/relationships/hyperlink" Target="https://www.google.com/maps/search/?api=1&amp;query=43.542881,1.5143331" TargetMode="External"/><Relationship Id="rId3399" Type="http://schemas.openxmlformats.org/officeDocument/2006/relationships/hyperlink" Target="https://www.openstreetmap.org/node/7042261555" TargetMode="External"/><Relationship Id="rId3400" Type="http://schemas.openxmlformats.org/officeDocument/2006/relationships/hyperlink" Target="https://lestontonsviandards.fr/" TargetMode="External"/><Relationship Id="rId3401" Type="http://schemas.openxmlformats.org/officeDocument/2006/relationships/hyperlink" Target="https://www.google.com/maps/search/?api=1&amp;query=43.5395936,1.5139179" TargetMode="External"/><Relationship Id="rId3402" Type="http://schemas.openxmlformats.org/officeDocument/2006/relationships/hyperlink" Target="https://www.openstreetmap.org/node/13565672825" TargetMode="External"/><Relationship Id="rId3403" Type="http://schemas.openxmlformats.org/officeDocument/2006/relationships/hyperlink" Target="https://www.google.com/maps/search/?api=1&amp;query=43.5544858,1.5075667" TargetMode="External"/><Relationship Id="rId3404" Type="http://schemas.openxmlformats.org/officeDocument/2006/relationships/hyperlink" Target="https://www.openstreetmap.org/node/942315665" TargetMode="External"/><Relationship Id="rId3405" Type="http://schemas.openxmlformats.org/officeDocument/2006/relationships/hyperlink" Target="https://www.google.com/maps/search/?api=1&amp;query=43.5499353,1.4996527" TargetMode="External"/><Relationship Id="rId3406" Type="http://schemas.openxmlformats.org/officeDocument/2006/relationships/hyperlink" Target="https://www.openstreetmap.org/node/9974426580" TargetMode="External"/><Relationship Id="rId3407" Type="http://schemas.openxmlformats.org/officeDocument/2006/relationships/hyperlink" Target="https://www.pizza-mongelli.com/reservation-mongelli-labege/" TargetMode="External"/><Relationship Id="rId3408" Type="http://schemas.openxmlformats.org/officeDocument/2006/relationships/hyperlink" Target="https://www.google.com/maps/search/?api=1&amp;query=43.5394773,1.5137451" TargetMode="External"/><Relationship Id="rId3409" Type="http://schemas.openxmlformats.org/officeDocument/2006/relationships/hyperlink" Target="https://www.openstreetmap.org/node/1352295794" TargetMode="External"/><Relationship Id="rId3410" Type="http://schemas.openxmlformats.org/officeDocument/2006/relationships/hyperlink" Target="https://www.google.com/maps/search/?api=1&amp;query=43.549648,1.5112687" TargetMode="External"/><Relationship Id="rId3411" Type="http://schemas.openxmlformats.org/officeDocument/2006/relationships/hyperlink" Target="https://www.openstreetmap.org/node/8115243685" TargetMode="External"/><Relationship Id="rId3412" Type="http://schemas.openxmlformats.org/officeDocument/2006/relationships/hyperlink" Target="https://restaurants.spok.fr/toulouse-labege/" TargetMode="External"/><Relationship Id="rId3413" Type="http://schemas.openxmlformats.org/officeDocument/2006/relationships/hyperlink" Target="https://www.google.com/maps/search/?api=1&amp;query=43.5401994,1.5139864" TargetMode="External"/><Relationship Id="rId3414" Type="http://schemas.openxmlformats.org/officeDocument/2006/relationships/hyperlink" Target="https://www.openstreetmap.org/node/13577480941" TargetMode="External"/><Relationship Id="rId3415" Type="http://schemas.openxmlformats.org/officeDocument/2006/relationships/hyperlink" Target="https://www.google.com/maps/search/?api=1&amp;query=43.5547672,1.5042254" TargetMode="External"/><Relationship Id="rId3416" Type="http://schemas.openxmlformats.org/officeDocument/2006/relationships/hyperlink" Target="https://www.openstreetmap.org/way/33878026" TargetMode="External"/><Relationship Id="rId3417" Type="http://schemas.openxmlformats.org/officeDocument/2006/relationships/hyperlink" Target="https://www.delarte.fr/restaurant-italien-pizzeria-toulouse-labege.html" TargetMode="External"/><Relationship Id="rId3418" Type="http://schemas.openxmlformats.org/officeDocument/2006/relationships/hyperlink" Target="https://www.google.com/maps/search/?api=1&amp;query=43.5389431,1.5122361" TargetMode="External"/><Relationship Id="rId3419" Type="http://schemas.openxmlformats.org/officeDocument/2006/relationships/hyperlink" Target="https://www.openstreetmap.org/node/3172252364" TargetMode="External"/><Relationship Id="rId3420" Type="http://schemas.openxmlformats.org/officeDocument/2006/relationships/hyperlink" Target="https://www.google.com/maps/search/?api=1&amp;query=43.530529,1.5347785" TargetMode="External"/><Relationship Id="rId3421" Type="http://schemas.openxmlformats.org/officeDocument/2006/relationships/hyperlink" Target="https://www.openstreetmap.org/node/3722767137" TargetMode="External"/><Relationship Id="rId3422" Type="http://schemas.openxmlformats.org/officeDocument/2006/relationships/hyperlink" Target="http://www.sakesushi.fr/" TargetMode="External"/><Relationship Id="rId3423" Type="http://schemas.openxmlformats.org/officeDocument/2006/relationships/hyperlink" Target="https://www.google.com/maps/search/?api=1&amp;query=43.5398882,1.5131951" TargetMode="External"/><Relationship Id="rId3424" Type="http://schemas.openxmlformats.org/officeDocument/2006/relationships/hyperlink" Target="https://www.openstreetmap.org/node/1352295767" TargetMode="External"/><Relationship Id="rId3425" Type="http://schemas.openxmlformats.org/officeDocument/2006/relationships/hyperlink" Target="https://supper-moment.fr/" TargetMode="External"/><Relationship Id="rId3426" Type="http://schemas.openxmlformats.org/officeDocument/2006/relationships/hyperlink" Target="https://www.google.com/maps/search/?api=1&amp;query=43.5430773,1.5086124" TargetMode="External"/><Relationship Id="rId3427" Type="http://schemas.openxmlformats.org/officeDocument/2006/relationships/hyperlink" Target="https://www.openstreetmap.org/node/13622107571" TargetMode="External"/><Relationship Id="rId3428" Type="http://schemas.openxmlformats.org/officeDocument/2006/relationships/hyperlink" Target="https://www.google.com/maps/search/?api=1&amp;query=43.550486,1.5081442" TargetMode="External"/><Relationship Id="rId3429" Type="http://schemas.openxmlformats.org/officeDocument/2006/relationships/hyperlink" Target="https://www.openstreetmap.org/node/12183973024" TargetMode="External"/><Relationship Id="rId3430" Type="http://schemas.openxmlformats.org/officeDocument/2006/relationships/hyperlink" Target="https://terre-et-mer-labege.com/" TargetMode="External"/><Relationship Id="rId3431" Type="http://schemas.openxmlformats.org/officeDocument/2006/relationships/hyperlink" Target="https://www.google.com/maps/search/?api=1&amp;query=43.5418589,1.5110492" TargetMode="External"/><Relationship Id="rId3432" Type="http://schemas.openxmlformats.org/officeDocument/2006/relationships/hyperlink" Target="https://www.openstreetmap.org/node/6263888458" TargetMode="External"/><Relationship Id="rId3433" Type="http://schemas.openxmlformats.org/officeDocument/2006/relationships/hyperlink" Target="https://tokami-labege.com/" TargetMode="External"/><Relationship Id="rId3434" Type="http://schemas.openxmlformats.org/officeDocument/2006/relationships/hyperlink" Target="https://www.google.com/maps/search/?api=1&amp;query=43.5395513,1.5135144" TargetMode="External"/><Relationship Id="rId3435" Type="http://schemas.openxmlformats.org/officeDocument/2006/relationships/hyperlink" Target="https://www.openstreetmap.org/node/1352295760" TargetMode="External"/><Relationship Id="rId3436" Type="http://schemas.openxmlformats.org/officeDocument/2006/relationships/hyperlink" Target="https://www.tommys-cafe.com/news-labege/" TargetMode="External"/><Relationship Id="rId3437" Type="http://schemas.openxmlformats.org/officeDocument/2006/relationships/hyperlink" Target="https://www.google.com/maps/search/?api=1&amp;query=43.5401233,1.5123055" TargetMode="External"/><Relationship Id="rId3438" Type="http://schemas.openxmlformats.org/officeDocument/2006/relationships/hyperlink" Target="https://www.openstreetmap.org/node/343622251" TargetMode="External"/><Relationship Id="rId3439" Type="http://schemas.openxmlformats.org/officeDocument/2006/relationships/hyperlink" Target="https://www.google.com/maps/search/?api=1&amp;query=43.5397118,1.5136307" TargetMode="External"/><Relationship Id="rId3440" Type="http://schemas.openxmlformats.org/officeDocument/2006/relationships/hyperlink" Target="https://www.openstreetmap.org/node/2001291181" TargetMode="External"/><Relationship Id="rId3441" Type="http://schemas.openxmlformats.org/officeDocument/2006/relationships/hyperlink" Target="https://www.urbangardencafe.fr/" TargetMode="External"/><Relationship Id="rId3442" Type="http://schemas.openxmlformats.org/officeDocument/2006/relationships/hyperlink" Target="https://www.google.com/maps/search/?api=1&amp;query=43.5403067,1.5142959" TargetMode="External"/><Relationship Id="rId3443" Type="http://schemas.openxmlformats.org/officeDocument/2006/relationships/hyperlink" Target="https://www.openstreetmap.org/node/2001291175" TargetMode="External"/><Relationship Id="rId3444" Type="http://schemas.openxmlformats.org/officeDocument/2006/relationships/hyperlink" Target="http://www.yankeegrill.com/" TargetMode="External"/><Relationship Id="rId3445" Type="http://schemas.openxmlformats.org/officeDocument/2006/relationships/hyperlink" Target="https://www.google.com/maps/search/?api=1&amp;query=43.5488819,1.5120389" TargetMode="External"/><Relationship Id="rId3446" Type="http://schemas.openxmlformats.org/officeDocument/2006/relationships/hyperlink" Target="https://www.openstreetmap.org/node/356783379" TargetMode="External"/><Relationship Id="rId3447" Type="http://schemas.openxmlformats.org/officeDocument/2006/relationships/hyperlink" Target="https://www.opaisible.fr/" TargetMode="External"/><Relationship Id="rId3448" Type="http://schemas.openxmlformats.org/officeDocument/2006/relationships/hyperlink" Target="https://www.google.com/maps/search/?api=1&amp;query=43.5291525,1.5298316" TargetMode="External"/><Relationship Id="rId3449" Type="http://schemas.openxmlformats.org/officeDocument/2006/relationships/hyperlink" Target="https://www.openstreetmap.org/node/364160917" TargetMode="External"/><Relationship Id="rId3450" Type="http://schemas.openxmlformats.org/officeDocument/2006/relationships/hyperlink" Target="https://www.google.com/maps/search/?api=1&amp;query=43.5274059,1.4901654" TargetMode="External"/><Relationship Id="rId3451" Type="http://schemas.openxmlformats.org/officeDocument/2006/relationships/hyperlink" Target="https://www.openstreetmap.org/node/259419396" TargetMode="External"/><Relationship Id="rId3452" Type="http://schemas.openxmlformats.org/officeDocument/2006/relationships/hyperlink" Target="https://www.google.com/maps/search/?api=1&amp;query=43.5272548,1.4988097" TargetMode="External"/><Relationship Id="rId3453" Type="http://schemas.openxmlformats.org/officeDocument/2006/relationships/hyperlink" Target="https://www.openstreetmap.org/relation/1128979" TargetMode="External"/><Relationship Id="rId3454" Type="http://schemas.openxmlformats.org/officeDocument/2006/relationships/hyperlink" Target="http://www.la-table-dauzeville.fr/" TargetMode="External"/><Relationship Id="rId3455" Type="http://schemas.openxmlformats.org/officeDocument/2006/relationships/hyperlink" Target="https://www.google.com/maps/search/?api=1&amp;query=43.5285195,1.480824" TargetMode="External"/><Relationship Id="rId3456" Type="http://schemas.openxmlformats.org/officeDocument/2006/relationships/hyperlink" Target="https://www.openstreetmap.org/node/995042048" TargetMode="External"/><Relationship Id="rId3457" Type="http://schemas.openxmlformats.org/officeDocument/2006/relationships/hyperlink" Target="https://www.crous-toulouse.fr/restaurant/resto-u-ensat/" TargetMode="External"/><Relationship Id="rId3458" Type="http://schemas.openxmlformats.org/officeDocument/2006/relationships/hyperlink" Target="https://www.google.com/maps/search/?api=1&amp;query=43.5342953,1.4920284" TargetMode="External"/><Relationship Id="rId3459" Type="http://schemas.openxmlformats.org/officeDocument/2006/relationships/hyperlink" Target="https://www.openstreetmap.org/way/1250228180" TargetMode="External"/><Relationship Id="rId3460" Type="http://schemas.openxmlformats.org/officeDocument/2006/relationships/hyperlink" Target="https://www.google.com/maps/search/?api=1&amp;query=43.6429328,1.5248709" TargetMode="External"/><Relationship Id="rId3461" Type="http://schemas.openxmlformats.org/officeDocument/2006/relationships/hyperlink" Target="https://www.openstreetmap.org/node/9590453617" TargetMode="External"/><Relationship Id="rId3462" Type="http://schemas.openxmlformats.org/officeDocument/2006/relationships/hyperlink" Target="https://www.google.com/maps/search/?api=1&amp;query=43.6446207,1.5106723" TargetMode="External"/><Relationship Id="rId3463" Type="http://schemas.openxmlformats.org/officeDocument/2006/relationships/hyperlink" Target="https://www.openstreetmap.org/node/404650895" TargetMode="External"/><Relationship Id="rId3464" Type="http://schemas.openxmlformats.org/officeDocument/2006/relationships/hyperlink" Target="https://restaurant-linstant.fr/" TargetMode="External"/><Relationship Id="rId3465" Type="http://schemas.openxmlformats.org/officeDocument/2006/relationships/hyperlink" Target="https://www.google.com/maps/search/?api=1&amp;query=43.6436341,1.5220926" TargetMode="External"/><Relationship Id="rId3466" Type="http://schemas.openxmlformats.org/officeDocument/2006/relationships/hyperlink" Target="https://www.openstreetmap.org/node/29681754" TargetMode="External"/><Relationship Id="rId3467" Type="http://schemas.openxmlformats.org/officeDocument/2006/relationships/hyperlink" Target="https://www.google.com/maps/search/?api=1&amp;query=43.7183999,1.5902841" TargetMode="External"/><Relationship Id="rId3468" Type="http://schemas.openxmlformats.org/officeDocument/2006/relationships/hyperlink" Target="https://www.openstreetmap.org/node/9777734687" TargetMode="External"/><Relationship Id="rId3469" Type="http://schemas.openxmlformats.org/officeDocument/2006/relationships/hyperlink" Target="https://www.google.com/maps/search/?api=1&amp;query=43.7171644,1.5910011" TargetMode="External"/><Relationship Id="rId3470" Type="http://schemas.openxmlformats.org/officeDocument/2006/relationships/hyperlink" Target="https://www.openstreetmap.org/node/9777734662" TargetMode="External"/><Relationship Id="rId3471" Type="http://schemas.openxmlformats.org/officeDocument/2006/relationships/hyperlink" Target="https://beyrouth.eatbu.com/" TargetMode="External"/><Relationship Id="rId3472" Type="http://schemas.openxmlformats.org/officeDocument/2006/relationships/hyperlink" Target="https://www.google.com/maps/search/?api=1&amp;query=43.6914239,1.3566228" TargetMode="External"/><Relationship Id="rId3473" Type="http://schemas.openxmlformats.org/officeDocument/2006/relationships/hyperlink" Target="https://www.openstreetmap.org/node/768339957" TargetMode="External"/><Relationship Id="rId3474" Type="http://schemas.openxmlformats.org/officeDocument/2006/relationships/hyperlink" Target="https://www.google.com/maps/search/?api=1&amp;query=43.6912861,1.3572437" TargetMode="External"/><Relationship Id="rId3475" Type="http://schemas.openxmlformats.org/officeDocument/2006/relationships/hyperlink" Target="https://www.openstreetmap.org/node/1286698670" TargetMode="External"/><Relationship Id="rId3476" Type="http://schemas.openxmlformats.org/officeDocument/2006/relationships/hyperlink" Target="https://www.google.com/maps/search/?api=1&amp;query=43.6820248,1.366118" TargetMode="External"/><Relationship Id="rId3477" Type="http://schemas.openxmlformats.org/officeDocument/2006/relationships/hyperlink" Target="https://www.openstreetmap.org/node/570027126" TargetMode="External"/><Relationship Id="rId3478" Type="http://schemas.openxmlformats.org/officeDocument/2006/relationships/hyperlink" Target="https://www.google.com/maps/search/?api=1&amp;query=43.6864818,1.3609335" TargetMode="External"/><Relationship Id="rId3479" Type="http://schemas.openxmlformats.org/officeDocument/2006/relationships/hyperlink" Target="https://www.openstreetmap.org/node/5662865117" TargetMode="External"/><Relationship Id="rId3480" Type="http://schemas.openxmlformats.org/officeDocument/2006/relationships/hyperlink" Target="https://www.google.com/maps/search/?api=1&amp;query=43.6819156,1.3660615" TargetMode="External"/><Relationship Id="rId3481" Type="http://schemas.openxmlformats.org/officeDocument/2006/relationships/hyperlink" Target="https://www.openstreetmap.org/node/10177216631" TargetMode="External"/><Relationship Id="rId3482" Type="http://schemas.openxmlformats.org/officeDocument/2006/relationships/hyperlink" Target="https://www.google.com/maps/search/?api=1&amp;query=43.6951586,1.3516141" TargetMode="External"/><Relationship Id="rId3483" Type="http://schemas.openxmlformats.org/officeDocument/2006/relationships/hyperlink" Target="https://www.openstreetmap.org/node/570025660" TargetMode="External"/><Relationship Id="rId3484" Type="http://schemas.openxmlformats.org/officeDocument/2006/relationships/hyperlink" Target="https://www.google.com/maps/search/?api=1&amp;query=43.7157848,1.4804728" TargetMode="External"/><Relationship Id="rId3485" Type="http://schemas.openxmlformats.org/officeDocument/2006/relationships/hyperlink" Target="https://www.openstreetmap.org/way/89053363" TargetMode="External"/><Relationship Id="rId3486" Type="http://schemas.openxmlformats.org/officeDocument/2006/relationships/hyperlink" Target="https://www.google.com/maps/search/?api=1&amp;query=43.691042,1.5165978" TargetMode="External"/><Relationship Id="rId3487" Type="http://schemas.openxmlformats.org/officeDocument/2006/relationships/hyperlink" Target="https://www.openstreetmap.org/node/10655401635" TargetMode="External"/><Relationship Id="rId3488" Type="http://schemas.openxmlformats.org/officeDocument/2006/relationships/hyperlink" Target="https://www.google.com/maps/search/?api=1&amp;query=43.5078405,1.390456" TargetMode="External"/><Relationship Id="rId3489" Type="http://schemas.openxmlformats.org/officeDocument/2006/relationships/hyperlink" Target="https://www.openstreetmap.org/way/120158074" TargetMode="External"/><Relationship Id="rId3490" Type="http://schemas.openxmlformats.org/officeDocument/2006/relationships/hyperlink" Target="https://www.google.com/maps/search/?api=1&amp;query=43.5104208,1.3885477" TargetMode="External"/><Relationship Id="rId3491" Type="http://schemas.openxmlformats.org/officeDocument/2006/relationships/hyperlink" Target="https://www.openstreetmap.org/node/12043220905" TargetMode="External"/><Relationship Id="rId3492" Type="http://schemas.openxmlformats.org/officeDocument/2006/relationships/hyperlink" Target="https://www.google.com/maps/search/?api=1&amp;query=43.5105751,1.3887144" TargetMode="External"/><Relationship Id="rId3493" Type="http://schemas.openxmlformats.org/officeDocument/2006/relationships/hyperlink" Target="https://www.openstreetmap.org/node/12049329878" TargetMode="External"/><Relationship Id="rId3494" Type="http://schemas.openxmlformats.org/officeDocument/2006/relationships/hyperlink" Target="https://www.google.com/maps/search/?api=1&amp;query=43.5004176,1.3927831" TargetMode="External"/><Relationship Id="rId3495" Type="http://schemas.openxmlformats.org/officeDocument/2006/relationships/hyperlink" Target="https://www.openstreetmap.org/node/1349563367" TargetMode="External"/><Relationship Id="rId3496" Type="http://schemas.openxmlformats.org/officeDocument/2006/relationships/hyperlink" Target="https://www.google.com/maps/search/?api=1&amp;query=43.4922915,1.3977764" TargetMode="External"/><Relationship Id="rId3497" Type="http://schemas.openxmlformats.org/officeDocument/2006/relationships/hyperlink" Target="https://www.openstreetmap.org/node/699699059" TargetMode="External"/><Relationship Id="rId3498" Type="http://schemas.openxmlformats.org/officeDocument/2006/relationships/hyperlink" Target="https://www.google.com/maps/search/?api=1&amp;query=43.5086428,1.3900062" TargetMode="External"/><Relationship Id="rId3499" Type="http://schemas.openxmlformats.org/officeDocument/2006/relationships/hyperlink" Target="https://www.openstreetmap.org/node/12049412068" TargetMode="External"/><Relationship Id="rId3500" Type="http://schemas.openxmlformats.org/officeDocument/2006/relationships/hyperlink" Target="https://www.google.com/maps/search/?api=1&amp;query=43.5077905,1.390495" TargetMode="External"/><Relationship Id="rId3501" Type="http://schemas.openxmlformats.org/officeDocument/2006/relationships/hyperlink" Target="https://www.openstreetmap.org/way/120155162" TargetMode="External"/><Relationship Id="rId3502" Type="http://schemas.openxmlformats.org/officeDocument/2006/relationships/hyperlink" Target="https://www.google.com/maps/search/?api=1&amp;query=43.5104607,1.3887489" TargetMode="External"/><Relationship Id="rId3503" Type="http://schemas.openxmlformats.org/officeDocument/2006/relationships/hyperlink" Target="https://www.openstreetmap.org/node/12049329880" TargetMode="External"/><Relationship Id="rId3504" Type="http://schemas.openxmlformats.org/officeDocument/2006/relationships/hyperlink" Target="https://www.google.com/maps/search/?api=1&amp;query=43.6943172,1.2687504" TargetMode="External"/><Relationship Id="rId3505" Type="http://schemas.openxmlformats.org/officeDocument/2006/relationships/hyperlink" Target="https://www.openstreetmap.org/node/11608091358" TargetMode="External"/><Relationship Id="rId3506" Type="http://schemas.openxmlformats.org/officeDocument/2006/relationships/hyperlink" Target="https://www.google.com/maps/search/?api=1&amp;query=43.6830586,1.485544" TargetMode="External"/><Relationship Id="rId3507" Type="http://schemas.openxmlformats.org/officeDocument/2006/relationships/hyperlink" Target="https://www.openstreetmap.org/node/13988057101" TargetMode="External"/><Relationship Id="rId3508" Type="http://schemas.openxmlformats.org/officeDocument/2006/relationships/hyperlink" Target="https://pizzeria-beau-soleil.netlify.app/" TargetMode="External"/><Relationship Id="rId3509" Type="http://schemas.openxmlformats.org/officeDocument/2006/relationships/hyperlink" Target="https://www.google.com/maps/search/?api=1&amp;query=43.6848748,1.4863388" TargetMode="External"/><Relationship Id="rId3510" Type="http://schemas.openxmlformats.org/officeDocument/2006/relationships/hyperlink" Target="https://www.openstreetmap.org/node/13988416702" TargetMode="External"/><Relationship Id="rId3511" Type="http://schemas.openxmlformats.org/officeDocument/2006/relationships/hyperlink" Target="https://www.lacuisinededany.fr/" TargetMode="External"/><Relationship Id="rId3512" Type="http://schemas.openxmlformats.org/officeDocument/2006/relationships/hyperlink" Target="https://www.google.com/maps/search/?api=1&amp;query=43.5429611,1.6084212" TargetMode="External"/><Relationship Id="rId3513" Type="http://schemas.openxmlformats.org/officeDocument/2006/relationships/hyperlink" Target="https://www.openstreetmap.org/node/10097298314" TargetMode="External"/><Relationship Id="rId3514" Type="http://schemas.openxmlformats.org/officeDocument/2006/relationships/hyperlink" Target="https://www.restaurant-le-paille-en-queue.fr/" TargetMode="External"/><Relationship Id="rId3515" Type="http://schemas.openxmlformats.org/officeDocument/2006/relationships/hyperlink" Target="https://www.google.com/maps/search/?api=1&amp;query=43.548701,1.594309" TargetMode="External"/><Relationship Id="rId3516" Type="http://schemas.openxmlformats.org/officeDocument/2006/relationships/hyperlink" Target="https://www.openstreetmap.org/way/155179728" TargetMode="External"/><Relationship Id="rId3517" Type="http://schemas.openxmlformats.org/officeDocument/2006/relationships/hyperlink" Target="https://www.google.com/maps/search/?api=1&amp;query=43.4726241,1.3431924" TargetMode="External"/><Relationship Id="rId3518" Type="http://schemas.openxmlformats.org/officeDocument/2006/relationships/hyperlink" Target="https://www.openstreetmap.org/node/1352979953" TargetMode="External"/><Relationship Id="rId3519" Type="http://schemas.openxmlformats.org/officeDocument/2006/relationships/hyperlink" Target="https://www.google.com/maps/search/?api=1&amp;query=43.6841381,1.5813226" TargetMode="External"/><Relationship Id="rId3520" Type="http://schemas.openxmlformats.org/officeDocument/2006/relationships/hyperlink" Target="https://www.openstreetmap.org/node/11817862396" TargetMode="External"/><Relationship Id="rId3521" Type="http://schemas.openxmlformats.org/officeDocument/2006/relationships/hyperlink" Target="https://www.google.com/maps/search/?api=1&amp;query=43.6849654,1.6060445" TargetMode="External"/><Relationship Id="rId3522" Type="http://schemas.openxmlformats.org/officeDocument/2006/relationships/hyperlink" Target="https://www.openstreetmap.org/node/9038125752" TargetMode="External"/><Relationship Id="rId3523" Type="http://schemas.openxmlformats.org/officeDocument/2006/relationships/hyperlink" Target="https://www.google.com/maps/search/?api=1&amp;query=43.4952135,1.5195057" TargetMode="External"/><Relationship Id="rId3524" Type="http://schemas.openxmlformats.org/officeDocument/2006/relationships/hyperlink" Target="https://www.openstreetmap.org/node/3961678097" TargetMode="External"/><Relationship Id="rId3525" Type="http://schemas.openxmlformats.org/officeDocument/2006/relationships/hyperlink" Target="https://www.google.com/maps/search/?api=1&amp;query=43.4970765,1.5199886" TargetMode="External"/><Relationship Id="rId3526" Type="http://schemas.openxmlformats.org/officeDocument/2006/relationships/hyperlink" Target="https://www.openstreetmap.org/node/12334480012" TargetMode="External"/><Relationship Id="rId3527" Type="http://schemas.openxmlformats.org/officeDocument/2006/relationships/hyperlink" Target="https://www.lekabestan.fr/" TargetMode="External"/><Relationship Id="rId3528" Type="http://schemas.openxmlformats.org/officeDocument/2006/relationships/hyperlink" Target="https://www.google.com/maps/search/?api=1&amp;query=43.5958507,1.5667793" TargetMode="External"/><Relationship Id="rId3529" Type="http://schemas.openxmlformats.org/officeDocument/2006/relationships/hyperlink" Target="https://www.openstreetmap.org/node/9422609269" TargetMode="External"/><Relationship Id="rId3530" Type="http://schemas.openxmlformats.org/officeDocument/2006/relationships/hyperlink" Target="https://restaurant-lebellevue.com/" TargetMode="External"/><Relationship Id="rId3531" Type="http://schemas.openxmlformats.org/officeDocument/2006/relationships/hyperlink" Target="https://www.google.com/maps/search/?api=1&amp;query=43.4975361,1.4096829" TargetMode="External"/><Relationship Id="rId3532" Type="http://schemas.openxmlformats.org/officeDocument/2006/relationships/hyperlink" Target="https://www.openstreetmap.org/node/1591497225" TargetMode="External"/><Relationship Id="rId3533" Type="http://schemas.openxmlformats.org/officeDocument/2006/relationships/hyperlink" Target="https://www.google.com/maps/search/?api=1&amp;query=43.5055635,1.4129589" TargetMode="External"/><Relationship Id="rId3534" Type="http://schemas.openxmlformats.org/officeDocument/2006/relationships/hyperlink" Target="https://www.openstreetmap.org/node/8659419211" TargetMode="External"/><Relationship Id="rId3535" Type="http://schemas.openxmlformats.org/officeDocument/2006/relationships/hyperlink" Target="https://www.google.com/maps/search/?api=1&amp;query=43.5057604,1.411682" TargetMode="External"/><Relationship Id="rId3536" Type="http://schemas.openxmlformats.org/officeDocument/2006/relationships/hyperlink" Target="https://www.openstreetmap.org/node/1739209515" TargetMode="External"/><Relationship Id="rId3537" Type="http://schemas.openxmlformats.org/officeDocument/2006/relationships/hyperlink" Target="https://www.google.com/maps/search/?api=1&amp;query=43.6668468,1.5152048" TargetMode="External"/><Relationship Id="rId3538" Type="http://schemas.openxmlformats.org/officeDocument/2006/relationships/hyperlink" Target="https://www.openstreetmap.org/way/887034870" TargetMode="External"/><Relationship Id="rId3539" Type="http://schemas.openxmlformats.org/officeDocument/2006/relationships/hyperlink" Target="https://o-saveurs.com/" TargetMode="External"/><Relationship Id="rId3540" Type="http://schemas.openxmlformats.org/officeDocument/2006/relationships/hyperlink" Target="https://www.google.com/maps/search/?api=1&amp;query=43.6638982,1.5251307" TargetMode="External"/><Relationship Id="rId3541" Type="http://schemas.openxmlformats.org/officeDocument/2006/relationships/hyperlink" Target="https://www.openstreetmap.org/node/1675479068" TargetMode="External"/><Relationship Id="rId3542" Type="http://schemas.openxmlformats.org/officeDocument/2006/relationships/hyperlink" Target="https://www.leclubchampetre.com/" TargetMode="External"/><Relationship Id="rId3543" Type="http://schemas.openxmlformats.org/officeDocument/2006/relationships/hyperlink" Target="https://www.google.com/maps/search/?api=1&amp;query=43.7126215,1.559668" TargetMode="External"/><Relationship Id="rId3544" Type="http://schemas.openxmlformats.org/officeDocument/2006/relationships/hyperlink" Target="https://www.openstreetmap.org/way/74476606" TargetMode="External"/><Relationship Id="rId3545" Type="http://schemas.openxmlformats.org/officeDocument/2006/relationships/hyperlink" Target="https://www.lesbarrologues.fr/" TargetMode="External"/><Relationship Id="rId3546" Type="http://schemas.openxmlformats.org/officeDocument/2006/relationships/hyperlink" Target="https://www.google.com/maps/search/?api=1&amp;query=43.491735,1.557863" TargetMode="External"/><Relationship Id="rId3547" Type="http://schemas.openxmlformats.org/officeDocument/2006/relationships/hyperlink" Target="https://www.openstreetmap.org/way/117785213" TargetMode="External"/><Relationship Id="rId3548" Type="http://schemas.openxmlformats.org/officeDocument/2006/relationships/hyperlink" Target="https://www.google.com/maps/search/?api=1&amp;query=43.5424415,1.5663812" TargetMode="External"/><Relationship Id="rId3549" Type="http://schemas.openxmlformats.org/officeDocument/2006/relationships/hyperlink" Target="https://www.openstreetmap.org/node/2287822395" TargetMode="External"/><Relationship Id="rId3550" Type="http://schemas.openxmlformats.org/officeDocument/2006/relationships/hyperlink" Target="https://www.restaurantaugoutdesautres.fr/" TargetMode="External"/><Relationship Id="rId3551" Type="http://schemas.openxmlformats.org/officeDocument/2006/relationships/hyperlink" Target="https://www.google.com/maps/search/?api=1&amp;query=43.5060396,1.5563605" TargetMode="External"/><Relationship Id="rId3552" Type="http://schemas.openxmlformats.org/officeDocument/2006/relationships/hyperlink" Target="https://www.openstreetmap.org/node/2701205526" TargetMode="External"/><Relationship Id="rId3553" Type="http://schemas.openxmlformats.org/officeDocument/2006/relationships/hyperlink" Target="https://www.le-mas-restaurant-toulouse.com/" TargetMode="External"/><Relationship Id="rId3554" Type="http://schemas.openxmlformats.org/officeDocument/2006/relationships/hyperlink" Target="https://www.google.com/maps/search/?api=1&amp;query=43.503285,1.563589" TargetMode="External"/><Relationship Id="rId3555" Type="http://schemas.openxmlformats.org/officeDocument/2006/relationships/hyperlink" Target="https://www.openstreetmap.org/way/64183692" TargetMode="External"/><Relationship Id="rId3556" Type="http://schemas.openxmlformats.org/officeDocument/2006/relationships/hyperlink" Target="https://www.google.com/maps/search/?api=1&amp;query=43.4834267,1.5494" TargetMode="External"/><Relationship Id="rId3557" Type="http://schemas.openxmlformats.org/officeDocument/2006/relationships/hyperlink" Target="https://www.openstreetmap.org/node/12987890615" TargetMode="External"/><Relationship Id="rId3558" Type="http://schemas.openxmlformats.org/officeDocument/2006/relationships/hyperlink" Target="https://www.google.com/maps/search/?api=1&amp;query=43.4860119,1.5496205" TargetMode="External"/><Relationship Id="rId3559" Type="http://schemas.openxmlformats.org/officeDocument/2006/relationships/hyperlink" Target="https://www.openstreetmap.org/node/12987952141" TargetMode="External"/><Relationship Id="rId3560" Type="http://schemas.openxmlformats.org/officeDocument/2006/relationships/hyperlink" Target="https://www.google.com/maps/search/?api=1&amp;query=43.4834879,1.5494078" TargetMode="External"/><Relationship Id="rId3561" Type="http://schemas.openxmlformats.org/officeDocument/2006/relationships/hyperlink" Target="https://www.openstreetmap.org/node/12987890614" TargetMode="External"/><Relationship Id="rId3562" Type="http://schemas.openxmlformats.org/officeDocument/2006/relationships/hyperlink" Target="https://www.google.com/maps/search/?api=1&amp;query=43.4864892,1.5325452" TargetMode="External"/><Relationship Id="rId3563" Type="http://schemas.openxmlformats.org/officeDocument/2006/relationships/hyperlink" Target="https://www.openstreetmap.org/node/11258471020" TargetMode="External"/><Relationship Id="rId3564" Type="http://schemas.openxmlformats.org/officeDocument/2006/relationships/hyperlink" Target="www.lemasymas.com" TargetMode="External"/><Relationship Id="rId3565" Type="http://schemas.openxmlformats.org/officeDocument/2006/relationships/hyperlink" Target="https://www.google.com/maps/search/?api=1&amp;query=43.4939302,1.535433" TargetMode="External"/><Relationship Id="rId3566" Type="http://schemas.openxmlformats.org/officeDocument/2006/relationships/hyperlink" Target="https://www.openstreetmap.org/node/826577701" TargetMode="External"/><Relationship Id="rId3567" Type="http://schemas.openxmlformats.org/officeDocument/2006/relationships/hyperlink" Target="https://www.google.com/maps/search/?api=1&amp;query=43.4834068,1.5492183" TargetMode="External"/><Relationship Id="rId3568" Type="http://schemas.openxmlformats.org/officeDocument/2006/relationships/hyperlink" Target="https://www.openstreetmap.org/node/12987890613" TargetMode="External"/><Relationship Id="rId3569" Type="http://schemas.openxmlformats.org/officeDocument/2006/relationships/hyperlink" Target="https://www.google.com/maps/search/?api=1&amp;query=43.4859515,1.5496394" TargetMode="External"/><Relationship Id="rId3570" Type="http://schemas.openxmlformats.org/officeDocument/2006/relationships/hyperlink" Target="https://www.openstreetmap.org/node/12987952142" TargetMode="External"/><Relationship Id="rId3571" Type="http://schemas.openxmlformats.org/officeDocument/2006/relationships/hyperlink" Target="https://www.google.com/maps/search/?api=1&amp;query=43.5234959,1.5889379" TargetMode="External"/><Relationship Id="rId3572" Type="http://schemas.openxmlformats.org/officeDocument/2006/relationships/hyperlink" Target="https://www.openstreetmap.org/node/11977575669" TargetMode="External"/><Relationship Id="rId3573" Type="http://schemas.openxmlformats.org/officeDocument/2006/relationships/hyperlink" Target="https://laubergedelaforge.com/" TargetMode="External"/><Relationship Id="rId3574" Type="http://schemas.openxmlformats.org/officeDocument/2006/relationships/hyperlink" Target="https://www.google.com/maps/search/?api=1&amp;query=43.6377203,1.5951593" TargetMode="External"/><Relationship Id="rId3575" Type="http://schemas.openxmlformats.org/officeDocument/2006/relationships/hyperlink" Target="https://www.openstreetmap.org/node/9893335091" TargetMode="External"/><Relationship Id="rId3576" Type="http://schemas.openxmlformats.org/officeDocument/2006/relationships/hyperlink" Target="https://www.google.com/maps/search/?api=1&amp;query=43.6412789,1.5541359" TargetMode="External"/><Relationship Id="rId3577" Type="http://schemas.openxmlformats.org/officeDocument/2006/relationships/hyperlink" Target="https://www.openstreetmap.org/node/4934203722" TargetMode="External"/><Relationship Id="rId357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4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1" min="10" style="0" width="15"/>
    <col collapsed="false" customWidth="true" hidden="false" outlineLevel="0" max="12" min="12" style="0" width="22"/>
    <col collapsed="false" customWidth="true" hidden="false" outlineLevel="0" max="13" min="13" style="0" width="26"/>
    <col collapsed="false" customWidth="true" hidden="false" outlineLevel="0" max="14" min="14" style="0" width="15"/>
    <col collapsed="false" customWidth="true" hidden="false" outlineLevel="0" max="15" min="15" style="0" width="40"/>
    <col collapsed="false" customWidth="true" hidden="false" outlineLevel="0" max="16" min="16" style="0" width="14"/>
    <col collapsed="false" customWidth="true" hidden="false" outlineLevel="0" max="17" min="17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</v>
      </c>
      <c r="B2" s="3" t="s">
        <v>17</v>
      </c>
      <c r="C2" s="3" t="s">
        <v>18</v>
      </c>
      <c r="D2" s="4"/>
      <c r="E2" s="3"/>
      <c r="F2" s="3" t="s">
        <v>19</v>
      </c>
      <c r="G2" s="3"/>
      <c r="H2" s="3"/>
      <c r="I2" s="4"/>
      <c r="J2" s="5" t="s">
        <v>20</v>
      </c>
      <c r="K2" s="6"/>
      <c r="L2" s="5"/>
      <c r="M2" s="5"/>
      <c r="N2" s="6"/>
      <c r="O2" s="7"/>
      <c r="P2" s="8" t="s">
        <v>21</v>
      </c>
      <c r="Q2" s="8" t="s">
        <v>22</v>
      </c>
    </row>
    <row r="3" customFormat="false" ht="15" hidden="false" customHeight="false" outlineLevel="0" collapsed="false">
      <c r="A3" s="2" t="n">
        <v>2</v>
      </c>
      <c r="B3" s="3" t="s">
        <v>23</v>
      </c>
      <c r="C3" s="3" t="s">
        <v>24</v>
      </c>
      <c r="D3" s="4" t="s">
        <v>25</v>
      </c>
      <c r="E3" s="3" t="s">
        <v>26</v>
      </c>
      <c r="F3" s="3" t="s">
        <v>19</v>
      </c>
      <c r="G3" s="3"/>
      <c r="H3" s="3"/>
      <c r="I3" s="4" t="s">
        <v>27</v>
      </c>
      <c r="J3" s="5" t="s">
        <v>20</v>
      </c>
      <c r="K3" s="6"/>
      <c r="L3" s="5"/>
      <c r="M3" s="5"/>
      <c r="N3" s="6"/>
      <c r="O3" s="7"/>
      <c r="P3" s="8" t="s">
        <v>21</v>
      </c>
      <c r="Q3" s="8" t="s">
        <v>22</v>
      </c>
    </row>
    <row r="4" customFormat="false" ht="15" hidden="false" customHeight="false" outlineLevel="0" collapsed="false">
      <c r="A4" s="2" t="n">
        <v>3</v>
      </c>
      <c r="B4" s="3" t="s">
        <v>28</v>
      </c>
      <c r="C4" s="3" t="s">
        <v>29</v>
      </c>
      <c r="D4" s="4" t="s">
        <v>30</v>
      </c>
      <c r="E4" s="3" t="s">
        <v>31</v>
      </c>
      <c r="F4" s="3" t="s">
        <v>19</v>
      </c>
      <c r="G4" s="3" t="s">
        <v>32</v>
      </c>
      <c r="H4" s="3"/>
      <c r="I4" s="4"/>
      <c r="J4" s="5" t="s">
        <v>20</v>
      </c>
      <c r="K4" s="6"/>
      <c r="L4" s="5"/>
      <c r="M4" s="5"/>
      <c r="N4" s="6"/>
      <c r="O4" s="7"/>
      <c r="P4" s="8" t="s">
        <v>21</v>
      </c>
      <c r="Q4" s="8" t="s">
        <v>22</v>
      </c>
    </row>
    <row r="5" customFormat="false" ht="15" hidden="false" customHeight="false" outlineLevel="0" collapsed="false">
      <c r="A5" s="2" t="n">
        <v>4</v>
      </c>
      <c r="B5" s="3" t="s">
        <v>33</v>
      </c>
      <c r="C5" s="3" t="s">
        <v>34</v>
      </c>
      <c r="D5" s="4" t="s">
        <v>35</v>
      </c>
      <c r="E5" s="3"/>
      <c r="F5" s="3" t="s">
        <v>19</v>
      </c>
      <c r="G5" s="3" t="s">
        <v>36</v>
      </c>
      <c r="H5" s="3"/>
      <c r="I5" s="4"/>
      <c r="J5" s="5" t="s">
        <v>20</v>
      </c>
      <c r="K5" s="6"/>
      <c r="L5" s="5"/>
      <c r="M5" s="5"/>
      <c r="N5" s="6"/>
      <c r="O5" s="7"/>
      <c r="P5" s="8" t="s">
        <v>21</v>
      </c>
      <c r="Q5" s="8" t="s">
        <v>22</v>
      </c>
    </row>
    <row r="6" customFormat="false" ht="15" hidden="false" customHeight="false" outlineLevel="0" collapsed="false">
      <c r="A6" s="2" t="n">
        <v>5</v>
      </c>
      <c r="B6" s="3" t="s">
        <v>37</v>
      </c>
      <c r="C6" s="3" t="s">
        <v>38</v>
      </c>
      <c r="D6" s="4"/>
      <c r="E6" s="3"/>
      <c r="F6" s="3" t="s">
        <v>19</v>
      </c>
      <c r="G6" s="3"/>
      <c r="H6" s="3"/>
      <c r="I6" s="4" t="s">
        <v>39</v>
      </c>
      <c r="J6" s="5" t="s">
        <v>20</v>
      </c>
      <c r="K6" s="6"/>
      <c r="L6" s="5"/>
      <c r="M6" s="5"/>
      <c r="N6" s="6"/>
      <c r="O6" s="7"/>
      <c r="P6" s="8" t="s">
        <v>21</v>
      </c>
      <c r="Q6" s="8" t="s">
        <v>22</v>
      </c>
    </row>
    <row r="7" customFormat="false" ht="15" hidden="false" customHeight="false" outlineLevel="0" collapsed="false">
      <c r="A7" s="2" t="n">
        <v>6</v>
      </c>
      <c r="B7" s="3" t="s">
        <v>40</v>
      </c>
      <c r="C7" s="3" t="s">
        <v>41</v>
      </c>
      <c r="D7" s="4"/>
      <c r="E7" s="3"/>
      <c r="F7" s="3" t="s">
        <v>19</v>
      </c>
      <c r="G7" s="3" t="s">
        <v>42</v>
      </c>
      <c r="H7" s="8" t="s">
        <v>43</v>
      </c>
      <c r="I7" s="4" t="s">
        <v>44</v>
      </c>
      <c r="J7" s="5" t="s">
        <v>20</v>
      </c>
      <c r="K7" s="6"/>
      <c r="L7" s="5"/>
      <c r="M7" s="5"/>
      <c r="N7" s="6"/>
      <c r="O7" s="7"/>
      <c r="P7" s="8" t="s">
        <v>21</v>
      </c>
      <c r="Q7" s="8" t="s">
        <v>22</v>
      </c>
    </row>
    <row r="8" customFormat="false" ht="15" hidden="false" customHeight="false" outlineLevel="0" collapsed="false">
      <c r="A8" s="2" t="n">
        <v>7</v>
      </c>
      <c r="B8" s="3" t="s">
        <v>45</v>
      </c>
      <c r="C8" s="3" t="s">
        <v>46</v>
      </c>
      <c r="D8" s="4"/>
      <c r="E8" s="3"/>
      <c r="F8" s="3" t="s">
        <v>19</v>
      </c>
      <c r="G8" s="3" t="s">
        <v>47</v>
      </c>
      <c r="H8" s="8" t="s">
        <v>48</v>
      </c>
      <c r="I8" s="4" t="s">
        <v>49</v>
      </c>
      <c r="J8" s="5" t="s">
        <v>20</v>
      </c>
      <c r="K8" s="6"/>
      <c r="L8" s="5"/>
      <c r="M8" s="5"/>
      <c r="N8" s="6"/>
      <c r="O8" s="7"/>
      <c r="P8" s="8" t="s">
        <v>21</v>
      </c>
      <c r="Q8" s="8" t="s">
        <v>22</v>
      </c>
    </row>
    <row r="9" customFormat="false" ht="15" hidden="false" customHeight="false" outlineLevel="0" collapsed="false">
      <c r="A9" s="2" t="n">
        <v>8</v>
      </c>
      <c r="B9" s="3" t="s">
        <v>50</v>
      </c>
      <c r="C9" s="3" t="s">
        <v>51</v>
      </c>
      <c r="D9" s="4"/>
      <c r="E9" s="3"/>
      <c r="F9" s="3" t="s">
        <v>19</v>
      </c>
      <c r="G9" s="3"/>
      <c r="H9" s="8" t="s">
        <v>52</v>
      </c>
      <c r="I9" s="4" t="s">
        <v>53</v>
      </c>
      <c r="J9" s="5" t="s">
        <v>20</v>
      </c>
      <c r="K9" s="6"/>
      <c r="L9" s="5"/>
      <c r="M9" s="5"/>
      <c r="N9" s="6"/>
      <c r="O9" s="7"/>
      <c r="P9" s="8" t="s">
        <v>21</v>
      </c>
      <c r="Q9" s="8" t="s">
        <v>22</v>
      </c>
    </row>
    <row r="10" customFormat="false" ht="15" hidden="false" customHeight="false" outlineLevel="0" collapsed="false">
      <c r="A10" s="2" t="n">
        <v>9</v>
      </c>
      <c r="B10" s="3" t="s">
        <v>54</v>
      </c>
      <c r="C10" s="3" t="s">
        <v>55</v>
      </c>
      <c r="D10" s="4" t="s">
        <v>56</v>
      </c>
      <c r="E10" s="3" t="s">
        <v>57</v>
      </c>
      <c r="F10" s="3" t="s">
        <v>19</v>
      </c>
      <c r="G10" s="3" t="s">
        <v>58</v>
      </c>
      <c r="H10" s="8" t="s">
        <v>59</v>
      </c>
      <c r="I10" s="4" t="s">
        <v>60</v>
      </c>
      <c r="J10" s="5" t="s">
        <v>20</v>
      </c>
      <c r="K10" s="6"/>
      <c r="L10" s="5"/>
      <c r="M10" s="5"/>
      <c r="N10" s="6"/>
      <c r="O10" s="7"/>
      <c r="P10" s="8" t="s">
        <v>21</v>
      </c>
      <c r="Q10" s="8" t="s">
        <v>22</v>
      </c>
    </row>
    <row r="11" customFormat="false" ht="15" hidden="false" customHeight="false" outlineLevel="0" collapsed="false">
      <c r="A11" s="2" t="n">
        <v>10</v>
      </c>
      <c r="B11" s="3" t="s">
        <v>61</v>
      </c>
      <c r="C11" s="3" t="s">
        <v>62</v>
      </c>
      <c r="D11" s="4"/>
      <c r="E11" s="3"/>
      <c r="F11" s="3" t="s">
        <v>19</v>
      </c>
      <c r="G11" s="3"/>
      <c r="H11" s="3"/>
      <c r="I11" s="4"/>
      <c r="J11" s="5" t="s">
        <v>20</v>
      </c>
      <c r="K11" s="6"/>
      <c r="L11" s="5"/>
      <c r="M11" s="5"/>
      <c r="N11" s="6"/>
      <c r="O11" s="7"/>
      <c r="P11" s="8" t="s">
        <v>21</v>
      </c>
      <c r="Q11" s="8" t="s">
        <v>22</v>
      </c>
    </row>
    <row r="12" customFormat="false" ht="15" hidden="false" customHeight="false" outlineLevel="0" collapsed="false">
      <c r="A12" s="2" t="n">
        <v>11</v>
      </c>
      <c r="B12" s="3" t="s">
        <v>63</v>
      </c>
      <c r="C12" s="3" t="s">
        <v>64</v>
      </c>
      <c r="D12" s="4"/>
      <c r="E12" s="3"/>
      <c r="F12" s="3" t="s">
        <v>19</v>
      </c>
      <c r="G12" s="3" t="s">
        <v>65</v>
      </c>
      <c r="H12" s="8" t="s">
        <v>66</v>
      </c>
      <c r="I12" s="4" t="s">
        <v>67</v>
      </c>
      <c r="J12" s="5" t="s">
        <v>20</v>
      </c>
      <c r="K12" s="6"/>
      <c r="L12" s="5"/>
      <c r="M12" s="5"/>
      <c r="N12" s="6"/>
      <c r="O12" s="7"/>
      <c r="P12" s="8" t="s">
        <v>21</v>
      </c>
      <c r="Q12" s="8" t="s">
        <v>22</v>
      </c>
    </row>
    <row r="13" customFormat="false" ht="15" hidden="false" customHeight="false" outlineLevel="0" collapsed="false">
      <c r="A13" s="2" t="n">
        <v>12</v>
      </c>
      <c r="B13" s="3" t="s">
        <v>68</v>
      </c>
      <c r="C13" s="3"/>
      <c r="D13" s="4"/>
      <c r="E13" s="3"/>
      <c r="F13" s="3" t="s">
        <v>19</v>
      </c>
      <c r="G13" s="3" t="s">
        <v>69</v>
      </c>
      <c r="H13" s="3"/>
      <c r="I13" s="4"/>
      <c r="J13" s="5" t="s">
        <v>20</v>
      </c>
      <c r="K13" s="6"/>
      <c r="L13" s="5"/>
      <c r="M13" s="5"/>
      <c r="N13" s="6"/>
      <c r="O13" s="7"/>
      <c r="P13" s="8" t="s">
        <v>21</v>
      </c>
      <c r="Q13" s="8" t="s">
        <v>22</v>
      </c>
    </row>
    <row r="14" customFormat="false" ht="23.85" hidden="false" customHeight="false" outlineLevel="0" collapsed="false">
      <c r="A14" s="2" t="n">
        <v>13</v>
      </c>
      <c r="B14" s="3" t="s">
        <v>70</v>
      </c>
      <c r="C14" s="3" t="s">
        <v>71</v>
      </c>
      <c r="D14" s="4"/>
      <c r="E14" s="3"/>
      <c r="F14" s="3" t="s">
        <v>19</v>
      </c>
      <c r="G14" s="3" t="s">
        <v>72</v>
      </c>
      <c r="H14" s="8" t="s">
        <v>73</v>
      </c>
      <c r="I14" s="4" t="s">
        <v>74</v>
      </c>
      <c r="J14" s="5" t="s">
        <v>20</v>
      </c>
      <c r="K14" s="6"/>
      <c r="L14" s="5"/>
      <c r="M14" s="5"/>
      <c r="N14" s="6"/>
      <c r="O14" s="7"/>
      <c r="P14" s="8" t="s">
        <v>21</v>
      </c>
      <c r="Q14" s="8" t="s">
        <v>22</v>
      </c>
    </row>
    <row r="15" customFormat="false" ht="15" hidden="false" customHeight="false" outlineLevel="0" collapsed="false">
      <c r="A15" s="2" t="n">
        <v>14</v>
      </c>
      <c r="B15" s="3" t="s">
        <v>75</v>
      </c>
      <c r="C15" s="3" t="s">
        <v>76</v>
      </c>
      <c r="D15" s="4" t="s">
        <v>77</v>
      </c>
      <c r="E15" s="3"/>
      <c r="F15" s="3" t="s">
        <v>19</v>
      </c>
      <c r="G15" s="3"/>
      <c r="H15" s="3"/>
      <c r="I15" s="4" t="s">
        <v>78</v>
      </c>
      <c r="J15" s="5" t="s">
        <v>20</v>
      </c>
      <c r="K15" s="6"/>
      <c r="L15" s="5"/>
      <c r="M15" s="5"/>
      <c r="N15" s="6"/>
      <c r="O15" s="7"/>
      <c r="P15" s="8" t="s">
        <v>21</v>
      </c>
      <c r="Q15" s="8" t="s">
        <v>22</v>
      </c>
    </row>
    <row r="16" customFormat="false" ht="23.85" hidden="false" customHeight="false" outlineLevel="0" collapsed="false">
      <c r="A16" s="2" t="n">
        <v>15</v>
      </c>
      <c r="B16" s="3" t="s">
        <v>79</v>
      </c>
      <c r="C16" s="3" t="s">
        <v>24</v>
      </c>
      <c r="D16" s="4"/>
      <c r="E16" s="3"/>
      <c r="F16" s="3" t="s">
        <v>19</v>
      </c>
      <c r="G16" s="3" t="s">
        <v>80</v>
      </c>
      <c r="H16" s="8" t="s">
        <v>81</v>
      </c>
      <c r="I16" s="4" t="s">
        <v>82</v>
      </c>
      <c r="J16" s="5" t="s">
        <v>20</v>
      </c>
      <c r="K16" s="6"/>
      <c r="L16" s="5"/>
      <c r="M16" s="5"/>
      <c r="N16" s="6"/>
      <c r="O16" s="7"/>
      <c r="P16" s="8" t="s">
        <v>21</v>
      </c>
      <c r="Q16" s="8" t="s">
        <v>22</v>
      </c>
    </row>
    <row r="17" customFormat="false" ht="23.85" hidden="false" customHeight="false" outlineLevel="0" collapsed="false">
      <c r="A17" s="2" t="n">
        <v>16</v>
      </c>
      <c r="B17" s="3" t="s">
        <v>83</v>
      </c>
      <c r="C17" s="3" t="s">
        <v>84</v>
      </c>
      <c r="D17" s="4"/>
      <c r="E17" s="3"/>
      <c r="F17" s="3" t="s">
        <v>19</v>
      </c>
      <c r="G17" s="3" t="s">
        <v>85</v>
      </c>
      <c r="H17" s="8" t="s">
        <v>86</v>
      </c>
      <c r="I17" s="4" t="s">
        <v>87</v>
      </c>
      <c r="J17" s="5" t="s">
        <v>20</v>
      </c>
      <c r="K17" s="6"/>
      <c r="L17" s="5"/>
      <c r="M17" s="5"/>
      <c r="N17" s="6"/>
      <c r="O17" s="7"/>
      <c r="P17" s="8" t="s">
        <v>21</v>
      </c>
      <c r="Q17" s="8" t="s">
        <v>22</v>
      </c>
    </row>
    <row r="18" customFormat="false" ht="15" hidden="false" customHeight="false" outlineLevel="0" collapsed="false">
      <c r="A18" s="2" t="n">
        <v>17</v>
      </c>
      <c r="B18" s="3" t="s">
        <v>88</v>
      </c>
      <c r="C18" s="3" t="s">
        <v>89</v>
      </c>
      <c r="D18" s="4"/>
      <c r="E18" s="3"/>
      <c r="F18" s="3" t="s">
        <v>19</v>
      </c>
      <c r="G18" s="3"/>
      <c r="H18" s="3"/>
      <c r="I18" s="4"/>
      <c r="J18" s="5" t="s">
        <v>20</v>
      </c>
      <c r="K18" s="6"/>
      <c r="L18" s="5"/>
      <c r="M18" s="5"/>
      <c r="N18" s="6"/>
      <c r="O18" s="7"/>
      <c r="P18" s="8" t="s">
        <v>21</v>
      </c>
      <c r="Q18" s="8" t="s">
        <v>22</v>
      </c>
    </row>
    <row r="19" customFormat="false" ht="15" hidden="false" customHeight="false" outlineLevel="0" collapsed="false">
      <c r="A19" s="2" t="n">
        <v>18</v>
      </c>
      <c r="B19" s="3" t="s">
        <v>90</v>
      </c>
      <c r="C19" s="3" t="s">
        <v>91</v>
      </c>
      <c r="D19" s="4" t="s">
        <v>92</v>
      </c>
      <c r="E19" s="3" t="s">
        <v>93</v>
      </c>
      <c r="F19" s="3" t="s">
        <v>19</v>
      </c>
      <c r="G19" s="3" t="s">
        <v>94</v>
      </c>
      <c r="H19" s="8" t="s">
        <v>95</v>
      </c>
      <c r="I19" s="4" t="s">
        <v>96</v>
      </c>
      <c r="J19" s="5" t="s">
        <v>20</v>
      </c>
      <c r="K19" s="6"/>
      <c r="L19" s="5"/>
      <c r="M19" s="5"/>
      <c r="N19" s="6"/>
      <c r="O19" s="7"/>
      <c r="P19" s="8" t="s">
        <v>21</v>
      </c>
      <c r="Q19" s="8" t="s">
        <v>22</v>
      </c>
    </row>
    <row r="20" customFormat="false" ht="15" hidden="false" customHeight="false" outlineLevel="0" collapsed="false">
      <c r="A20" s="2" t="n">
        <v>19</v>
      </c>
      <c r="B20" s="3" t="s">
        <v>97</v>
      </c>
      <c r="C20" s="3" t="s">
        <v>89</v>
      </c>
      <c r="D20" s="4" t="s">
        <v>98</v>
      </c>
      <c r="E20" s="3" t="s">
        <v>93</v>
      </c>
      <c r="F20" s="3" t="s">
        <v>19</v>
      </c>
      <c r="G20" s="3" t="s">
        <v>99</v>
      </c>
      <c r="H20" s="8" t="s">
        <v>100</v>
      </c>
      <c r="I20" s="4" t="s">
        <v>101</v>
      </c>
      <c r="J20" s="5" t="s">
        <v>20</v>
      </c>
      <c r="K20" s="6"/>
      <c r="L20" s="5"/>
      <c r="M20" s="5"/>
      <c r="N20" s="6"/>
      <c r="O20" s="7"/>
      <c r="P20" s="8" t="s">
        <v>21</v>
      </c>
      <c r="Q20" s="8" t="s">
        <v>22</v>
      </c>
    </row>
    <row r="21" customFormat="false" ht="15" hidden="false" customHeight="false" outlineLevel="0" collapsed="false">
      <c r="A21" s="2" t="n">
        <v>20</v>
      </c>
      <c r="B21" s="3" t="s">
        <v>102</v>
      </c>
      <c r="C21" s="3"/>
      <c r="D21" s="4" t="s">
        <v>103</v>
      </c>
      <c r="E21" s="3"/>
      <c r="F21" s="3" t="s">
        <v>19</v>
      </c>
      <c r="G21" s="3" t="s">
        <v>104</v>
      </c>
      <c r="H21" s="3"/>
      <c r="I21" s="4" t="s">
        <v>105</v>
      </c>
      <c r="J21" s="5" t="s">
        <v>20</v>
      </c>
      <c r="K21" s="6"/>
      <c r="L21" s="5"/>
      <c r="M21" s="5"/>
      <c r="N21" s="6"/>
      <c r="O21" s="7"/>
      <c r="P21" s="8" t="s">
        <v>21</v>
      </c>
      <c r="Q21" s="8" t="s">
        <v>22</v>
      </c>
    </row>
    <row r="22" customFormat="false" ht="15" hidden="false" customHeight="false" outlineLevel="0" collapsed="false">
      <c r="A22" s="2" t="n">
        <v>21</v>
      </c>
      <c r="B22" s="3" t="s">
        <v>106</v>
      </c>
      <c r="C22" s="3" t="s">
        <v>91</v>
      </c>
      <c r="D22" s="4"/>
      <c r="E22" s="3"/>
      <c r="F22" s="3" t="s">
        <v>19</v>
      </c>
      <c r="G22" s="3"/>
      <c r="H22" s="3"/>
      <c r="I22" s="4" t="s">
        <v>107</v>
      </c>
      <c r="J22" s="5" t="s">
        <v>20</v>
      </c>
      <c r="K22" s="6"/>
      <c r="L22" s="5"/>
      <c r="M22" s="5"/>
      <c r="N22" s="6"/>
      <c r="O22" s="7"/>
      <c r="P22" s="8" t="s">
        <v>21</v>
      </c>
      <c r="Q22" s="8" t="s">
        <v>22</v>
      </c>
    </row>
    <row r="23" customFormat="false" ht="15" hidden="false" customHeight="false" outlineLevel="0" collapsed="false">
      <c r="A23" s="2" t="n">
        <v>22</v>
      </c>
      <c r="B23" s="3" t="s">
        <v>108</v>
      </c>
      <c r="C23" s="3" t="s">
        <v>109</v>
      </c>
      <c r="D23" s="4"/>
      <c r="E23" s="3"/>
      <c r="F23" s="3" t="s">
        <v>19</v>
      </c>
      <c r="G23" s="3"/>
      <c r="H23" s="3"/>
      <c r="I23" s="4"/>
      <c r="J23" s="5" t="s">
        <v>20</v>
      </c>
      <c r="K23" s="6"/>
      <c r="L23" s="5"/>
      <c r="M23" s="5"/>
      <c r="N23" s="6"/>
      <c r="O23" s="7"/>
      <c r="P23" s="8" t="s">
        <v>21</v>
      </c>
      <c r="Q23" s="8" t="s">
        <v>22</v>
      </c>
    </row>
    <row r="24" customFormat="false" ht="15" hidden="false" customHeight="false" outlineLevel="0" collapsed="false">
      <c r="A24" s="2" t="n">
        <v>23</v>
      </c>
      <c r="B24" s="3" t="s">
        <v>110</v>
      </c>
      <c r="C24" s="3" t="s">
        <v>111</v>
      </c>
      <c r="D24" s="4" t="s">
        <v>112</v>
      </c>
      <c r="E24" s="3"/>
      <c r="F24" s="3" t="s">
        <v>19</v>
      </c>
      <c r="G24" s="3"/>
      <c r="H24" s="3"/>
      <c r="I24" s="4" t="s">
        <v>113</v>
      </c>
      <c r="J24" s="5" t="s">
        <v>20</v>
      </c>
      <c r="K24" s="6"/>
      <c r="L24" s="5"/>
      <c r="M24" s="5"/>
      <c r="N24" s="6"/>
      <c r="O24" s="7"/>
      <c r="P24" s="8" t="s">
        <v>21</v>
      </c>
      <c r="Q24" s="8" t="s">
        <v>22</v>
      </c>
    </row>
    <row r="25" customFormat="false" ht="15" hidden="false" customHeight="false" outlineLevel="0" collapsed="false">
      <c r="A25" s="2" t="n">
        <v>24</v>
      </c>
      <c r="B25" s="3" t="s">
        <v>114</v>
      </c>
      <c r="C25" s="3"/>
      <c r="D25" s="4"/>
      <c r="E25" s="3"/>
      <c r="F25" s="3" t="s">
        <v>19</v>
      </c>
      <c r="G25" s="3"/>
      <c r="H25" s="3"/>
      <c r="I25" s="4"/>
      <c r="J25" s="5" t="s">
        <v>20</v>
      </c>
      <c r="K25" s="6"/>
      <c r="L25" s="5"/>
      <c r="M25" s="5"/>
      <c r="N25" s="6"/>
      <c r="O25" s="7"/>
      <c r="P25" s="8" t="s">
        <v>21</v>
      </c>
      <c r="Q25" s="8" t="s">
        <v>22</v>
      </c>
    </row>
    <row r="26" customFormat="false" ht="15" hidden="false" customHeight="false" outlineLevel="0" collapsed="false">
      <c r="A26" s="2" t="n">
        <v>25</v>
      </c>
      <c r="B26" s="3" t="s">
        <v>115</v>
      </c>
      <c r="C26" s="3" t="s">
        <v>116</v>
      </c>
      <c r="D26" s="4"/>
      <c r="E26" s="3"/>
      <c r="F26" s="3" t="s">
        <v>19</v>
      </c>
      <c r="G26" s="3" t="s">
        <v>117</v>
      </c>
      <c r="H26" s="3"/>
      <c r="I26" s="4" t="s">
        <v>118</v>
      </c>
      <c r="J26" s="5" t="s">
        <v>20</v>
      </c>
      <c r="K26" s="6"/>
      <c r="L26" s="5"/>
      <c r="M26" s="5"/>
      <c r="N26" s="6"/>
      <c r="O26" s="7"/>
      <c r="P26" s="8" t="s">
        <v>21</v>
      </c>
      <c r="Q26" s="8" t="s">
        <v>22</v>
      </c>
    </row>
    <row r="27" customFormat="false" ht="15" hidden="false" customHeight="false" outlineLevel="0" collapsed="false">
      <c r="A27" s="2" t="n">
        <v>26</v>
      </c>
      <c r="B27" s="3" t="s">
        <v>119</v>
      </c>
      <c r="C27" s="3" t="s">
        <v>120</v>
      </c>
      <c r="D27" s="4"/>
      <c r="E27" s="3"/>
      <c r="F27" s="3" t="s">
        <v>19</v>
      </c>
      <c r="G27" s="3"/>
      <c r="H27" s="3"/>
      <c r="I27" s="4" t="s">
        <v>121</v>
      </c>
      <c r="J27" s="5" t="s">
        <v>20</v>
      </c>
      <c r="K27" s="6"/>
      <c r="L27" s="5"/>
      <c r="M27" s="5"/>
      <c r="N27" s="6"/>
      <c r="O27" s="7"/>
      <c r="P27" s="8" t="s">
        <v>21</v>
      </c>
      <c r="Q27" s="8" t="s">
        <v>22</v>
      </c>
    </row>
    <row r="28" customFormat="false" ht="15" hidden="false" customHeight="false" outlineLevel="0" collapsed="false">
      <c r="A28" s="2" t="n">
        <v>27</v>
      </c>
      <c r="B28" s="3" t="s">
        <v>122</v>
      </c>
      <c r="C28" s="3"/>
      <c r="D28" s="4"/>
      <c r="E28" s="3"/>
      <c r="F28" s="3" t="s">
        <v>19</v>
      </c>
      <c r="G28" s="3" t="s">
        <v>123</v>
      </c>
      <c r="H28" s="8" t="s">
        <v>124</v>
      </c>
      <c r="I28" s="4"/>
      <c r="J28" s="5" t="s">
        <v>20</v>
      </c>
      <c r="K28" s="6"/>
      <c r="L28" s="5"/>
      <c r="M28" s="5"/>
      <c r="N28" s="6"/>
      <c r="O28" s="7"/>
      <c r="P28" s="8" t="s">
        <v>21</v>
      </c>
      <c r="Q28" s="8" t="s">
        <v>22</v>
      </c>
    </row>
    <row r="29" customFormat="false" ht="15" hidden="false" customHeight="false" outlineLevel="0" collapsed="false">
      <c r="A29" s="2" t="n">
        <v>28</v>
      </c>
      <c r="B29" s="3" t="s">
        <v>125</v>
      </c>
      <c r="C29" s="3" t="s">
        <v>126</v>
      </c>
      <c r="D29" s="4"/>
      <c r="E29" s="3"/>
      <c r="F29" s="3" t="s">
        <v>19</v>
      </c>
      <c r="G29" s="3" t="s">
        <v>127</v>
      </c>
      <c r="H29" s="8" t="s">
        <v>128</v>
      </c>
      <c r="I29" s="4" t="s">
        <v>129</v>
      </c>
      <c r="J29" s="5" t="s">
        <v>20</v>
      </c>
      <c r="K29" s="6"/>
      <c r="L29" s="5"/>
      <c r="M29" s="5"/>
      <c r="N29" s="6"/>
      <c r="O29" s="7"/>
      <c r="P29" s="8" t="s">
        <v>21</v>
      </c>
      <c r="Q29" s="8" t="s">
        <v>22</v>
      </c>
    </row>
    <row r="30" customFormat="false" ht="15" hidden="false" customHeight="false" outlineLevel="0" collapsed="false">
      <c r="A30" s="2" t="n">
        <v>29</v>
      </c>
      <c r="B30" s="3" t="s">
        <v>130</v>
      </c>
      <c r="C30" s="3" t="s">
        <v>116</v>
      </c>
      <c r="D30" s="4"/>
      <c r="E30" s="3"/>
      <c r="F30" s="3" t="s">
        <v>19</v>
      </c>
      <c r="G30" s="3"/>
      <c r="H30" s="3"/>
      <c r="I30" s="4"/>
      <c r="J30" s="5" t="s">
        <v>20</v>
      </c>
      <c r="K30" s="6"/>
      <c r="L30" s="5"/>
      <c r="M30" s="5"/>
      <c r="N30" s="6"/>
      <c r="O30" s="7"/>
      <c r="P30" s="8" t="s">
        <v>21</v>
      </c>
      <c r="Q30" s="8" t="s">
        <v>22</v>
      </c>
    </row>
    <row r="31" customFormat="false" ht="15" hidden="false" customHeight="false" outlineLevel="0" collapsed="false">
      <c r="A31" s="2" t="n">
        <v>30</v>
      </c>
      <c r="B31" s="3" t="s">
        <v>131</v>
      </c>
      <c r="C31" s="3" t="s">
        <v>24</v>
      </c>
      <c r="D31" s="4"/>
      <c r="E31" s="3"/>
      <c r="F31" s="3" t="s">
        <v>19</v>
      </c>
      <c r="G31" s="3"/>
      <c r="H31" s="3"/>
      <c r="I31" s="4"/>
      <c r="J31" s="5" t="s">
        <v>20</v>
      </c>
      <c r="K31" s="6"/>
      <c r="L31" s="5"/>
      <c r="M31" s="5"/>
      <c r="N31" s="6"/>
      <c r="O31" s="7"/>
      <c r="P31" s="8" t="s">
        <v>21</v>
      </c>
      <c r="Q31" s="8" t="s">
        <v>22</v>
      </c>
    </row>
    <row r="32" customFormat="false" ht="23.85" hidden="false" customHeight="false" outlineLevel="0" collapsed="false">
      <c r="A32" s="2" t="n">
        <v>31</v>
      </c>
      <c r="B32" s="3" t="s">
        <v>131</v>
      </c>
      <c r="C32" s="3"/>
      <c r="D32" s="4" t="s">
        <v>132</v>
      </c>
      <c r="E32" s="3"/>
      <c r="F32" s="3" t="s">
        <v>19</v>
      </c>
      <c r="G32" s="3"/>
      <c r="H32" s="3"/>
      <c r="I32" s="4" t="s">
        <v>133</v>
      </c>
      <c r="J32" s="5" t="s">
        <v>20</v>
      </c>
      <c r="K32" s="6"/>
      <c r="L32" s="5"/>
      <c r="M32" s="5"/>
      <c r="N32" s="6"/>
      <c r="O32" s="7"/>
      <c r="P32" s="8" t="s">
        <v>21</v>
      </c>
      <c r="Q32" s="8" t="s">
        <v>22</v>
      </c>
    </row>
    <row r="33" customFormat="false" ht="15" hidden="false" customHeight="false" outlineLevel="0" collapsed="false">
      <c r="A33" s="2" t="n">
        <v>32</v>
      </c>
      <c r="B33" s="3" t="s">
        <v>134</v>
      </c>
      <c r="C33" s="3" t="s">
        <v>135</v>
      </c>
      <c r="D33" s="4"/>
      <c r="E33" s="3"/>
      <c r="F33" s="3" t="s">
        <v>19</v>
      </c>
      <c r="G33" s="3" t="s">
        <v>136</v>
      </c>
      <c r="H33" s="8" t="s">
        <v>137</v>
      </c>
      <c r="I33" s="4" t="s">
        <v>138</v>
      </c>
      <c r="J33" s="5" t="s">
        <v>20</v>
      </c>
      <c r="K33" s="6"/>
      <c r="L33" s="5"/>
      <c r="M33" s="5"/>
      <c r="N33" s="6"/>
      <c r="O33" s="7"/>
      <c r="P33" s="8" t="s">
        <v>21</v>
      </c>
      <c r="Q33" s="8" t="s">
        <v>22</v>
      </c>
    </row>
    <row r="34" customFormat="false" ht="23.85" hidden="false" customHeight="false" outlineLevel="0" collapsed="false">
      <c r="A34" s="2" t="n">
        <v>33</v>
      </c>
      <c r="B34" s="3" t="s">
        <v>139</v>
      </c>
      <c r="C34" s="3" t="s">
        <v>140</v>
      </c>
      <c r="D34" s="4"/>
      <c r="E34" s="3"/>
      <c r="F34" s="3" t="s">
        <v>19</v>
      </c>
      <c r="G34" s="3" t="s">
        <v>141</v>
      </c>
      <c r="H34" s="8" t="s">
        <v>142</v>
      </c>
      <c r="I34" s="4" t="s">
        <v>143</v>
      </c>
      <c r="J34" s="5" t="s">
        <v>20</v>
      </c>
      <c r="K34" s="6"/>
      <c r="L34" s="5"/>
      <c r="M34" s="5"/>
      <c r="N34" s="6"/>
      <c r="O34" s="7"/>
      <c r="P34" s="8" t="s">
        <v>21</v>
      </c>
      <c r="Q34" s="8" t="s">
        <v>22</v>
      </c>
    </row>
    <row r="35" customFormat="false" ht="15" hidden="false" customHeight="false" outlineLevel="0" collapsed="false">
      <c r="A35" s="2" t="n">
        <v>34</v>
      </c>
      <c r="B35" s="3" t="s">
        <v>144</v>
      </c>
      <c r="C35" s="3"/>
      <c r="D35" s="4"/>
      <c r="E35" s="3"/>
      <c r="F35" s="3" t="s">
        <v>19</v>
      </c>
      <c r="G35" s="3"/>
      <c r="H35" s="3"/>
      <c r="I35" s="4" t="s">
        <v>145</v>
      </c>
      <c r="J35" s="5" t="s">
        <v>20</v>
      </c>
      <c r="K35" s="6"/>
      <c r="L35" s="5"/>
      <c r="M35" s="5"/>
      <c r="N35" s="6"/>
      <c r="O35" s="7"/>
      <c r="P35" s="8" t="s">
        <v>21</v>
      </c>
      <c r="Q35" s="8" t="s">
        <v>22</v>
      </c>
    </row>
    <row r="36" customFormat="false" ht="15" hidden="false" customHeight="false" outlineLevel="0" collapsed="false">
      <c r="A36" s="2" t="n">
        <v>35</v>
      </c>
      <c r="B36" s="3" t="s">
        <v>146</v>
      </c>
      <c r="C36" s="3"/>
      <c r="D36" s="4" t="s">
        <v>147</v>
      </c>
      <c r="E36" s="3" t="s">
        <v>148</v>
      </c>
      <c r="F36" s="3" t="s">
        <v>19</v>
      </c>
      <c r="G36" s="3" t="s">
        <v>149</v>
      </c>
      <c r="H36" s="8" t="s">
        <v>150</v>
      </c>
      <c r="I36" s="4" t="s">
        <v>151</v>
      </c>
      <c r="J36" s="5" t="s">
        <v>20</v>
      </c>
      <c r="K36" s="6"/>
      <c r="L36" s="5"/>
      <c r="M36" s="5"/>
      <c r="N36" s="6"/>
      <c r="O36" s="7"/>
      <c r="P36" s="8" t="s">
        <v>21</v>
      </c>
      <c r="Q36" s="8" t="s">
        <v>22</v>
      </c>
    </row>
    <row r="37" customFormat="false" ht="15" hidden="false" customHeight="false" outlineLevel="0" collapsed="false">
      <c r="A37" s="2" t="n">
        <v>36</v>
      </c>
      <c r="B37" s="3" t="s">
        <v>152</v>
      </c>
      <c r="C37" s="3" t="s">
        <v>153</v>
      </c>
      <c r="D37" s="4"/>
      <c r="E37" s="3"/>
      <c r="F37" s="3" t="s">
        <v>19</v>
      </c>
      <c r="G37" s="3" t="s">
        <v>154</v>
      </c>
      <c r="H37" s="8" t="s">
        <v>155</v>
      </c>
      <c r="I37" s="4"/>
      <c r="J37" s="5" t="s">
        <v>20</v>
      </c>
      <c r="K37" s="6"/>
      <c r="L37" s="5"/>
      <c r="M37" s="5"/>
      <c r="N37" s="6"/>
      <c r="O37" s="7"/>
      <c r="P37" s="8" t="s">
        <v>21</v>
      </c>
      <c r="Q37" s="8" t="s">
        <v>22</v>
      </c>
    </row>
    <row r="38" customFormat="false" ht="15" hidden="false" customHeight="false" outlineLevel="0" collapsed="false">
      <c r="A38" s="2" t="n">
        <v>37</v>
      </c>
      <c r="B38" s="3" t="s">
        <v>156</v>
      </c>
      <c r="C38" s="3" t="s">
        <v>24</v>
      </c>
      <c r="D38" s="4" t="s">
        <v>157</v>
      </c>
      <c r="E38" s="3" t="s">
        <v>26</v>
      </c>
      <c r="F38" s="3" t="s">
        <v>19</v>
      </c>
      <c r="G38" s="3" t="s">
        <v>158</v>
      </c>
      <c r="H38" s="8" t="s">
        <v>159</v>
      </c>
      <c r="I38" s="4"/>
      <c r="J38" s="5" t="s">
        <v>20</v>
      </c>
      <c r="K38" s="6"/>
      <c r="L38" s="5"/>
      <c r="M38" s="5"/>
      <c r="N38" s="6"/>
      <c r="O38" s="7"/>
      <c r="P38" s="8" t="s">
        <v>21</v>
      </c>
      <c r="Q38" s="8" t="s">
        <v>22</v>
      </c>
    </row>
    <row r="39" customFormat="false" ht="15" hidden="false" customHeight="false" outlineLevel="0" collapsed="false">
      <c r="A39" s="2" t="n">
        <v>38</v>
      </c>
      <c r="B39" s="3" t="s">
        <v>160</v>
      </c>
      <c r="C39" s="3" t="s">
        <v>153</v>
      </c>
      <c r="D39" s="4"/>
      <c r="E39" s="3"/>
      <c r="F39" s="3" t="s">
        <v>19</v>
      </c>
      <c r="G39" s="3"/>
      <c r="H39" s="3"/>
      <c r="I39" s="4"/>
      <c r="J39" s="5" t="s">
        <v>20</v>
      </c>
      <c r="K39" s="6"/>
      <c r="L39" s="5"/>
      <c r="M39" s="5"/>
      <c r="N39" s="6"/>
      <c r="O39" s="7"/>
      <c r="P39" s="8" t="s">
        <v>21</v>
      </c>
      <c r="Q39" s="8" t="s">
        <v>22</v>
      </c>
    </row>
    <row r="40" customFormat="false" ht="15" hidden="false" customHeight="false" outlineLevel="0" collapsed="false">
      <c r="A40" s="2" t="n">
        <v>39</v>
      </c>
      <c r="B40" s="3" t="s">
        <v>161</v>
      </c>
      <c r="C40" s="3" t="s">
        <v>116</v>
      </c>
      <c r="D40" s="4" t="s">
        <v>162</v>
      </c>
      <c r="E40" s="3" t="s">
        <v>57</v>
      </c>
      <c r="F40" s="3" t="s">
        <v>19</v>
      </c>
      <c r="G40" s="3" t="s">
        <v>163</v>
      </c>
      <c r="H40" s="3"/>
      <c r="I40" s="4"/>
      <c r="J40" s="5" t="s">
        <v>20</v>
      </c>
      <c r="K40" s="6"/>
      <c r="L40" s="5"/>
      <c r="M40" s="5"/>
      <c r="N40" s="6"/>
      <c r="O40" s="7"/>
      <c r="P40" s="8" t="s">
        <v>21</v>
      </c>
      <c r="Q40" s="8" t="s">
        <v>22</v>
      </c>
    </row>
    <row r="41" customFormat="false" ht="15" hidden="false" customHeight="false" outlineLevel="0" collapsed="false">
      <c r="A41" s="2" t="n">
        <v>40</v>
      </c>
      <c r="B41" s="3" t="s">
        <v>164</v>
      </c>
      <c r="C41" s="3" t="s">
        <v>120</v>
      </c>
      <c r="D41" s="4"/>
      <c r="E41" s="3"/>
      <c r="F41" s="3" t="s">
        <v>19</v>
      </c>
      <c r="G41" s="3" t="s">
        <v>165</v>
      </c>
      <c r="H41" s="8" t="s">
        <v>166</v>
      </c>
      <c r="I41" s="4" t="s">
        <v>167</v>
      </c>
      <c r="J41" s="5" t="s">
        <v>20</v>
      </c>
      <c r="K41" s="6"/>
      <c r="L41" s="5"/>
      <c r="M41" s="5"/>
      <c r="N41" s="6"/>
      <c r="O41" s="7"/>
      <c r="P41" s="8" t="s">
        <v>21</v>
      </c>
      <c r="Q41" s="8" t="s">
        <v>22</v>
      </c>
    </row>
    <row r="42" customFormat="false" ht="15" hidden="false" customHeight="false" outlineLevel="0" collapsed="false">
      <c r="A42" s="2" t="n">
        <v>41</v>
      </c>
      <c r="B42" s="3" t="s">
        <v>168</v>
      </c>
      <c r="C42" s="3" t="s">
        <v>169</v>
      </c>
      <c r="D42" s="4"/>
      <c r="E42" s="3"/>
      <c r="F42" s="3" t="s">
        <v>19</v>
      </c>
      <c r="G42" s="3"/>
      <c r="H42" s="3"/>
      <c r="I42" s="4"/>
      <c r="J42" s="5" t="s">
        <v>20</v>
      </c>
      <c r="K42" s="6"/>
      <c r="L42" s="5"/>
      <c r="M42" s="5"/>
      <c r="N42" s="6"/>
      <c r="O42" s="7"/>
      <c r="P42" s="8" t="s">
        <v>21</v>
      </c>
      <c r="Q42" s="8" t="s">
        <v>22</v>
      </c>
    </row>
    <row r="43" customFormat="false" ht="15" hidden="false" customHeight="false" outlineLevel="0" collapsed="false">
      <c r="A43" s="2" t="n">
        <v>42</v>
      </c>
      <c r="B43" s="3" t="s">
        <v>170</v>
      </c>
      <c r="C43" s="3" t="s">
        <v>171</v>
      </c>
      <c r="D43" s="4" t="s">
        <v>172</v>
      </c>
      <c r="E43" s="3" t="s">
        <v>93</v>
      </c>
      <c r="F43" s="3" t="s">
        <v>19</v>
      </c>
      <c r="G43" s="3"/>
      <c r="H43" s="8" t="s">
        <v>173</v>
      </c>
      <c r="I43" s="4" t="s">
        <v>174</v>
      </c>
      <c r="J43" s="5" t="s">
        <v>20</v>
      </c>
      <c r="K43" s="6"/>
      <c r="L43" s="5"/>
      <c r="M43" s="5"/>
      <c r="N43" s="6"/>
      <c r="O43" s="7"/>
      <c r="P43" s="8" t="s">
        <v>21</v>
      </c>
      <c r="Q43" s="8" t="s">
        <v>22</v>
      </c>
    </row>
    <row r="44" customFormat="false" ht="15" hidden="false" customHeight="false" outlineLevel="0" collapsed="false">
      <c r="A44" s="2" t="n">
        <v>43</v>
      </c>
      <c r="B44" s="3" t="s">
        <v>175</v>
      </c>
      <c r="C44" s="3"/>
      <c r="D44" s="4" t="s">
        <v>176</v>
      </c>
      <c r="E44" s="3"/>
      <c r="F44" s="3" t="s">
        <v>19</v>
      </c>
      <c r="G44" s="3"/>
      <c r="H44" s="3"/>
      <c r="I44" s="4"/>
      <c r="J44" s="5" t="s">
        <v>20</v>
      </c>
      <c r="K44" s="6"/>
      <c r="L44" s="5"/>
      <c r="M44" s="5"/>
      <c r="N44" s="6"/>
      <c r="O44" s="7"/>
      <c r="P44" s="8" t="s">
        <v>21</v>
      </c>
      <c r="Q44" s="8" t="s">
        <v>22</v>
      </c>
    </row>
    <row r="45" customFormat="false" ht="15" hidden="false" customHeight="false" outlineLevel="0" collapsed="false">
      <c r="A45" s="2" t="n">
        <v>44</v>
      </c>
      <c r="B45" s="3" t="s">
        <v>177</v>
      </c>
      <c r="C45" s="3" t="s">
        <v>109</v>
      </c>
      <c r="D45" s="4"/>
      <c r="E45" s="3"/>
      <c r="F45" s="3" t="s">
        <v>19</v>
      </c>
      <c r="G45" s="3"/>
      <c r="H45" s="8" t="s">
        <v>178</v>
      </c>
      <c r="I45" s="4" t="s">
        <v>179</v>
      </c>
      <c r="J45" s="5" t="s">
        <v>20</v>
      </c>
      <c r="K45" s="6"/>
      <c r="L45" s="5"/>
      <c r="M45" s="5"/>
      <c r="N45" s="6"/>
      <c r="O45" s="7"/>
      <c r="P45" s="8" t="s">
        <v>21</v>
      </c>
      <c r="Q45" s="8" t="s">
        <v>22</v>
      </c>
    </row>
    <row r="46" customFormat="false" ht="15" hidden="false" customHeight="false" outlineLevel="0" collapsed="false">
      <c r="A46" s="2" t="n">
        <v>45</v>
      </c>
      <c r="B46" s="3" t="s">
        <v>180</v>
      </c>
      <c r="C46" s="3" t="s">
        <v>181</v>
      </c>
      <c r="D46" s="4"/>
      <c r="E46" s="3"/>
      <c r="F46" s="3" t="s">
        <v>19</v>
      </c>
      <c r="G46" s="3"/>
      <c r="H46" s="8" t="s">
        <v>182</v>
      </c>
      <c r="I46" s="4" t="s">
        <v>183</v>
      </c>
      <c r="J46" s="5" t="s">
        <v>20</v>
      </c>
      <c r="K46" s="6"/>
      <c r="L46" s="5"/>
      <c r="M46" s="5"/>
      <c r="N46" s="6"/>
      <c r="O46" s="7"/>
      <c r="P46" s="8" t="s">
        <v>21</v>
      </c>
      <c r="Q46" s="8" t="s">
        <v>22</v>
      </c>
    </row>
    <row r="47" customFormat="false" ht="15" hidden="false" customHeight="false" outlineLevel="0" collapsed="false">
      <c r="A47" s="2" t="n">
        <v>46</v>
      </c>
      <c r="B47" s="3" t="s">
        <v>184</v>
      </c>
      <c r="C47" s="3" t="s">
        <v>185</v>
      </c>
      <c r="D47" s="4"/>
      <c r="E47" s="3"/>
      <c r="F47" s="3" t="s">
        <v>19</v>
      </c>
      <c r="G47" s="3" t="s">
        <v>186</v>
      </c>
      <c r="H47" s="8" t="s">
        <v>187</v>
      </c>
      <c r="I47" s="4" t="s">
        <v>188</v>
      </c>
      <c r="J47" s="5" t="s">
        <v>20</v>
      </c>
      <c r="K47" s="6"/>
      <c r="L47" s="5"/>
      <c r="M47" s="5"/>
      <c r="N47" s="6"/>
      <c r="O47" s="7"/>
      <c r="P47" s="8" t="s">
        <v>21</v>
      </c>
      <c r="Q47" s="8" t="s">
        <v>22</v>
      </c>
    </row>
    <row r="48" customFormat="false" ht="15" hidden="false" customHeight="false" outlineLevel="0" collapsed="false">
      <c r="A48" s="2" t="n">
        <v>47</v>
      </c>
      <c r="B48" s="3" t="s">
        <v>189</v>
      </c>
      <c r="C48" s="3" t="s">
        <v>116</v>
      </c>
      <c r="D48" s="4"/>
      <c r="E48" s="3"/>
      <c r="F48" s="3" t="s">
        <v>19</v>
      </c>
      <c r="G48" s="3"/>
      <c r="H48" s="8" t="s">
        <v>190</v>
      </c>
      <c r="I48" s="4" t="s">
        <v>191</v>
      </c>
      <c r="J48" s="5" t="s">
        <v>20</v>
      </c>
      <c r="K48" s="6"/>
      <c r="L48" s="5"/>
      <c r="M48" s="5"/>
      <c r="N48" s="6"/>
      <c r="O48" s="7"/>
      <c r="P48" s="8" t="s">
        <v>21</v>
      </c>
      <c r="Q48" s="8" t="s">
        <v>22</v>
      </c>
    </row>
    <row r="49" customFormat="false" ht="15" hidden="false" customHeight="false" outlineLevel="0" collapsed="false">
      <c r="A49" s="2" t="n">
        <v>48</v>
      </c>
      <c r="B49" s="3" t="s">
        <v>192</v>
      </c>
      <c r="C49" s="3"/>
      <c r="D49" s="4" t="s">
        <v>193</v>
      </c>
      <c r="E49" s="3" t="s">
        <v>26</v>
      </c>
      <c r="F49" s="3" t="s">
        <v>19</v>
      </c>
      <c r="G49" s="3" t="s">
        <v>194</v>
      </c>
      <c r="H49" s="8" t="s">
        <v>195</v>
      </c>
      <c r="I49" s="4" t="s">
        <v>196</v>
      </c>
      <c r="J49" s="5" t="s">
        <v>20</v>
      </c>
      <c r="K49" s="6"/>
      <c r="L49" s="5"/>
      <c r="M49" s="5"/>
      <c r="N49" s="6"/>
      <c r="O49" s="7"/>
      <c r="P49" s="8" t="s">
        <v>21</v>
      </c>
      <c r="Q49" s="8" t="s">
        <v>22</v>
      </c>
    </row>
    <row r="50" customFormat="false" ht="15" hidden="false" customHeight="false" outlineLevel="0" collapsed="false">
      <c r="A50" s="2" t="n">
        <v>49</v>
      </c>
      <c r="B50" s="3" t="s">
        <v>197</v>
      </c>
      <c r="C50" s="3"/>
      <c r="D50" s="4"/>
      <c r="E50" s="3"/>
      <c r="F50" s="3" t="s">
        <v>19</v>
      </c>
      <c r="G50" s="3"/>
      <c r="H50" s="3"/>
      <c r="I50" s="4"/>
      <c r="J50" s="5" t="s">
        <v>20</v>
      </c>
      <c r="K50" s="6"/>
      <c r="L50" s="5"/>
      <c r="M50" s="5"/>
      <c r="N50" s="6"/>
      <c r="O50" s="7"/>
      <c r="P50" s="8" t="s">
        <v>21</v>
      </c>
      <c r="Q50" s="8" t="s">
        <v>22</v>
      </c>
    </row>
    <row r="51" customFormat="false" ht="15" hidden="false" customHeight="false" outlineLevel="0" collapsed="false">
      <c r="A51" s="2" t="n">
        <v>50</v>
      </c>
      <c r="B51" s="3" t="s">
        <v>197</v>
      </c>
      <c r="C51" s="3"/>
      <c r="D51" s="4"/>
      <c r="E51" s="3"/>
      <c r="F51" s="3" t="s">
        <v>19</v>
      </c>
      <c r="G51" s="3"/>
      <c r="H51" s="8" t="s">
        <v>198</v>
      </c>
      <c r="I51" s="4"/>
      <c r="J51" s="5" t="s">
        <v>20</v>
      </c>
      <c r="K51" s="6"/>
      <c r="L51" s="5"/>
      <c r="M51" s="5"/>
      <c r="N51" s="6"/>
      <c r="O51" s="7"/>
      <c r="P51" s="8" t="s">
        <v>21</v>
      </c>
      <c r="Q51" s="8" t="s">
        <v>22</v>
      </c>
    </row>
    <row r="52" customFormat="false" ht="15" hidden="false" customHeight="false" outlineLevel="0" collapsed="false">
      <c r="A52" s="2" t="n">
        <v>51</v>
      </c>
      <c r="B52" s="3" t="s">
        <v>199</v>
      </c>
      <c r="C52" s="3" t="s">
        <v>200</v>
      </c>
      <c r="D52" s="4"/>
      <c r="E52" s="3"/>
      <c r="F52" s="3" t="s">
        <v>19</v>
      </c>
      <c r="G52" s="3" t="s">
        <v>201</v>
      </c>
      <c r="H52" s="8" t="s">
        <v>202</v>
      </c>
      <c r="I52" s="4" t="s">
        <v>203</v>
      </c>
      <c r="J52" s="5" t="s">
        <v>20</v>
      </c>
      <c r="K52" s="6"/>
      <c r="L52" s="5"/>
      <c r="M52" s="5"/>
      <c r="N52" s="6"/>
      <c r="O52" s="7"/>
      <c r="P52" s="8" t="s">
        <v>21</v>
      </c>
      <c r="Q52" s="8" t="s">
        <v>22</v>
      </c>
    </row>
    <row r="53" customFormat="false" ht="15" hidden="false" customHeight="false" outlineLevel="0" collapsed="false">
      <c r="A53" s="2" t="n">
        <v>52</v>
      </c>
      <c r="B53" s="3" t="s">
        <v>204</v>
      </c>
      <c r="C53" s="3"/>
      <c r="D53" s="4" t="s">
        <v>205</v>
      </c>
      <c r="E53" s="3"/>
      <c r="F53" s="3" t="s">
        <v>19</v>
      </c>
      <c r="G53" s="3" t="s">
        <v>206</v>
      </c>
      <c r="H53" s="8" t="s">
        <v>207</v>
      </c>
      <c r="I53" s="4" t="s">
        <v>208</v>
      </c>
      <c r="J53" s="5" t="s">
        <v>20</v>
      </c>
      <c r="K53" s="6"/>
      <c r="L53" s="5"/>
      <c r="M53" s="5"/>
      <c r="N53" s="6"/>
      <c r="O53" s="7"/>
      <c r="P53" s="8" t="s">
        <v>21</v>
      </c>
      <c r="Q53" s="8" t="s">
        <v>22</v>
      </c>
    </row>
    <row r="54" customFormat="false" ht="15" hidden="false" customHeight="false" outlineLevel="0" collapsed="false">
      <c r="A54" s="2" t="n">
        <v>53</v>
      </c>
      <c r="B54" s="3" t="s">
        <v>209</v>
      </c>
      <c r="C54" s="3" t="s">
        <v>18</v>
      </c>
      <c r="D54" s="4"/>
      <c r="E54" s="3"/>
      <c r="F54" s="3" t="s">
        <v>19</v>
      </c>
      <c r="G54" s="3"/>
      <c r="H54" s="3"/>
      <c r="I54" s="4"/>
      <c r="J54" s="5" t="s">
        <v>20</v>
      </c>
      <c r="K54" s="6"/>
      <c r="L54" s="5"/>
      <c r="M54" s="5"/>
      <c r="N54" s="6"/>
      <c r="O54" s="7"/>
      <c r="P54" s="8" t="s">
        <v>21</v>
      </c>
      <c r="Q54" s="8" t="s">
        <v>22</v>
      </c>
    </row>
    <row r="55" customFormat="false" ht="15" hidden="false" customHeight="false" outlineLevel="0" collapsed="false">
      <c r="A55" s="2" t="n">
        <v>54</v>
      </c>
      <c r="B55" s="3" t="s">
        <v>210</v>
      </c>
      <c r="C55" s="3" t="s">
        <v>211</v>
      </c>
      <c r="D55" s="4" t="s">
        <v>212</v>
      </c>
      <c r="E55" s="3"/>
      <c r="F55" s="3" t="s">
        <v>19</v>
      </c>
      <c r="G55" s="3" t="s">
        <v>213</v>
      </c>
      <c r="H55" s="8" t="s">
        <v>214</v>
      </c>
      <c r="I55" s="4" t="s">
        <v>215</v>
      </c>
      <c r="J55" s="5" t="s">
        <v>20</v>
      </c>
      <c r="K55" s="6"/>
      <c r="L55" s="5"/>
      <c r="M55" s="5"/>
      <c r="N55" s="6"/>
      <c r="O55" s="7"/>
      <c r="P55" s="8" t="s">
        <v>21</v>
      </c>
      <c r="Q55" s="8" t="s">
        <v>22</v>
      </c>
    </row>
    <row r="56" customFormat="false" ht="15" hidden="false" customHeight="false" outlineLevel="0" collapsed="false">
      <c r="A56" s="2" t="n">
        <v>55</v>
      </c>
      <c r="B56" s="3" t="s">
        <v>216</v>
      </c>
      <c r="C56" s="3" t="s">
        <v>217</v>
      </c>
      <c r="D56" s="4"/>
      <c r="E56" s="3"/>
      <c r="F56" s="3" t="s">
        <v>19</v>
      </c>
      <c r="G56" s="3" t="s">
        <v>218</v>
      </c>
      <c r="H56" s="8" t="s">
        <v>219</v>
      </c>
      <c r="I56" s="4" t="s">
        <v>220</v>
      </c>
      <c r="J56" s="5" t="s">
        <v>20</v>
      </c>
      <c r="K56" s="6"/>
      <c r="L56" s="5"/>
      <c r="M56" s="5"/>
      <c r="N56" s="6"/>
      <c r="O56" s="7"/>
      <c r="P56" s="8" t="s">
        <v>21</v>
      </c>
      <c r="Q56" s="8" t="s">
        <v>22</v>
      </c>
    </row>
    <row r="57" customFormat="false" ht="15" hidden="false" customHeight="false" outlineLevel="0" collapsed="false">
      <c r="A57" s="2" t="n">
        <v>56</v>
      </c>
      <c r="B57" s="3" t="s">
        <v>221</v>
      </c>
      <c r="C57" s="3"/>
      <c r="D57" s="4"/>
      <c r="E57" s="3"/>
      <c r="F57" s="3" t="s">
        <v>19</v>
      </c>
      <c r="G57" s="3" t="s">
        <v>222</v>
      </c>
      <c r="H57" s="8" t="s">
        <v>223</v>
      </c>
      <c r="I57" s="4" t="s">
        <v>224</v>
      </c>
      <c r="J57" s="5" t="s">
        <v>20</v>
      </c>
      <c r="K57" s="6"/>
      <c r="L57" s="5"/>
      <c r="M57" s="5"/>
      <c r="N57" s="6"/>
      <c r="O57" s="7"/>
      <c r="P57" s="8" t="s">
        <v>21</v>
      </c>
      <c r="Q57" s="8" t="s">
        <v>22</v>
      </c>
    </row>
    <row r="58" customFormat="false" ht="23.85" hidden="false" customHeight="false" outlineLevel="0" collapsed="false">
      <c r="A58" s="2" t="n">
        <v>57</v>
      </c>
      <c r="B58" s="3" t="s">
        <v>225</v>
      </c>
      <c r="C58" s="3" t="s">
        <v>185</v>
      </c>
      <c r="D58" s="4"/>
      <c r="E58" s="3"/>
      <c r="F58" s="3" t="s">
        <v>19</v>
      </c>
      <c r="G58" s="3" t="s">
        <v>226</v>
      </c>
      <c r="H58" s="8" t="s">
        <v>227</v>
      </c>
      <c r="I58" s="4" t="s">
        <v>228</v>
      </c>
      <c r="J58" s="5" t="s">
        <v>20</v>
      </c>
      <c r="K58" s="6"/>
      <c r="L58" s="5"/>
      <c r="M58" s="5"/>
      <c r="N58" s="6"/>
      <c r="O58" s="7"/>
      <c r="P58" s="8" t="s">
        <v>21</v>
      </c>
      <c r="Q58" s="8" t="s">
        <v>22</v>
      </c>
    </row>
    <row r="59" customFormat="false" ht="15" hidden="false" customHeight="false" outlineLevel="0" collapsed="false">
      <c r="A59" s="2" t="n">
        <v>58</v>
      </c>
      <c r="B59" s="3" t="s">
        <v>229</v>
      </c>
      <c r="C59" s="3" t="s">
        <v>116</v>
      </c>
      <c r="D59" s="4"/>
      <c r="E59" s="3"/>
      <c r="F59" s="3" t="s">
        <v>19</v>
      </c>
      <c r="G59" s="3"/>
      <c r="H59" s="3"/>
      <c r="I59" s="4" t="s">
        <v>230</v>
      </c>
      <c r="J59" s="5" t="s">
        <v>20</v>
      </c>
      <c r="K59" s="6"/>
      <c r="L59" s="5"/>
      <c r="M59" s="5"/>
      <c r="N59" s="6"/>
      <c r="O59" s="7"/>
      <c r="P59" s="8" t="s">
        <v>21</v>
      </c>
      <c r="Q59" s="8" t="s">
        <v>22</v>
      </c>
    </row>
    <row r="60" customFormat="false" ht="15" hidden="false" customHeight="false" outlineLevel="0" collapsed="false">
      <c r="A60" s="2" t="n">
        <v>59</v>
      </c>
      <c r="B60" s="3" t="s">
        <v>231</v>
      </c>
      <c r="C60" s="3"/>
      <c r="D60" s="4"/>
      <c r="E60" s="3"/>
      <c r="F60" s="3" t="s">
        <v>19</v>
      </c>
      <c r="G60" s="3"/>
      <c r="H60" s="8" t="s">
        <v>232</v>
      </c>
      <c r="I60" s="4"/>
      <c r="J60" s="5" t="s">
        <v>20</v>
      </c>
      <c r="K60" s="6"/>
      <c r="L60" s="5"/>
      <c r="M60" s="5"/>
      <c r="N60" s="6"/>
      <c r="O60" s="7"/>
      <c r="P60" s="8" t="s">
        <v>21</v>
      </c>
      <c r="Q60" s="8" t="s">
        <v>22</v>
      </c>
    </row>
    <row r="61" customFormat="false" ht="15" hidden="false" customHeight="false" outlineLevel="0" collapsed="false">
      <c r="A61" s="2" t="n">
        <v>60</v>
      </c>
      <c r="B61" s="3" t="s">
        <v>233</v>
      </c>
      <c r="C61" s="3" t="s">
        <v>234</v>
      </c>
      <c r="D61" s="4"/>
      <c r="E61" s="3"/>
      <c r="F61" s="3" t="s">
        <v>19</v>
      </c>
      <c r="G61" s="3" t="s">
        <v>235</v>
      </c>
      <c r="H61" s="8" t="s">
        <v>236</v>
      </c>
      <c r="I61" s="4" t="s">
        <v>237</v>
      </c>
      <c r="J61" s="5" t="s">
        <v>20</v>
      </c>
      <c r="K61" s="6"/>
      <c r="L61" s="5"/>
      <c r="M61" s="5"/>
      <c r="N61" s="6"/>
      <c r="O61" s="7"/>
      <c r="P61" s="8" t="s">
        <v>21</v>
      </c>
      <c r="Q61" s="8" t="s">
        <v>22</v>
      </c>
    </row>
    <row r="62" customFormat="false" ht="15" hidden="false" customHeight="false" outlineLevel="0" collapsed="false">
      <c r="A62" s="2" t="n">
        <v>61</v>
      </c>
      <c r="B62" s="3" t="s">
        <v>238</v>
      </c>
      <c r="C62" s="3" t="s">
        <v>120</v>
      </c>
      <c r="D62" s="4" t="s">
        <v>239</v>
      </c>
      <c r="E62" s="3" t="s">
        <v>31</v>
      </c>
      <c r="F62" s="3" t="s">
        <v>19</v>
      </c>
      <c r="G62" s="3" t="s">
        <v>240</v>
      </c>
      <c r="H62" s="8" t="s">
        <v>241</v>
      </c>
      <c r="I62" s="4" t="s">
        <v>242</v>
      </c>
      <c r="J62" s="5" t="s">
        <v>20</v>
      </c>
      <c r="K62" s="6"/>
      <c r="L62" s="5"/>
      <c r="M62" s="5"/>
      <c r="N62" s="6"/>
      <c r="O62" s="7"/>
      <c r="P62" s="8" t="s">
        <v>21</v>
      </c>
      <c r="Q62" s="8" t="s">
        <v>22</v>
      </c>
    </row>
    <row r="63" customFormat="false" ht="15" hidden="false" customHeight="false" outlineLevel="0" collapsed="false">
      <c r="A63" s="2" t="n">
        <v>62</v>
      </c>
      <c r="B63" s="3" t="s">
        <v>243</v>
      </c>
      <c r="C63" s="3" t="s">
        <v>120</v>
      </c>
      <c r="D63" s="4"/>
      <c r="E63" s="3"/>
      <c r="F63" s="3" t="s">
        <v>19</v>
      </c>
      <c r="G63" s="3" t="s">
        <v>244</v>
      </c>
      <c r="H63" s="3"/>
      <c r="I63" s="4"/>
      <c r="J63" s="5" t="s">
        <v>20</v>
      </c>
      <c r="K63" s="6"/>
      <c r="L63" s="5"/>
      <c r="M63" s="5"/>
      <c r="N63" s="6"/>
      <c r="O63" s="7"/>
      <c r="P63" s="8" t="s">
        <v>21</v>
      </c>
      <c r="Q63" s="8" t="s">
        <v>22</v>
      </c>
    </row>
    <row r="64" customFormat="false" ht="15" hidden="false" customHeight="false" outlineLevel="0" collapsed="false">
      <c r="A64" s="2" t="n">
        <v>63</v>
      </c>
      <c r="B64" s="3" t="s">
        <v>245</v>
      </c>
      <c r="C64" s="3"/>
      <c r="D64" s="4"/>
      <c r="E64" s="3"/>
      <c r="F64" s="3" t="s">
        <v>19</v>
      </c>
      <c r="G64" s="3"/>
      <c r="H64" s="8" t="s">
        <v>246</v>
      </c>
      <c r="I64" s="4" t="s">
        <v>247</v>
      </c>
      <c r="J64" s="5" t="s">
        <v>20</v>
      </c>
      <c r="K64" s="6"/>
      <c r="L64" s="5"/>
      <c r="M64" s="5"/>
      <c r="N64" s="6"/>
      <c r="O64" s="7"/>
      <c r="P64" s="8" t="s">
        <v>21</v>
      </c>
      <c r="Q64" s="8" t="s">
        <v>22</v>
      </c>
    </row>
    <row r="65" customFormat="false" ht="23.85" hidden="false" customHeight="false" outlineLevel="0" collapsed="false">
      <c r="A65" s="2" t="n">
        <v>64</v>
      </c>
      <c r="B65" s="3" t="s">
        <v>248</v>
      </c>
      <c r="C65" s="3" t="s">
        <v>249</v>
      </c>
      <c r="D65" s="4"/>
      <c r="E65" s="3"/>
      <c r="F65" s="3" t="s">
        <v>19</v>
      </c>
      <c r="G65" s="3"/>
      <c r="H65" s="8" t="s">
        <v>250</v>
      </c>
      <c r="I65" s="4" t="s">
        <v>251</v>
      </c>
      <c r="J65" s="5" t="s">
        <v>20</v>
      </c>
      <c r="K65" s="6"/>
      <c r="L65" s="5"/>
      <c r="M65" s="5"/>
      <c r="N65" s="6"/>
      <c r="O65" s="7"/>
      <c r="P65" s="8" t="s">
        <v>21</v>
      </c>
      <c r="Q65" s="8" t="s">
        <v>22</v>
      </c>
    </row>
    <row r="66" customFormat="false" ht="23.85" hidden="false" customHeight="false" outlineLevel="0" collapsed="false">
      <c r="A66" s="2" t="n">
        <v>65</v>
      </c>
      <c r="B66" s="3" t="s">
        <v>248</v>
      </c>
      <c r="C66" s="3" t="s">
        <v>249</v>
      </c>
      <c r="D66" s="4" t="s">
        <v>252</v>
      </c>
      <c r="E66" s="3" t="s">
        <v>31</v>
      </c>
      <c r="F66" s="3" t="s">
        <v>19</v>
      </c>
      <c r="G66" s="3" t="s">
        <v>253</v>
      </c>
      <c r="H66" s="8" t="s">
        <v>254</v>
      </c>
      <c r="I66" s="4" t="s">
        <v>255</v>
      </c>
      <c r="J66" s="5" t="s">
        <v>20</v>
      </c>
      <c r="K66" s="6"/>
      <c r="L66" s="5"/>
      <c r="M66" s="5"/>
      <c r="N66" s="6"/>
      <c r="O66" s="7"/>
      <c r="P66" s="8" t="s">
        <v>21</v>
      </c>
      <c r="Q66" s="8" t="s">
        <v>22</v>
      </c>
    </row>
    <row r="67" customFormat="false" ht="15" hidden="false" customHeight="false" outlineLevel="0" collapsed="false">
      <c r="A67" s="2" t="n">
        <v>66</v>
      </c>
      <c r="B67" s="3" t="s">
        <v>248</v>
      </c>
      <c r="C67" s="3" t="s">
        <v>249</v>
      </c>
      <c r="D67" s="4"/>
      <c r="E67" s="3"/>
      <c r="F67" s="3" t="s">
        <v>19</v>
      </c>
      <c r="G67" s="3"/>
      <c r="H67" s="3"/>
      <c r="I67" s="4"/>
      <c r="J67" s="5" t="s">
        <v>20</v>
      </c>
      <c r="K67" s="6"/>
      <c r="L67" s="5"/>
      <c r="M67" s="5"/>
      <c r="N67" s="6"/>
      <c r="O67" s="7"/>
      <c r="P67" s="8" t="s">
        <v>21</v>
      </c>
      <c r="Q67" s="8" t="s">
        <v>22</v>
      </c>
    </row>
    <row r="68" customFormat="false" ht="15" hidden="false" customHeight="false" outlineLevel="0" collapsed="false">
      <c r="A68" s="2" t="n">
        <v>67</v>
      </c>
      <c r="B68" s="3" t="s">
        <v>256</v>
      </c>
      <c r="C68" s="3"/>
      <c r="D68" s="4"/>
      <c r="E68" s="3"/>
      <c r="F68" s="3" t="s">
        <v>19</v>
      </c>
      <c r="G68" s="3"/>
      <c r="H68" s="3"/>
      <c r="I68" s="4"/>
      <c r="J68" s="5" t="s">
        <v>20</v>
      </c>
      <c r="K68" s="6"/>
      <c r="L68" s="5"/>
      <c r="M68" s="5"/>
      <c r="N68" s="6"/>
      <c r="O68" s="7"/>
      <c r="P68" s="8" t="s">
        <v>21</v>
      </c>
      <c r="Q68" s="8" t="s">
        <v>22</v>
      </c>
    </row>
    <row r="69" customFormat="false" ht="23.85" hidden="false" customHeight="false" outlineLevel="0" collapsed="false">
      <c r="A69" s="2" t="n">
        <v>68</v>
      </c>
      <c r="B69" s="3" t="s">
        <v>257</v>
      </c>
      <c r="C69" s="3"/>
      <c r="D69" s="4"/>
      <c r="E69" s="3"/>
      <c r="F69" s="3" t="s">
        <v>19</v>
      </c>
      <c r="G69" s="3" t="s">
        <v>258</v>
      </c>
      <c r="H69" s="8" t="s">
        <v>259</v>
      </c>
      <c r="I69" s="4" t="s">
        <v>260</v>
      </c>
      <c r="J69" s="5" t="s">
        <v>20</v>
      </c>
      <c r="K69" s="6"/>
      <c r="L69" s="5"/>
      <c r="M69" s="5"/>
      <c r="N69" s="6"/>
      <c r="O69" s="7"/>
      <c r="P69" s="8" t="s">
        <v>21</v>
      </c>
      <c r="Q69" s="8" t="s">
        <v>22</v>
      </c>
    </row>
    <row r="70" customFormat="false" ht="23.85" hidden="false" customHeight="false" outlineLevel="0" collapsed="false">
      <c r="A70" s="2" t="n">
        <v>69</v>
      </c>
      <c r="B70" s="3" t="s">
        <v>261</v>
      </c>
      <c r="C70" s="3"/>
      <c r="D70" s="4" t="s">
        <v>262</v>
      </c>
      <c r="E70" s="3" t="s">
        <v>93</v>
      </c>
      <c r="F70" s="3" t="s">
        <v>19</v>
      </c>
      <c r="G70" s="3" t="s">
        <v>263</v>
      </c>
      <c r="H70" s="3"/>
      <c r="I70" s="4" t="s">
        <v>264</v>
      </c>
      <c r="J70" s="5" t="s">
        <v>20</v>
      </c>
      <c r="K70" s="6"/>
      <c r="L70" s="5"/>
      <c r="M70" s="5"/>
      <c r="N70" s="6"/>
      <c r="O70" s="7"/>
      <c r="P70" s="8" t="s">
        <v>21</v>
      </c>
      <c r="Q70" s="8" t="s">
        <v>22</v>
      </c>
    </row>
    <row r="71" customFormat="false" ht="15" hidden="false" customHeight="false" outlineLevel="0" collapsed="false">
      <c r="A71" s="2" t="n">
        <v>70</v>
      </c>
      <c r="B71" s="3" t="s">
        <v>265</v>
      </c>
      <c r="C71" s="3" t="s">
        <v>120</v>
      </c>
      <c r="D71" s="4"/>
      <c r="E71" s="3"/>
      <c r="F71" s="3" t="s">
        <v>19</v>
      </c>
      <c r="G71" s="3"/>
      <c r="H71" s="3"/>
      <c r="I71" s="4" t="s">
        <v>266</v>
      </c>
      <c r="J71" s="5" t="s">
        <v>20</v>
      </c>
      <c r="K71" s="6"/>
      <c r="L71" s="5"/>
      <c r="M71" s="5"/>
      <c r="N71" s="6"/>
      <c r="O71" s="7"/>
      <c r="P71" s="8" t="s">
        <v>21</v>
      </c>
      <c r="Q71" s="8" t="s">
        <v>22</v>
      </c>
    </row>
    <row r="72" customFormat="false" ht="15" hidden="false" customHeight="false" outlineLevel="0" collapsed="false">
      <c r="A72" s="2" t="n">
        <v>71</v>
      </c>
      <c r="B72" s="3" t="s">
        <v>267</v>
      </c>
      <c r="C72" s="3" t="s">
        <v>268</v>
      </c>
      <c r="D72" s="4" t="s">
        <v>269</v>
      </c>
      <c r="E72" s="3"/>
      <c r="F72" s="3" t="s">
        <v>19</v>
      </c>
      <c r="G72" s="3" t="s">
        <v>270</v>
      </c>
      <c r="H72" s="8" t="s">
        <v>271</v>
      </c>
      <c r="I72" s="4" t="s">
        <v>272</v>
      </c>
      <c r="J72" s="5" t="s">
        <v>20</v>
      </c>
      <c r="K72" s="6"/>
      <c r="L72" s="5"/>
      <c r="M72" s="5"/>
      <c r="N72" s="6"/>
      <c r="O72" s="7"/>
      <c r="P72" s="8" t="s">
        <v>21</v>
      </c>
      <c r="Q72" s="8" t="s">
        <v>22</v>
      </c>
    </row>
    <row r="73" customFormat="false" ht="15" hidden="false" customHeight="false" outlineLevel="0" collapsed="false">
      <c r="A73" s="2" t="n">
        <v>72</v>
      </c>
      <c r="B73" s="3" t="s">
        <v>273</v>
      </c>
      <c r="C73" s="3" t="s">
        <v>274</v>
      </c>
      <c r="D73" s="4"/>
      <c r="E73" s="3"/>
      <c r="F73" s="3" t="s">
        <v>19</v>
      </c>
      <c r="G73" s="3"/>
      <c r="H73" s="3"/>
      <c r="I73" s="4" t="s">
        <v>275</v>
      </c>
      <c r="J73" s="5" t="s">
        <v>20</v>
      </c>
      <c r="K73" s="6"/>
      <c r="L73" s="5"/>
      <c r="M73" s="5"/>
      <c r="N73" s="6"/>
      <c r="O73" s="7"/>
      <c r="P73" s="8" t="s">
        <v>21</v>
      </c>
      <c r="Q73" s="8" t="s">
        <v>22</v>
      </c>
    </row>
    <row r="74" customFormat="false" ht="23.85" hidden="false" customHeight="false" outlineLevel="0" collapsed="false">
      <c r="A74" s="2" t="n">
        <v>73</v>
      </c>
      <c r="B74" s="3" t="s">
        <v>276</v>
      </c>
      <c r="C74" s="3" t="s">
        <v>277</v>
      </c>
      <c r="D74" s="4"/>
      <c r="E74" s="3"/>
      <c r="F74" s="3" t="s">
        <v>19</v>
      </c>
      <c r="G74" s="3" t="s">
        <v>278</v>
      </c>
      <c r="H74" s="3"/>
      <c r="I74" s="4" t="s">
        <v>279</v>
      </c>
      <c r="J74" s="5" t="s">
        <v>20</v>
      </c>
      <c r="K74" s="6"/>
      <c r="L74" s="5"/>
      <c r="M74" s="5"/>
      <c r="N74" s="6"/>
      <c r="O74" s="7"/>
      <c r="P74" s="8" t="s">
        <v>21</v>
      </c>
      <c r="Q74" s="8" t="s">
        <v>22</v>
      </c>
    </row>
    <row r="75" customFormat="false" ht="15" hidden="false" customHeight="false" outlineLevel="0" collapsed="false">
      <c r="A75" s="2" t="n">
        <v>74</v>
      </c>
      <c r="B75" s="3" t="s">
        <v>280</v>
      </c>
      <c r="C75" s="3"/>
      <c r="D75" s="4"/>
      <c r="E75" s="3"/>
      <c r="F75" s="3" t="s">
        <v>19</v>
      </c>
      <c r="G75" s="3" t="s">
        <v>281</v>
      </c>
      <c r="H75" s="3"/>
      <c r="I75" s="4" t="s">
        <v>282</v>
      </c>
      <c r="J75" s="5" t="s">
        <v>20</v>
      </c>
      <c r="K75" s="6"/>
      <c r="L75" s="5"/>
      <c r="M75" s="5"/>
      <c r="N75" s="6"/>
      <c r="O75" s="7"/>
      <c r="P75" s="8" t="s">
        <v>21</v>
      </c>
      <c r="Q75" s="8" t="s">
        <v>22</v>
      </c>
    </row>
    <row r="76" customFormat="false" ht="15" hidden="false" customHeight="false" outlineLevel="0" collapsed="false">
      <c r="A76" s="2" t="n">
        <v>75</v>
      </c>
      <c r="B76" s="3" t="s">
        <v>283</v>
      </c>
      <c r="C76" s="3" t="s">
        <v>109</v>
      </c>
      <c r="D76" s="4" t="s">
        <v>284</v>
      </c>
      <c r="E76" s="3" t="s">
        <v>285</v>
      </c>
      <c r="F76" s="3" t="s">
        <v>19</v>
      </c>
      <c r="G76" s="3" t="s">
        <v>286</v>
      </c>
      <c r="H76" s="8" t="s">
        <v>287</v>
      </c>
      <c r="I76" s="4" t="s">
        <v>288</v>
      </c>
      <c r="J76" s="5" t="s">
        <v>20</v>
      </c>
      <c r="K76" s="6"/>
      <c r="L76" s="5"/>
      <c r="M76" s="5"/>
      <c r="N76" s="6"/>
      <c r="O76" s="7"/>
      <c r="P76" s="8" t="s">
        <v>21</v>
      </c>
      <c r="Q76" s="8" t="s">
        <v>22</v>
      </c>
    </row>
    <row r="77" customFormat="false" ht="15" hidden="false" customHeight="false" outlineLevel="0" collapsed="false">
      <c r="A77" s="2" t="n">
        <v>76</v>
      </c>
      <c r="B77" s="3" t="s">
        <v>289</v>
      </c>
      <c r="C77" s="3" t="s">
        <v>126</v>
      </c>
      <c r="D77" s="4" t="s">
        <v>290</v>
      </c>
      <c r="E77" s="3" t="s">
        <v>93</v>
      </c>
      <c r="F77" s="3" t="s">
        <v>19</v>
      </c>
      <c r="G77" s="3" t="s">
        <v>291</v>
      </c>
      <c r="H77" s="8" t="s">
        <v>292</v>
      </c>
      <c r="I77" s="4" t="s">
        <v>293</v>
      </c>
      <c r="J77" s="5" t="s">
        <v>20</v>
      </c>
      <c r="K77" s="6"/>
      <c r="L77" s="5"/>
      <c r="M77" s="5"/>
      <c r="N77" s="6"/>
      <c r="O77" s="7"/>
      <c r="P77" s="8" t="s">
        <v>21</v>
      </c>
      <c r="Q77" s="8" t="s">
        <v>22</v>
      </c>
    </row>
    <row r="78" customFormat="false" ht="15" hidden="false" customHeight="false" outlineLevel="0" collapsed="false">
      <c r="A78" s="2" t="n">
        <v>77</v>
      </c>
      <c r="B78" s="3" t="s">
        <v>294</v>
      </c>
      <c r="C78" s="3" t="s">
        <v>295</v>
      </c>
      <c r="D78" s="4" t="s">
        <v>296</v>
      </c>
      <c r="E78" s="3" t="s">
        <v>93</v>
      </c>
      <c r="F78" s="3" t="s">
        <v>19</v>
      </c>
      <c r="G78" s="3" t="s">
        <v>297</v>
      </c>
      <c r="H78" s="3"/>
      <c r="I78" s="4" t="s">
        <v>298</v>
      </c>
      <c r="J78" s="5" t="s">
        <v>20</v>
      </c>
      <c r="K78" s="6"/>
      <c r="L78" s="5"/>
      <c r="M78" s="5"/>
      <c r="N78" s="6"/>
      <c r="O78" s="7"/>
      <c r="P78" s="8" t="s">
        <v>21</v>
      </c>
      <c r="Q78" s="8" t="s">
        <v>22</v>
      </c>
    </row>
    <row r="79" customFormat="false" ht="15" hidden="false" customHeight="false" outlineLevel="0" collapsed="false">
      <c r="A79" s="2" t="n">
        <v>78</v>
      </c>
      <c r="B79" s="3" t="s">
        <v>299</v>
      </c>
      <c r="C79" s="3"/>
      <c r="D79" s="4"/>
      <c r="E79" s="3"/>
      <c r="F79" s="3" t="s">
        <v>19</v>
      </c>
      <c r="G79" s="3"/>
      <c r="H79" s="3"/>
      <c r="I79" s="4"/>
      <c r="J79" s="5" t="s">
        <v>20</v>
      </c>
      <c r="K79" s="6"/>
      <c r="L79" s="5"/>
      <c r="M79" s="5"/>
      <c r="N79" s="6"/>
      <c r="O79" s="7"/>
      <c r="P79" s="8" t="s">
        <v>21</v>
      </c>
      <c r="Q79" s="8" t="s">
        <v>22</v>
      </c>
    </row>
    <row r="80" customFormat="false" ht="15" hidden="false" customHeight="false" outlineLevel="0" collapsed="false">
      <c r="A80" s="2" t="n">
        <v>79</v>
      </c>
      <c r="B80" s="3" t="s">
        <v>300</v>
      </c>
      <c r="C80" s="3"/>
      <c r="D80" s="4"/>
      <c r="E80" s="3"/>
      <c r="F80" s="3" t="s">
        <v>19</v>
      </c>
      <c r="G80" s="3"/>
      <c r="H80" s="3"/>
      <c r="I80" s="4" t="s">
        <v>301</v>
      </c>
      <c r="J80" s="5" t="s">
        <v>20</v>
      </c>
      <c r="K80" s="6"/>
      <c r="L80" s="5"/>
      <c r="M80" s="5"/>
      <c r="N80" s="6"/>
      <c r="O80" s="7"/>
      <c r="P80" s="8" t="s">
        <v>21</v>
      </c>
      <c r="Q80" s="8" t="s">
        <v>22</v>
      </c>
    </row>
    <row r="81" customFormat="false" ht="23.85" hidden="false" customHeight="false" outlineLevel="0" collapsed="false">
      <c r="A81" s="2" t="n">
        <v>80</v>
      </c>
      <c r="B81" s="3" t="s">
        <v>302</v>
      </c>
      <c r="C81" s="3"/>
      <c r="D81" s="4"/>
      <c r="E81" s="3"/>
      <c r="F81" s="3" t="s">
        <v>19</v>
      </c>
      <c r="G81" s="3" t="s">
        <v>303</v>
      </c>
      <c r="H81" s="3"/>
      <c r="I81" s="4" t="s">
        <v>304</v>
      </c>
      <c r="J81" s="5" t="s">
        <v>20</v>
      </c>
      <c r="K81" s="6"/>
      <c r="L81" s="5"/>
      <c r="M81" s="5"/>
      <c r="N81" s="6"/>
      <c r="O81" s="7"/>
      <c r="P81" s="8" t="s">
        <v>21</v>
      </c>
      <c r="Q81" s="8" t="s">
        <v>22</v>
      </c>
    </row>
    <row r="82" customFormat="false" ht="15" hidden="false" customHeight="false" outlineLevel="0" collapsed="false">
      <c r="A82" s="2" t="n">
        <v>81</v>
      </c>
      <c r="B82" s="3" t="s">
        <v>305</v>
      </c>
      <c r="C82" s="3" t="s">
        <v>120</v>
      </c>
      <c r="D82" s="4"/>
      <c r="E82" s="3"/>
      <c r="F82" s="3" t="s">
        <v>19</v>
      </c>
      <c r="G82" s="3" t="s">
        <v>306</v>
      </c>
      <c r="H82" s="8" t="s">
        <v>307</v>
      </c>
      <c r="I82" s="4" t="s">
        <v>308</v>
      </c>
      <c r="J82" s="5" t="s">
        <v>20</v>
      </c>
      <c r="K82" s="6"/>
      <c r="L82" s="5"/>
      <c r="M82" s="5"/>
      <c r="N82" s="6"/>
      <c r="O82" s="7"/>
      <c r="P82" s="8" t="s">
        <v>21</v>
      </c>
      <c r="Q82" s="8" t="s">
        <v>22</v>
      </c>
    </row>
    <row r="83" customFormat="false" ht="15" hidden="false" customHeight="false" outlineLevel="0" collapsed="false">
      <c r="A83" s="2" t="n">
        <v>82</v>
      </c>
      <c r="B83" s="3" t="s">
        <v>309</v>
      </c>
      <c r="C83" s="3"/>
      <c r="D83" s="4"/>
      <c r="E83" s="3"/>
      <c r="F83" s="3" t="s">
        <v>19</v>
      </c>
      <c r="G83" s="3"/>
      <c r="H83" s="3"/>
      <c r="I83" s="4" t="s">
        <v>310</v>
      </c>
      <c r="J83" s="5" t="s">
        <v>20</v>
      </c>
      <c r="K83" s="6"/>
      <c r="L83" s="5"/>
      <c r="M83" s="5"/>
      <c r="N83" s="6"/>
      <c r="O83" s="7"/>
      <c r="P83" s="8" t="s">
        <v>21</v>
      </c>
      <c r="Q83" s="8" t="s">
        <v>22</v>
      </c>
    </row>
    <row r="84" customFormat="false" ht="15" hidden="false" customHeight="false" outlineLevel="0" collapsed="false">
      <c r="A84" s="2" t="n">
        <v>83</v>
      </c>
      <c r="B84" s="3" t="s">
        <v>311</v>
      </c>
      <c r="C84" s="3"/>
      <c r="D84" s="4" t="s">
        <v>312</v>
      </c>
      <c r="E84" s="3" t="s">
        <v>93</v>
      </c>
      <c r="F84" s="3" t="s">
        <v>19</v>
      </c>
      <c r="G84" s="3" t="s">
        <v>313</v>
      </c>
      <c r="H84" s="8" t="s">
        <v>314</v>
      </c>
      <c r="I84" s="4" t="s">
        <v>315</v>
      </c>
      <c r="J84" s="5" t="s">
        <v>20</v>
      </c>
      <c r="K84" s="6"/>
      <c r="L84" s="5"/>
      <c r="M84" s="5"/>
      <c r="N84" s="6"/>
      <c r="O84" s="7"/>
      <c r="P84" s="8" t="s">
        <v>21</v>
      </c>
      <c r="Q84" s="8" t="s">
        <v>22</v>
      </c>
    </row>
    <row r="85" customFormat="false" ht="15" hidden="false" customHeight="false" outlineLevel="0" collapsed="false">
      <c r="A85" s="2" t="n">
        <v>84</v>
      </c>
      <c r="B85" s="3" t="s">
        <v>316</v>
      </c>
      <c r="C85" s="3"/>
      <c r="D85" s="4" t="s">
        <v>317</v>
      </c>
      <c r="E85" s="3" t="s">
        <v>57</v>
      </c>
      <c r="F85" s="3" t="s">
        <v>19</v>
      </c>
      <c r="G85" s="3" t="s">
        <v>318</v>
      </c>
      <c r="H85" s="8" t="s">
        <v>319</v>
      </c>
      <c r="I85" s="4" t="s">
        <v>320</v>
      </c>
      <c r="J85" s="5" t="s">
        <v>20</v>
      </c>
      <c r="K85" s="6"/>
      <c r="L85" s="5"/>
      <c r="M85" s="5"/>
      <c r="N85" s="6"/>
      <c r="O85" s="7"/>
      <c r="P85" s="8" t="s">
        <v>21</v>
      </c>
      <c r="Q85" s="8" t="s">
        <v>22</v>
      </c>
    </row>
    <row r="86" customFormat="false" ht="15" hidden="false" customHeight="false" outlineLevel="0" collapsed="false">
      <c r="A86" s="2" t="n">
        <v>85</v>
      </c>
      <c r="B86" s="3" t="s">
        <v>321</v>
      </c>
      <c r="C86" s="3" t="s">
        <v>322</v>
      </c>
      <c r="D86" s="4"/>
      <c r="E86" s="3"/>
      <c r="F86" s="3" t="s">
        <v>19</v>
      </c>
      <c r="G86" s="3"/>
      <c r="H86" s="3"/>
      <c r="I86" s="4"/>
      <c r="J86" s="5" t="s">
        <v>20</v>
      </c>
      <c r="K86" s="6"/>
      <c r="L86" s="5"/>
      <c r="M86" s="5"/>
      <c r="N86" s="6"/>
      <c r="O86" s="7"/>
      <c r="P86" s="8" t="s">
        <v>21</v>
      </c>
      <c r="Q86" s="8" t="s">
        <v>22</v>
      </c>
    </row>
    <row r="87" customFormat="false" ht="23.85" hidden="false" customHeight="false" outlineLevel="0" collapsed="false">
      <c r="A87" s="2" t="n">
        <v>86</v>
      </c>
      <c r="B87" s="3" t="s">
        <v>323</v>
      </c>
      <c r="C87" s="3"/>
      <c r="D87" s="4"/>
      <c r="E87" s="3"/>
      <c r="F87" s="3" t="s">
        <v>19</v>
      </c>
      <c r="G87" s="3"/>
      <c r="H87" s="3"/>
      <c r="I87" s="4" t="s">
        <v>324</v>
      </c>
      <c r="J87" s="5" t="s">
        <v>20</v>
      </c>
      <c r="K87" s="6"/>
      <c r="L87" s="5"/>
      <c r="M87" s="5"/>
      <c r="N87" s="6"/>
      <c r="O87" s="7"/>
      <c r="P87" s="8" t="s">
        <v>21</v>
      </c>
      <c r="Q87" s="8" t="s">
        <v>22</v>
      </c>
    </row>
    <row r="88" customFormat="false" ht="15" hidden="false" customHeight="false" outlineLevel="0" collapsed="false">
      <c r="A88" s="2" t="n">
        <v>87</v>
      </c>
      <c r="B88" s="3" t="s">
        <v>325</v>
      </c>
      <c r="C88" s="3" t="s">
        <v>326</v>
      </c>
      <c r="D88" s="4"/>
      <c r="E88" s="3"/>
      <c r="F88" s="3" t="s">
        <v>19</v>
      </c>
      <c r="G88" s="3" t="s">
        <v>327</v>
      </c>
      <c r="H88" s="8" t="s">
        <v>328</v>
      </c>
      <c r="I88" s="4" t="s">
        <v>329</v>
      </c>
      <c r="J88" s="5" t="s">
        <v>20</v>
      </c>
      <c r="K88" s="6"/>
      <c r="L88" s="5"/>
      <c r="M88" s="5"/>
      <c r="N88" s="6"/>
      <c r="O88" s="7"/>
      <c r="P88" s="8" t="s">
        <v>21</v>
      </c>
      <c r="Q88" s="8" t="s">
        <v>22</v>
      </c>
    </row>
    <row r="89" customFormat="false" ht="15" hidden="false" customHeight="false" outlineLevel="0" collapsed="false">
      <c r="A89" s="2" t="n">
        <v>88</v>
      </c>
      <c r="B89" s="3" t="s">
        <v>330</v>
      </c>
      <c r="C89" s="3" t="s">
        <v>181</v>
      </c>
      <c r="D89" s="4" t="s">
        <v>331</v>
      </c>
      <c r="E89" s="3"/>
      <c r="F89" s="3" t="s">
        <v>19</v>
      </c>
      <c r="G89" s="3" t="s">
        <v>332</v>
      </c>
      <c r="H89" s="3"/>
      <c r="I89" s="4" t="s">
        <v>333</v>
      </c>
      <c r="J89" s="5" t="s">
        <v>20</v>
      </c>
      <c r="K89" s="6"/>
      <c r="L89" s="5"/>
      <c r="M89" s="5"/>
      <c r="N89" s="6"/>
      <c r="O89" s="7"/>
      <c r="P89" s="8" t="s">
        <v>21</v>
      </c>
      <c r="Q89" s="8" t="s">
        <v>22</v>
      </c>
    </row>
    <row r="90" customFormat="false" ht="15" hidden="false" customHeight="false" outlineLevel="0" collapsed="false">
      <c r="A90" s="2" t="n">
        <v>89</v>
      </c>
      <c r="B90" s="3" t="s">
        <v>334</v>
      </c>
      <c r="C90" s="3"/>
      <c r="D90" s="4"/>
      <c r="E90" s="3"/>
      <c r="F90" s="3" t="s">
        <v>19</v>
      </c>
      <c r="G90" s="3" t="s">
        <v>335</v>
      </c>
      <c r="H90" s="8" t="s">
        <v>336</v>
      </c>
      <c r="I90" s="4"/>
      <c r="J90" s="5" t="s">
        <v>20</v>
      </c>
      <c r="K90" s="6"/>
      <c r="L90" s="5"/>
      <c r="M90" s="5"/>
      <c r="N90" s="6"/>
      <c r="O90" s="7"/>
      <c r="P90" s="8" t="s">
        <v>21</v>
      </c>
      <c r="Q90" s="8" t="s">
        <v>22</v>
      </c>
    </row>
    <row r="91" customFormat="false" ht="15" hidden="false" customHeight="false" outlineLevel="0" collapsed="false">
      <c r="A91" s="2" t="n">
        <v>90</v>
      </c>
      <c r="B91" s="3" t="s">
        <v>337</v>
      </c>
      <c r="C91" s="3"/>
      <c r="D91" s="4"/>
      <c r="E91" s="3"/>
      <c r="F91" s="3" t="s">
        <v>19</v>
      </c>
      <c r="G91" s="3"/>
      <c r="H91" s="3"/>
      <c r="I91" s="4"/>
      <c r="J91" s="5" t="s">
        <v>20</v>
      </c>
      <c r="K91" s="6"/>
      <c r="L91" s="5"/>
      <c r="M91" s="5"/>
      <c r="N91" s="6"/>
      <c r="O91" s="7"/>
      <c r="P91" s="8" t="s">
        <v>21</v>
      </c>
      <c r="Q91" s="8" t="s">
        <v>22</v>
      </c>
    </row>
    <row r="92" customFormat="false" ht="15" hidden="false" customHeight="false" outlineLevel="0" collapsed="false">
      <c r="A92" s="2" t="n">
        <v>91</v>
      </c>
      <c r="B92" s="3" t="s">
        <v>338</v>
      </c>
      <c r="C92" s="3"/>
      <c r="D92" s="4"/>
      <c r="E92" s="3"/>
      <c r="F92" s="3" t="s">
        <v>19</v>
      </c>
      <c r="G92" s="3"/>
      <c r="H92" s="3"/>
      <c r="I92" s="4" t="s">
        <v>339</v>
      </c>
      <c r="J92" s="5" t="s">
        <v>20</v>
      </c>
      <c r="K92" s="6"/>
      <c r="L92" s="5"/>
      <c r="M92" s="5"/>
      <c r="N92" s="6"/>
      <c r="O92" s="7"/>
      <c r="P92" s="8" t="s">
        <v>21</v>
      </c>
      <c r="Q92" s="8" t="s">
        <v>22</v>
      </c>
    </row>
    <row r="93" customFormat="false" ht="15" hidden="false" customHeight="false" outlineLevel="0" collapsed="false">
      <c r="A93" s="2" t="n">
        <v>92</v>
      </c>
      <c r="B93" s="3" t="s">
        <v>340</v>
      </c>
      <c r="C93" s="3" t="s">
        <v>89</v>
      </c>
      <c r="D93" s="4" t="s">
        <v>341</v>
      </c>
      <c r="E93" s="3"/>
      <c r="F93" s="3" t="s">
        <v>19</v>
      </c>
      <c r="G93" s="3" t="s">
        <v>342</v>
      </c>
      <c r="H93" s="3"/>
      <c r="I93" s="4" t="s">
        <v>343</v>
      </c>
      <c r="J93" s="5" t="s">
        <v>20</v>
      </c>
      <c r="K93" s="6"/>
      <c r="L93" s="5"/>
      <c r="M93" s="5"/>
      <c r="N93" s="6"/>
      <c r="O93" s="7"/>
      <c r="P93" s="8" t="s">
        <v>21</v>
      </c>
      <c r="Q93" s="8" t="s">
        <v>22</v>
      </c>
    </row>
    <row r="94" customFormat="false" ht="15" hidden="false" customHeight="false" outlineLevel="0" collapsed="false">
      <c r="A94" s="2" t="n">
        <v>93</v>
      </c>
      <c r="B94" s="3" t="s">
        <v>344</v>
      </c>
      <c r="C94" s="3" t="s">
        <v>345</v>
      </c>
      <c r="D94" s="4" t="s">
        <v>346</v>
      </c>
      <c r="E94" s="3" t="s">
        <v>347</v>
      </c>
      <c r="F94" s="3" t="s">
        <v>19</v>
      </c>
      <c r="G94" s="3"/>
      <c r="H94" s="8" t="s">
        <v>348</v>
      </c>
      <c r="I94" s="4" t="s">
        <v>349</v>
      </c>
      <c r="J94" s="5" t="s">
        <v>20</v>
      </c>
      <c r="K94" s="6"/>
      <c r="L94" s="5"/>
      <c r="M94" s="5"/>
      <c r="N94" s="6"/>
      <c r="O94" s="7"/>
      <c r="P94" s="8" t="s">
        <v>21</v>
      </c>
      <c r="Q94" s="8" t="s">
        <v>22</v>
      </c>
    </row>
    <row r="95" customFormat="false" ht="15" hidden="false" customHeight="false" outlineLevel="0" collapsed="false">
      <c r="A95" s="2" t="n">
        <v>94</v>
      </c>
      <c r="B95" s="3" t="s">
        <v>350</v>
      </c>
      <c r="C95" s="3"/>
      <c r="D95" s="4"/>
      <c r="E95" s="3"/>
      <c r="F95" s="3" t="s">
        <v>19</v>
      </c>
      <c r="G95" s="3"/>
      <c r="H95" s="3"/>
      <c r="I95" s="4"/>
      <c r="J95" s="5" t="s">
        <v>20</v>
      </c>
      <c r="K95" s="6"/>
      <c r="L95" s="5"/>
      <c r="M95" s="5"/>
      <c r="N95" s="6"/>
      <c r="O95" s="7"/>
      <c r="P95" s="8" t="s">
        <v>21</v>
      </c>
      <c r="Q95" s="8" t="s">
        <v>22</v>
      </c>
    </row>
    <row r="96" customFormat="false" ht="15" hidden="false" customHeight="false" outlineLevel="0" collapsed="false">
      <c r="A96" s="2" t="n">
        <v>95</v>
      </c>
      <c r="B96" s="3" t="s">
        <v>351</v>
      </c>
      <c r="C96" s="3"/>
      <c r="D96" s="4"/>
      <c r="E96" s="3"/>
      <c r="F96" s="3" t="s">
        <v>19</v>
      </c>
      <c r="G96" s="3" t="s">
        <v>352</v>
      </c>
      <c r="H96" s="8" t="s">
        <v>353</v>
      </c>
      <c r="I96" s="4" t="s">
        <v>354</v>
      </c>
      <c r="J96" s="5" t="s">
        <v>20</v>
      </c>
      <c r="K96" s="6"/>
      <c r="L96" s="5"/>
      <c r="M96" s="5"/>
      <c r="N96" s="6"/>
      <c r="O96" s="7"/>
      <c r="P96" s="8" t="s">
        <v>21</v>
      </c>
      <c r="Q96" s="8" t="s">
        <v>22</v>
      </c>
    </row>
    <row r="97" customFormat="false" ht="15" hidden="false" customHeight="false" outlineLevel="0" collapsed="false">
      <c r="A97" s="2" t="n">
        <v>96</v>
      </c>
      <c r="B97" s="3" t="s">
        <v>355</v>
      </c>
      <c r="C97" s="3" t="s">
        <v>356</v>
      </c>
      <c r="D97" s="4"/>
      <c r="E97" s="3"/>
      <c r="F97" s="3" t="s">
        <v>19</v>
      </c>
      <c r="G97" s="3"/>
      <c r="H97" s="3"/>
      <c r="I97" s="4" t="s">
        <v>357</v>
      </c>
      <c r="J97" s="5" t="s">
        <v>20</v>
      </c>
      <c r="K97" s="6"/>
      <c r="L97" s="5"/>
      <c r="M97" s="5"/>
      <c r="N97" s="6"/>
      <c r="O97" s="7"/>
      <c r="P97" s="8" t="s">
        <v>21</v>
      </c>
      <c r="Q97" s="8" t="s">
        <v>22</v>
      </c>
    </row>
    <row r="98" customFormat="false" ht="15" hidden="false" customHeight="false" outlineLevel="0" collapsed="false">
      <c r="A98" s="2" t="n">
        <v>97</v>
      </c>
      <c r="B98" s="3" t="s">
        <v>358</v>
      </c>
      <c r="C98" s="3"/>
      <c r="D98" s="4" t="s">
        <v>359</v>
      </c>
      <c r="E98" s="3" t="s">
        <v>93</v>
      </c>
      <c r="F98" s="3" t="s">
        <v>19</v>
      </c>
      <c r="G98" s="3" t="s">
        <v>360</v>
      </c>
      <c r="H98" s="3"/>
      <c r="I98" s="4"/>
      <c r="J98" s="5" t="s">
        <v>20</v>
      </c>
      <c r="K98" s="6"/>
      <c r="L98" s="5"/>
      <c r="M98" s="5"/>
      <c r="N98" s="6"/>
      <c r="O98" s="7"/>
      <c r="P98" s="8" t="s">
        <v>21</v>
      </c>
      <c r="Q98" s="8" t="s">
        <v>22</v>
      </c>
    </row>
    <row r="99" customFormat="false" ht="15" hidden="false" customHeight="false" outlineLevel="0" collapsed="false">
      <c r="A99" s="2" t="n">
        <v>98</v>
      </c>
      <c r="B99" s="3" t="s">
        <v>361</v>
      </c>
      <c r="C99" s="3" t="s">
        <v>91</v>
      </c>
      <c r="D99" s="4"/>
      <c r="E99" s="3"/>
      <c r="F99" s="3" t="s">
        <v>19</v>
      </c>
      <c r="G99" s="3" t="s">
        <v>362</v>
      </c>
      <c r="H99" s="3"/>
      <c r="I99" s="4"/>
      <c r="J99" s="5" t="s">
        <v>20</v>
      </c>
      <c r="K99" s="6"/>
      <c r="L99" s="5"/>
      <c r="M99" s="5"/>
      <c r="N99" s="6"/>
      <c r="O99" s="7"/>
      <c r="P99" s="8" t="s">
        <v>21</v>
      </c>
      <c r="Q99" s="8" t="s">
        <v>22</v>
      </c>
    </row>
    <row r="100" customFormat="false" ht="15" hidden="false" customHeight="false" outlineLevel="0" collapsed="false">
      <c r="A100" s="2" t="n">
        <v>99</v>
      </c>
      <c r="B100" s="3" t="s">
        <v>363</v>
      </c>
      <c r="C100" s="3" t="s">
        <v>120</v>
      </c>
      <c r="D100" s="4" t="s">
        <v>364</v>
      </c>
      <c r="E100" s="3" t="s">
        <v>148</v>
      </c>
      <c r="F100" s="3" t="s">
        <v>19</v>
      </c>
      <c r="G100" s="3" t="s">
        <v>365</v>
      </c>
      <c r="H100" s="3"/>
      <c r="I100" s="4" t="s">
        <v>366</v>
      </c>
      <c r="J100" s="5" t="s">
        <v>20</v>
      </c>
      <c r="K100" s="6"/>
      <c r="L100" s="5"/>
      <c r="M100" s="5"/>
      <c r="N100" s="6"/>
      <c r="O100" s="7"/>
      <c r="P100" s="8" t="s">
        <v>21</v>
      </c>
      <c r="Q100" s="8" t="s">
        <v>22</v>
      </c>
    </row>
    <row r="101" customFormat="false" ht="15" hidden="false" customHeight="false" outlineLevel="0" collapsed="false">
      <c r="A101" s="2" t="n">
        <v>100</v>
      </c>
      <c r="B101" s="3" t="s">
        <v>367</v>
      </c>
      <c r="C101" s="3"/>
      <c r="D101" s="4"/>
      <c r="E101" s="3"/>
      <c r="F101" s="3" t="s">
        <v>19</v>
      </c>
      <c r="G101" s="3"/>
      <c r="H101" s="3"/>
      <c r="I101" s="4"/>
      <c r="J101" s="5" t="s">
        <v>20</v>
      </c>
      <c r="K101" s="6"/>
      <c r="L101" s="5"/>
      <c r="M101" s="5"/>
      <c r="N101" s="6"/>
      <c r="O101" s="7"/>
      <c r="P101" s="8" t="s">
        <v>21</v>
      </c>
      <c r="Q101" s="8" t="s">
        <v>22</v>
      </c>
    </row>
    <row r="102" customFormat="false" ht="15" hidden="false" customHeight="false" outlineLevel="0" collapsed="false">
      <c r="A102" s="2" t="n">
        <v>101</v>
      </c>
      <c r="B102" s="3" t="s">
        <v>368</v>
      </c>
      <c r="C102" s="3"/>
      <c r="D102" s="4" t="s">
        <v>369</v>
      </c>
      <c r="E102" s="3" t="s">
        <v>93</v>
      </c>
      <c r="F102" s="3" t="s">
        <v>19</v>
      </c>
      <c r="G102" s="3" t="s">
        <v>370</v>
      </c>
      <c r="H102" s="8" t="s">
        <v>371</v>
      </c>
      <c r="I102" s="4" t="s">
        <v>372</v>
      </c>
      <c r="J102" s="5" t="s">
        <v>20</v>
      </c>
      <c r="K102" s="6"/>
      <c r="L102" s="5"/>
      <c r="M102" s="5"/>
      <c r="N102" s="6"/>
      <c r="O102" s="7"/>
      <c r="P102" s="8" t="s">
        <v>21</v>
      </c>
      <c r="Q102" s="8" t="s">
        <v>22</v>
      </c>
    </row>
    <row r="103" customFormat="false" ht="15" hidden="false" customHeight="false" outlineLevel="0" collapsed="false">
      <c r="A103" s="2" t="n">
        <v>102</v>
      </c>
      <c r="B103" s="3" t="s">
        <v>373</v>
      </c>
      <c r="C103" s="3"/>
      <c r="D103" s="4" t="s">
        <v>374</v>
      </c>
      <c r="E103" s="3" t="s">
        <v>93</v>
      </c>
      <c r="F103" s="3" t="s">
        <v>19</v>
      </c>
      <c r="G103" s="3" t="s">
        <v>375</v>
      </c>
      <c r="H103" s="3"/>
      <c r="I103" s="4" t="s">
        <v>376</v>
      </c>
      <c r="J103" s="5" t="s">
        <v>20</v>
      </c>
      <c r="K103" s="6"/>
      <c r="L103" s="5"/>
      <c r="M103" s="5"/>
      <c r="N103" s="6"/>
      <c r="O103" s="7"/>
      <c r="P103" s="8" t="s">
        <v>21</v>
      </c>
      <c r="Q103" s="8" t="s">
        <v>22</v>
      </c>
    </row>
    <row r="104" customFormat="false" ht="23.85" hidden="false" customHeight="false" outlineLevel="0" collapsed="false">
      <c r="A104" s="2" t="n">
        <v>103</v>
      </c>
      <c r="B104" s="3" t="s">
        <v>377</v>
      </c>
      <c r="C104" s="3" t="s">
        <v>135</v>
      </c>
      <c r="D104" s="4"/>
      <c r="E104" s="3"/>
      <c r="F104" s="3" t="s">
        <v>19</v>
      </c>
      <c r="G104" s="3" t="s">
        <v>378</v>
      </c>
      <c r="H104" s="8" t="s">
        <v>379</v>
      </c>
      <c r="I104" s="4" t="s">
        <v>380</v>
      </c>
      <c r="J104" s="5" t="s">
        <v>20</v>
      </c>
      <c r="K104" s="6"/>
      <c r="L104" s="5"/>
      <c r="M104" s="5"/>
      <c r="N104" s="6"/>
      <c r="O104" s="7"/>
      <c r="P104" s="8" t="s">
        <v>21</v>
      </c>
      <c r="Q104" s="8" t="s">
        <v>22</v>
      </c>
    </row>
    <row r="105" customFormat="false" ht="15" hidden="false" customHeight="false" outlineLevel="0" collapsed="false">
      <c r="A105" s="2" t="n">
        <v>104</v>
      </c>
      <c r="B105" s="3" t="s">
        <v>381</v>
      </c>
      <c r="C105" s="3" t="s">
        <v>126</v>
      </c>
      <c r="D105" s="4" t="s">
        <v>382</v>
      </c>
      <c r="E105" s="3"/>
      <c r="F105" s="3" t="s">
        <v>19</v>
      </c>
      <c r="G105" s="3" t="s">
        <v>383</v>
      </c>
      <c r="H105" s="8" t="s">
        <v>384</v>
      </c>
      <c r="I105" s="4" t="s">
        <v>385</v>
      </c>
      <c r="J105" s="5" t="s">
        <v>20</v>
      </c>
      <c r="K105" s="6"/>
      <c r="L105" s="5"/>
      <c r="M105" s="5"/>
      <c r="N105" s="6"/>
      <c r="O105" s="7"/>
      <c r="P105" s="8" t="s">
        <v>21</v>
      </c>
      <c r="Q105" s="8" t="s">
        <v>22</v>
      </c>
    </row>
    <row r="106" customFormat="false" ht="15" hidden="false" customHeight="false" outlineLevel="0" collapsed="false">
      <c r="A106" s="2" t="n">
        <v>105</v>
      </c>
      <c r="B106" s="3" t="s">
        <v>386</v>
      </c>
      <c r="C106" s="3" t="s">
        <v>120</v>
      </c>
      <c r="D106" s="4"/>
      <c r="E106" s="3"/>
      <c r="F106" s="3" t="s">
        <v>19</v>
      </c>
      <c r="G106" s="3" t="s">
        <v>387</v>
      </c>
      <c r="H106" s="8" t="s">
        <v>388</v>
      </c>
      <c r="I106" s="4" t="s">
        <v>389</v>
      </c>
      <c r="J106" s="5" t="s">
        <v>20</v>
      </c>
      <c r="K106" s="6"/>
      <c r="L106" s="5"/>
      <c r="M106" s="5"/>
      <c r="N106" s="6"/>
      <c r="O106" s="7"/>
      <c r="P106" s="8" t="s">
        <v>21</v>
      </c>
      <c r="Q106" s="8" t="s">
        <v>22</v>
      </c>
    </row>
    <row r="107" customFormat="false" ht="15" hidden="false" customHeight="false" outlineLevel="0" collapsed="false">
      <c r="A107" s="2" t="n">
        <v>106</v>
      </c>
      <c r="B107" s="3" t="s">
        <v>390</v>
      </c>
      <c r="C107" s="3" t="s">
        <v>391</v>
      </c>
      <c r="D107" s="4"/>
      <c r="E107" s="3"/>
      <c r="F107" s="3" t="s">
        <v>19</v>
      </c>
      <c r="G107" s="3"/>
      <c r="H107" s="3"/>
      <c r="I107" s="4" t="s">
        <v>392</v>
      </c>
      <c r="J107" s="5" t="s">
        <v>20</v>
      </c>
      <c r="K107" s="6"/>
      <c r="L107" s="5"/>
      <c r="M107" s="5"/>
      <c r="N107" s="6"/>
      <c r="O107" s="7"/>
      <c r="P107" s="8" t="s">
        <v>21</v>
      </c>
      <c r="Q107" s="8" t="s">
        <v>22</v>
      </c>
    </row>
    <row r="108" customFormat="false" ht="15" hidden="false" customHeight="false" outlineLevel="0" collapsed="false">
      <c r="A108" s="2" t="n">
        <v>107</v>
      </c>
      <c r="B108" s="3" t="s">
        <v>393</v>
      </c>
      <c r="C108" s="3" t="s">
        <v>394</v>
      </c>
      <c r="D108" s="4" t="s">
        <v>395</v>
      </c>
      <c r="E108" s="3" t="s">
        <v>93</v>
      </c>
      <c r="F108" s="3" t="s">
        <v>19</v>
      </c>
      <c r="G108" s="3" t="s">
        <v>396</v>
      </c>
      <c r="H108" s="8" t="s">
        <v>397</v>
      </c>
      <c r="I108" s="4" t="s">
        <v>398</v>
      </c>
      <c r="J108" s="5" t="s">
        <v>20</v>
      </c>
      <c r="K108" s="6"/>
      <c r="L108" s="5"/>
      <c r="M108" s="5"/>
      <c r="N108" s="6"/>
      <c r="O108" s="7"/>
      <c r="P108" s="8" t="s">
        <v>21</v>
      </c>
      <c r="Q108" s="8" t="s">
        <v>22</v>
      </c>
    </row>
    <row r="109" customFormat="false" ht="15" hidden="false" customHeight="false" outlineLevel="0" collapsed="false">
      <c r="A109" s="2" t="n">
        <v>108</v>
      </c>
      <c r="B109" s="3" t="s">
        <v>399</v>
      </c>
      <c r="C109" s="3" t="s">
        <v>120</v>
      </c>
      <c r="D109" s="4"/>
      <c r="E109" s="3"/>
      <c r="F109" s="3" t="s">
        <v>19</v>
      </c>
      <c r="G109" s="3" t="s">
        <v>400</v>
      </c>
      <c r="H109" s="8" t="s">
        <v>401</v>
      </c>
      <c r="I109" s="4" t="s">
        <v>402</v>
      </c>
      <c r="J109" s="5" t="s">
        <v>20</v>
      </c>
      <c r="K109" s="6"/>
      <c r="L109" s="5"/>
      <c r="M109" s="5"/>
      <c r="N109" s="6"/>
      <c r="O109" s="7"/>
      <c r="P109" s="8" t="s">
        <v>21</v>
      </c>
      <c r="Q109" s="8" t="s">
        <v>22</v>
      </c>
    </row>
    <row r="110" customFormat="false" ht="15" hidden="false" customHeight="false" outlineLevel="0" collapsed="false">
      <c r="A110" s="2" t="n">
        <v>109</v>
      </c>
      <c r="B110" s="3" t="s">
        <v>403</v>
      </c>
      <c r="C110" s="3"/>
      <c r="D110" s="4"/>
      <c r="E110" s="3"/>
      <c r="F110" s="3" t="s">
        <v>19</v>
      </c>
      <c r="G110" s="3"/>
      <c r="H110" s="3"/>
      <c r="I110" s="4" t="s">
        <v>404</v>
      </c>
      <c r="J110" s="5" t="s">
        <v>20</v>
      </c>
      <c r="K110" s="6"/>
      <c r="L110" s="5"/>
      <c r="M110" s="5"/>
      <c r="N110" s="6"/>
      <c r="O110" s="7"/>
      <c r="P110" s="8" t="s">
        <v>21</v>
      </c>
      <c r="Q110" s="8" t="s">
        <v>22</v>
      </c>
    </row>
    <row r="111" customFormat="false" ht="15" hidden="false" customHeight="false" outlineLevel="0" collapsed="false">
      <c r="A111" s="2" t="n">
        <v>110</v>
      </c>
      <c r="B111" s="3" t="s">
        <v>403</v>
      </c>
      <c r="C111" s="3" t="s">
        <v>326</v>
      </c>
      <c r="D111" s="4" t="s">
        <v>405</v>
      </c>
      <c r="E111" s="3"/>
      <c r="F111" s="3" t="s">
        <v>19</v>
      </c>
      <c r="G111" s="3" t="s">
        <v>406</v>
      </c>
      <c r="H111" s="3"/>
      <c r="I111" s="4" t="s">
        <v>407</v>
      </c>
      <c r="J111" s="5" t="s">
        <v>20</v>
      </c>
      <c r="K111" s="6"/>
      <c r="L111" s="5"/>
      <c r="M111" s="5"/>
      <c r="N111" s="6"/>
      <c r="O111" s="7"/>
      <c r="P111" s="8" t="s">
        <v>21</v>
      </c>
      <c r="Q111" s="8" t="s">
        <v>22</v>
      </c>
    </row>
    <row r="112" customFormat="false" ht="15" hidden="false" customHeight="false" outlineLevel="0" collapsed="false">
      <c r="A112" s="2" t="n">
        <v>111</v>
      </c>
      <c r="B112" s="3" t="s">
        <v>408</v>
      </c>
      <c r="C112" s="3" t="s">
        <v>409</v>
      </c>
      <c r="D112" s="4"/>
      <c r="E112" s="3"/>
      <c r="F112" s="3" t="s">
        <v>19</v>
      </c>
      <c r="G112" s="3"/>
      <c r="H112" s="3"/>
      <c r="I112" s="4"/>
      <c r="J112" s="5" t="s">
        <v>20</v>
      </c>
      <c r="K112" s="6"/>
      <c r="L112" s="5"/>
      <c r="M112" s="5"/>
      <c r="N112" s="6"/>
      <c r="O112" s="7"/>
      <c r="P112" s="8" t="s">
        <v>21</v>
      </c>
      <c r="Q112" s="8" t="s">
        <v>22</v>
      </c>
    </row>
    <row r="113" customFormat="false" ht="15" hidden="false" customHeight="false" outlineLevel="0" collapsed="false">
      <c r="A113" s="2" t="n">
        <v>112</v>
      </c>
      <c r="B113" s="3" t="s">
        <v>410</v>
      </c>
      <c r="C113" s="3" t="s">
        <v>120</v>
      </c>
      <c r="D113" s="4"/>
      <c r="E113" s="3"/>
      <c r="F113" s="3" t="s">
        <v>19</v>
      </c>
      <c r="G113" s="3"/>
      <c r="H113" s="3"/>
      <c r="I113" s="4"/>
      <c r="J113" s="5" t="s">
        <v>20</v>
      </c>
      <c r="K113" s="6"/>
      <c r="L113" s="5"/>
      <c r="M113" s="5"/>
      <c r="N113" s="6"/>
      <c r="O113" s="7"/>
      <c r="P113" s="8" t="s">
        <v>21</v>
      </c>
      <c r="Q113" s="8" t="s">
        <v>22</v>
      </c>
    </row>
    <row r="114" customFormat="false" ht="15" hidden="false" customHeight="false" outlineLevel="0" collapsed="false">
      <c r="A114" s="2" t="n">
        <v>113</v>
      </c>
      <c r="B114" s="3" t="s">
        <v>411</v>
      </c>
      <c r="C114" s="3" t="s">
        <v>412</v>
      </c>
      <c r="D114" s="4" t="s">
        <v>413</v>
      </c>
      <c r="E114" s="3"/>
      <c r="F114" s="3" t="s">
        <v>19</v>
      </c>
      <c r="G114" s="3" t="s">
        <v>414</v>
      </c>
      <c r="H114" s="8" t="s">
        <v>415</v>
      </c>
      <c r="I114" s="4" t="s">
        <v>416</v>
      </c>
      <c r="J114" s="5" t="s">
        <v>20</v>
      </c>
      <c r="K114" s="6"/>
      <c r="L114" s="5"/>
      <c r="M114" s="5"/>
      <c r="N114" s="6"/>
      <c r="O114" s="7"/>
      <c r="P114" s="8" t="s">
        <v>21</v>
      </c>
      <c r="Q114" s="8" t="s">
        <v>22</v>
      </c>
    </row>
    <row r="115" customFormat="false" ht="15" hidden="false" customHeight="false" outlineLevel="0" collapsed="false">
      <c r="A115" s="2" t="n">
        <v>114</v>
      </c>
      <c r="B115" s="3" t="s">
        <v>417</v>
      </c>
      <c r="C115" s="3" t="s">
        <v>418</v>
      </c>
      <c r="D115" s="4"/>
      <c r="E115" s="3"/>
      <c r="F115" s="3" t="s">
        <v>19</v>
      </c>
      <c r="G115" s="3"/>
      <c r="H115" s="3"/>
      <c r="I115" s="4"/>
      <c r="J115" s="5" t="s">
        <v>20</v>
      </c>
      <c r="K115" s="6"/>
      <c r="L115" s="5"/>
      <c r="M115" s="5"/>
      <c r="N115" s="6"/>
      <c r="O115" s="7"/>
      <c r="P115" s="8" t="s">
        <v>21</v>
      </c>
      <c r="Q115" s="8" t="s">
        <v>22</v>
      </c>
    </row>
    <row r="116" customFormat="false" ht="35.05" hidden="false" customHeight="false" outlineLevel="0" collapsed="false">
      <c r="A116" s="2" t="n">
        <v>115</v>
      </c>
      <c r="B116" s="3" t="s">
        <v>419</v>
      </c>
      <c r="C116" s="3" t="s">
        <v>420</v>
      </c>
      <c r="D116" s="4"/>
      <c r="E116" s="3"/>
      <c r="F116" s="3" t="s">
        <v>19</v>
      </c>
      <c r="G116" s="3" t="s">
        <v>421</v>
      </c>
      <c r="H116" s="8" t="s">
        <v>422</v>
      </c>
      <c r="I116" s="4" t="s">
        <v>423</v>
      </c>
      <c r="J116" s="5" t="s">
        <v>20</v>
      </c>
      <c r="K116" s="6"/>
      <c r="L116" s="5"/>
      <c r="M116" s="5"/>
      <c r="N116" s="6"/>
      <c r="O116" s="7"/>
      <c r="P116" s="8" t="s">
        <v>21</v>
      </c>
      <c r="Q116" s="8" t="s">
        <v>22</v>
      </c>
    </row>
    <row r="117" customFormat="false" ht="15" hidden="false" customHeight="false" outlineLevel="0" collapsed="false">
      <c r="A117" s="2" t="n">
        <v>116</v>
      </c>
      <c r="B117" s="3" t="s">
        <v>424</v>
      </c>
      <c r="C117" s="3"/>
      <c r="D117" s="4"/>
      <c r="E117" s="3"/>
      <c r="F117" s="3" t="s">
        <v>19</v>
      </c>
      <c r="G117" s="3"/>
      <c r="H117" s="8" t="s">
        <v>425</v>
      </c>
      <c r="I117" s="4" t="s">
        <v>426</v>
      </c>
      <c r="J117" s="5" t="s">
        <v>20</v>
      </c>
      <c r="K117" s="6"/>
      <c r="L117" s="5"/>
      <c r="M117" s="5"/>
      <c r="N117" s="6"/>
      <c r="O117" s="7"/>
      <c r="P117" s="8" t="s">
        <v>21</v>
      </c>
      <c r="Q117" s="8" t="s">
        <v>22</v>
      </c>
    </row>
    <row r="118" customFormat="false" ht="15" hidden="false" customHeight="false" outlineLevel="0" collapsed="false">
      <c r="A118" s="2" t="n">
        <v>117</v>
      </c>
      <c r="B118" s="3" t="s">
        <v>427</v>
      </c>
      <c r="C118" s="3" t="s">
        <v>428</v>
      </c>
      <c r="D118" s="4"/>
      <c r="E118" s="3"/>
      <c r="F118" s="3" t="s">
        <v>19</v>
      </c>
      <c r="G118" s="3"/>
      <c r="H118" s="3"/>
      <c r="I118" s="4"/>
      <c r="J118" s="5" t="s">
        <v>20</v>
      </c>
      <c r="K118" s="6"/>
      <c r="L118" s="5"/>
      <c r="M118" s="5"/>
      <c r="N118" s="6"/>
      <c r="O118" s="7"/>
      <c r="P118" s="8" t="s">
        <v>21</v>
      </c>
      <c r="Q118" s="8" t="s">
        <v>22</v>
      </c>
    </row>
    <row r="119" customFormat="false" ht="15" hidden="false" customHeight="false" outlineLevel="0" collapsed="false">
      <c r="A119" s="2" t="n">
        <v>118</v>
      </c>
      <c r="B119" s="3" t="s">
        <v>429</v>
      </c>
      <c r="C119" s="3" t="s">
        <v>430</v>
      </c>
      <c r="D119" s="4"/>
      <c r="E119" s="3"/>
      <c r="F119" s="3" t="s">
        <v>19</v>
      </c>
      <c r="G119" s="3" t="s">
        <v>431</v>
      </c>
      <c r="H119" s="8" t="s">
        <v>432</v>
      </c>
      <c r="I119" s="4"/>
      <c r="J119" s="5" t="s">
        <v>20</v>
      </c>
      <c r="K119" s="6"/>
      <c r="L119" s="5"/>
      <c r="M119" s="5"/>
      <c r="N119" s="6"/>
      <c r="O119" s="7"/>
      <c r="P119" s="8" t="s">
        <v>21</v>
      </c>
      <c r="Q119" s="8" t="s">
        <v>22</v>
      </c>
    </row>
    <row r="120" customFormat="false" ht="15" hidden="false" customHeight="false" outlineLevel="0" collapsed="false">
      <c r="A120" s="2" t="n">
        <v>119</v>
      </c>
      <c r="B120" s="3" t="s">
        <v>433</v>
      </c>
      <c r="C120" s="3"/>
      <c r="D120" s="4"/>
      <c r="E120" s="3"/>
      <c r="F120" s="3" t="s">
        <v>19</v>
      </c>
      <c r="G120" s="3" t="s">
        <v>434</v>
      </c>
      <c r="H120" s="8" t="s">
        <v>435</v>
      </c>
      <c r="I120" s="4"/>
      <c r="J120" s="5" t="s">
        <v>20</v>
      </c>
      <c r="K120" s="6"/>
      <c r="L120" s="5"/>
      <c r="M120" s="5"/>
      <c r="N120" s="6"/>
      <c r="O120" s="7"/>
      <c r="P120" s="8" t="s">
        <v>21</v>
      </c>
      <c r="Q120" s="8" t="s">
        <v>22</v>
      </c>
    </row>
    <row r="121" customFormat="false" ht="23.85" hidden="false" customHeight="false" outlineLevel="0" collapsed="false">
      <c r="A121" s="2" t="n">
        <v>120</v>
      </c>
      <c r="B121" s="3" t="s">
        <v>436</v>
      </c>
      <c r="C121" s="3"/>
      <c r="D121" s="4"/>
      <c r="E121" s="3"/>
      <c r="F121" s="3" t="s">
        <v>19</v>
      </c>
      <c r="G121" s="3"/>
      <c r="H121" s="3"/>
      <c r="I121" s="4" t="s">
        <v>437</v>
      </c>
      <c r="J121" s="5" t="s">
        <v>20</v>
      </c>
      <c r="K121" s="6"/>
      <c r="L121" s="5"/>
      <c r="M121" s="5"/>
      <c r="N121" s="6"/>
      <c r="O121" s="7"/>
      <c r="P121" s="8" t="s">
        <v>21</v>
      </c>
      <c r="Q121" s="8" t="s">
        <v>22</v>
      </c>
    </row>
    <row r="122" customFormat="false" ht="15" hidden="false" customHeight="false" outlineLevel="0" collapsed="false">
      <c r="A122" s="2" t="n">
        <v>121</v>
      </c>
      <c r="B122" s="3" t="s">
        <v>438</v>
      </c>
      <c r="C122" s="3" t="s">
        <v>439</v>
      </c>
      <c r="D122" s="4"/>
      <c r="E122" s="3"/>
      <c r="F122" s="3" t="s">
        <v>19</v>
      </c>
      <c r="G122" s="3" t="s">
        <v>440</v>
      </c>
      <c r="H122" s="8" t="s">
        <v>441</v>
      </c>
      <c r="I122" s="4" t="s">
        <v>442</v>
      </c>
      <c r="J122" s="5" t="s">
        <v>20</v>
      </c>
      <c r="K122" s="6"/>
      <c r="L122" s="5"/>
      <c r="M122" s="5"/>
      <c r="N122" s="6"/>
      <c r="O122" s="7"/>
      <c r="P122" s="8" t="s">
        <v>21</v>
      </c>
      <c r="Q122" s="8" t="s">
        <v>22</v>
      </c>
    </row>
    <row r="123" customFormat="false" ht="15" hidden="false" customHeight="false" outlineLevel="0" collapsed="false">
      <c r="A123" s="2" t="n">
        <v>122</v>
      </c>
      <c r="B123" s="3" t="s">
        <v>443</v>
      </c>
      <c r="C123" s="3" t="s">
        <v>444</v>
      </c>
      <c r="D123" s="4"/>
      <c r="E123" s="3"/>
      <c r="F123" s="3" t="s">
        <v>19</v>
      </c>
      <c r="G123" s="3"/>
      <c r="H123" s="3"/>
      <c r="I123" s="4"/>
      <c r="J123" s="5" t="s">
        <v>20</v>
      </c>
      <c r="K123" s="6"/>
      <c r="L123" s="5"/>
      <c r="M123" s="5"/>
      <c r="N123" s="6"/>
      <c r="O123" s="7"/>
      <c r="P123" s="8" t="s">
        <v>21</v>
      </c>
      <c r="Q123" s="8" t="s">
        <v>22</v>
      </c>
    </row>
    <row r="124" customFormat="false" ht="15" hidden="false" customHeight="false" outlineLevel="0" collapsed="false">
      <c r="A124" s="2" t="n">
        <v>123</v>
      </c>
      <c r="B124" s="3" t="s">
        <v>445</v>
      </c>
      <c r="C124" s="3"/>
      <c r="D124" s="4"/>
      <c r="E124" s="3"/>
      <c r="F124" s="3" t="s">
        <v>19</v>
      </c>
      <c r="G124" s="3" t="s">
        <v>446</v>
      </c>
      <c r="H124" s="3"/>
      <c r="I124" s="4"/>
      <c r="J124" s="5" t="s">
        <v>20</v>
      </c>
      <c r="K124" s="6"/>
      <c r="L124" s="5"/>
      <c r="M124" s="5"/>
      <c r="N124" s="6"/>
      <c r="O124" s="7"/>
      <c r="P124" s="8" t="s">
        <v>21</v>
      </c>
      <c r="Q124" s="8" t="s">
        <v>22</v>
      </c>
    </row>
    <row r="125" customFormat="false" ht="23.85" hidden="false" customHeight="false" outlineLevel="0" collapsed="false">
      <c r="A125" s="2" t="n">
        <v>124</v>
      </c>
      <c r="B125" s="3" t="s">
        <v>447</v>
      </c>
      <c r="C125" s="3"/>
      <c r="D125" s="4"/>
      <c r="E125" s="3"/>
      <c r="F125" s="3" t="s">
        <v>19</v>
      </c>
      <c r="G125" s="3" t="s">
        <v>448</v>
      </c>
      <c r="H125" s="8" t="s">
        <v>449</v>
      </c>
      <c r="I125" s="4" t="s">
        <v>450</v>
      </c>
      <c r="J125" s="5" t="s">
        <v>20</v>
      </c>
      <c r="K125" s="6"/>
      <c r="L125" s="5"/>
      <c r="M125" s="5"/>
      <c r="N125" s="6"/>
      <c r="O125" s="7"/>
      <c r="P125" s="8" t="s">
        <v>21</v>
      </c>
      <c r="Q125" s="8" t="s">
        <v>22</v>
      </c>
    </row>
    <row r="126" customFormat="false" ht="15" hidden="false" customHeight="false" outlineLevel="0" collapsed="false">
      <c r="A126" s="2" t="n">
        <v>125</v>
      </c>
      <c r="B126" s="3" t="s">
        <v>451</v>
      </c>
      <c r="C126" s="3"/>
      <c r="D126" s="4" t="s">
        <v>452</v>
      </c>
      <c r="E126" s="3" t="s">
        <v>93</v>
      </c>
      <c r="F126" s="3" t="s">
        <v>19</v>
      </c>
      <c r="G126" s="3" t="s">
        <v>453</v>
      </c>
      <c r="H126" s="8" t="s">
        <v>454</v>
      </c>
      <c r="I126" s="4" t="s">
        <v>455</v>
      </c>
      <c r="J126" s="5" t="s">
        <v>20</v>
      </c>
      <c r="K126" s="6"/>
      <c r="L126" s="5"/>
      <c r="M126" s="5"/>
      <c r="N126" s="6"/>
      <c r="O126" s="7"/>
      <c r="P126" s="8" t="s">
        <v>21</v>
      </c>
      <c r="Q126" s="8" t="s">
        <v>22</v>
      </c>
    </row>
    <row r="127" customFormat="false" ht="15" hidden="false" customHeight="false" outlineLevel="0" collapsed="false">
      <c r="A127" s="2" t="n">
        <v>126</v>
      </c>
      <c r="B127" s="3" t="s">
        <v>456</v>
      </c>
      <c r="C127" s="3"/>
      <c r="D127" s="4"/>
      <c r="E127" s="3"/>
      <c r="F127" s="3" t="s">
        <v>19</v>
      </c>
      <c r="G127" s="3" t="s">
        <v>457</v>
      </c>
      <c r="H127" s="8" t="s">
        <v>458</v>
      </c>
      <c r="I127" s="4"/>
      <c r="J127" s="5" t="s">
        <v>20</v>
      </c>
      <c r="K127" s="6"/>
      <c r="L127" s="5"/>
      <c r="M127" s="5"/>
      <c r="N127" s="6"/>
      <c r="O127" s="7"/>
      <c r="P127" s="8" t="s">
        <v>21</v>
      </c>
      <c r="Q127" s="8" t="s">
        <v>22</v>
      </c>
    </row>
    <row r="128" customFormat="false" ht="15" hidden="false" customHeight="false" outlineLevel="0" collapsed="false">
      <c r="A128" s="2" t="n">
        <v>127</v>
      </c>
      <c r="B128" s="3" t="s">
        <v>459</v>
      </c>
      <c r="C128" s="3"/>
      <c r="D128" s="4"/>
      <c r="E128" s="3"/>
      <c r="F128" s="3" t="s">
        <v>19</v>
      </c>
      <c r="G128" s="3"/>
      <c r="H128" s="3"/>
      <c r="I128" s="4"/>
      <c r="J128" s="5" t="s">
        <v>20</v>
      </c>
      <c r="K128" s="6"/>
      <c r="L128" s="5"/>
      <c r="M128" s="5"/>
      <c r="N128" s="6"/>
      <c r="O128" s="7"/>
      <c r="P128" s="8" t="s">
        <v>21</v>
      </c>
      <c r="Q128" s="8" t="s">
        <v>22</v>
      </c>
    </row>
    <row r="129" customFormat="false" ht="15" hidden="false" customHeight="false" outlineLevel="0" collapsed="false">
      <c r="A129" s="2" t="n">
        <v>128</v>
      </c>
      <c r="B129" s="3" t="s">
        <v>460</v>
      </c>
      <c r="C129" s="3" t="s">
        <v>394</v>
      </c>
      <c r="D129" s="4"/>
      <c r="E129" s="3"/>
      <c r="F129" s="3" t="s">
        <v>19</v>
      </c>
      <c r="G129" s="3"/>
      <c r="H129" s="8" t="s">
        <v>461</v>
      </c>
      <c r="I129" s="4" t="s">
        <v>462</v>
      </c>
      <c r="J129" s="5" t="s">
        <v>20</v>
      </c>
      <c r="K129" s="6"/>
      <c r="L129" s="5"/>
      <c r="M129" s="5"/>
      <c r="N129" s="6"/>
      <c r="O129" s="7"/>
      <c r="P129" s="8" t="s">
        <v>21</v>
      </c>
      <c r="Q129" s="8" t="s">
        <v>22</v>
      </c>
    </row>
    <row r="130" customFormat="false" ht="15" hidden="false" customHeight="false" outlineLevel="0" collapsed="false">
      <c r="A130" s="2" t="n">
        <v>129</v>
      </c>
      <c r="B130" s="3" t="s">
        <v>463</v>
      </c>
      <c r="C130" s="3" t="s">
        <v>24</v>
      </c>
      <c r="D130" s="4"/>
      <c r="E130" s="3"/>
      <c r="F130" s="3" t="s">
        <v>19</v>
      </c>
      <c r="G130" s="3"/>
      <c r="H130" s="3"/>
      <c r="I130" s="4" t="s">
        <v>464</v>
      </c>
      <c r="J130" s="5" t="s">
        <v>20</v>
      </c>
      <c r="K130" s="6"/>
      <c r="L130" s="5"/>
      <c r="M130" s="5"/>
      <c r="N130" s="6"/>
      <c r="O130" s="7"/>
      <c r="P130" s="8" t="s">
        <v>21</v>
      </c>
      <c r="Q130" s="8" t="s">
        <v>22</v>
      </c>
    </row>
    <row r="131" customFormat="false" ht="15" hidden="false" customHeight="false" outlineLevel="0" collapsed="false">
      <c r="A131" s="2" t="n">
        <v>130</v>
      </c>
      <c r="B131" s="3" t="s">
        <v>465</v>
      </c>
      <c r="C131" s="3" t="s">
        <v>34</v>
      </c>
      <c r="D131" s="4" t="s">
        <v>466</v>
      </c>
      <c r="E131" s="3" t="s">
        <v>93</v>
      </c>
      <c r="F131" s="3" t="s">
        <v>19</v>
      </c>
      <c r="G131" s="3" t="s">
        <v>467</v>
      </c>
      <c r="H131" s="3"/>
      <c r="I131" s="4" t="s">
        <v>468</v>
      </c>
      <c r="J131" s="5" t="s">
        <v>20</v>
      </c>
      <c r="K131" s="6"/>
      <c r="L131" s="5"/>
      <c r="M131" s="5"/>
      <c r="N131" s="6"/>
      <c r="O131" s="7"/>
      <c r="P131" s="8" t="s">
        <v>21</v>
      </c>
      <c r="Q131" s="8" t="s">
        <v>22</v>
      </c>
    </row>
    <row r="132" customFormat="false" ht="15" hidden="false" customHeight="false" outlineLevel="0" collapsed="false">
      <c r="A132" s="2" t="n">
        <v>131</v>
      </c>
      <c r="B132" s="3" t="s">
        <v>469</v>
      </c>
      <c r="C132" s="3" t="s">
        <v>116</v>
      </c>
      <c r="D132" s="4"/>
      <c r="E132" s="3"/>
      <c r="F132" s="3" t="s">
        <v>19</v>
      </c>
      <c r="G132" s="3"/>
      <c r="H132" s="3"/>
      <c r="I132" s="4"/>
      <c r="J132" s="5" t="s">
        <v>20</v>
      </c>
      <c r="K132" s="6"/>
      <c r="L132" s="5"/>
      <c r="M132" s="5"/>
      <c r="N132" s="6"/>
      <c r="O132" s="7"/>
      <c r="P132" s="8" t="s">
        <v>21</v>
      </c>
      <c r="Q132" s="8" t="s">
        <v>22</v>
      </c>
    </row>
    <row r="133" customFormat="false" ht="15" hidden="false" customHeight="false" outlineLevel="0" collapsed="false">
      <c r="A133" s="2" t="n">
        <v>132</v>
      </c>
      <c r="B133" s="3" t="s">
        <v>470</v>
      </c>
      <c r="C133" s="3" t="s">
        <v>126</v>
      </c>
      <c r="D133" s="4" t="s">
        <v>471</v>
      </c>
      <c r="E133" s="3" t="s">
        <v>93</v>
      </c>
      <c r="F133" s="3" t="s">
        <v>19</v>
      </c>
      <c r="G133" s="3" t="s">
        <v>472</v>
      </c>
      <c r="H133" s="8" t="s">
        <v>473</v>
      </c>
      <c r="I133" s="4" t="s">
        <v>474</v>
      </c>
      <c r="J133" s="5" t="s">
        <v>20</v>
      </c>
      <c r="K133" s="6"/>
      <c r="L133" s="5"/>
      <c r="M133" s="5"/>
      <c r="N133" s="6"/>
      <c r="O133" s="7"/>
      <c r="P133" s="8" t="s">
        <v>21</v>
      </c>
      <c r="Q133" s="8" t="s">
        <v>22</v>
      </c>
    </row>
    <row r="134" customFormat="false" ht="15" hidden="false" customHeight="false" outlineLevel="0" collapsed="false">
      <c r="A134" s="2" t="n">
        <v>133</v>
      </c>
      <c r="B134" s="3" t="s">
        <v>475</v>
      </c>
      <c r="C134" s="3" t="s">
        <v>64</v>
      </c>
      <c r="D134" s="4"/>
      <c r="E134" s="3"/>
      <c r="F134" s="3" t="s">
        <v>19</v>
      </c>
      <c r="G134" s="3" t="s">
        <v>476</v>
      </c>
      <c r="H134" s="8" t="s">
        <v>477</v>
      </c>
      <c r="I134" s="4" t="s">
        <v>478</v>
      </c>
      <c r="J134" s="5" t="s">
        <v>20</v>
      </c>
      <c r="K134" s="6"/>
      <c r="L134" s="5"/>
      <c r="M134" s="5"/>
      <c r="N134" s="6"/>
      <c r="O134" s="7"/>
      <c r="P134" s="8" t="s">
        <v>21</v>
      </c>
      <c r="Q134" s="8" t="s">
        <v>22</v>
      </c>
    </row>
    <row r="135" customFormat="false" ht="15" hidden="false" customHeight="false" outlineLevel="0" collapsed="false">
      <c r="A135" s="2" t="n">
        <v>134</v>
      </c>
      <c r="B135" s="3" t="s">
        <v>479</v>
      </c>
      <c r="C135" s="3" t="s">
        <v>120</v>
      </c>
      <c r="D135" s="4" t="s">
        <v>480</v>
      </c>
      <c r="E135" s="3"/>
      <c r="F135" s="3" t="s">
        <v>19</v>
      </c>
      <c r="G135" s="3" t="s">
        <v>481</v>
      </c>
      <c r="H135" s="8" t="s">
        <v>482</v>
      </c>
      <c r="I135" s="4"/>
      <c r="J135" s="5" t="s">
        <v>20</v>
      </c>
      <c r="K135" s="6"/>
      <c r="L135" s="5"/>
      <c r="M135" s="5"/>
      <c r="N135" s="6"/>
      <c r="O135" s="7"/>
      <c r="P135" s="8" t="s">
        <v>21</v>
      </c>
      <c r="Q135" s="8" t="s">
        <v>22</v>
      </c>
    </row>
    <row r="136" customFormat="false" ht="15" hidden="false" customHeight="false" outlineLevel="0" collapsed="false">
      <c r="A136" s="2" t="n">
        <v>135</v>
      </c>
      <c r="B136" s="3" t="s">
        <v>483</v>
      </c>
      <c r="C136" s="3" t="s">
        <v>120</v>
      </c>
      <c r="D136" s="4"/>
      <c r="E136" s="3"/>
      <c r="F136" s="3" t="s">
        <v>19</v>
      </c>
      <c r="G136" s="3" t="s">
        <v>484</v>
      </c>
      <c r="H136" s="3"/>
      <c r="I136" s="4" t="s">
        <v>485</v>
      </c>
      <c r="J136" s="5" t="s">
        <v>20</v>
      </c>
      <c r="K136" s="6"/>
      <c r="L136" s="5"/>
      <c r="M136" s="5"/>
      <c r="N136" s="6"/>
      <c r="O136" s="7"/>
      <c r="P136" s="8" t="s">
        <v>21</v>
      </c>
      <c r="Q136" s="8" t="s">
        <v>22</v>
      </c>
    </row>
    <row r="137" customFormat="false" ht="15" hidden="false" customHeight="false" outlineLevel="0" collapsed="false">
      <c r="A137" s="2" t="n">
        <v>136</v>
      </c>
      <c r="B137" s="3" t="s">
        <v>486</v>
      </c>
      <c r="C137" s="3"/>
      <c r="D137" s="4"/>
      <c r="E137" s="3"/>
      <c r="F137" s="3" t="s">
        <v>19</v>
      </c>
      <c r="G137" s="3" t="s">
        <v>487</v>
      </c>
      <c r="H137" s="8" t="s">
        <v>488</v>
      </c>
      <c r="I137" s="4" t="s">
        <v>489</v>
      </c>
      <c r="J137" s="5" t="s">
        <v>20</v>
      </c>
      <c r="K137" s="6"/>
      <c r="L137" s="5"/>
      <c r="M137" s="5"/>
      <c r="N137" s="6"/>
      <c r="O137" s="7"/>
      <c r="P137" s="8" t="s">
        <v>21</v>
      </c>
      <c r="Q137" s="8" t="s">
        <v>22</v>
      </c>
    </row>
    <row r="138" customFormat="false" ht="23.85" hidden="false" customHeight="false" outlineLevel="0" collapsed="false">
      <c r="A138" s="2" t="n">
        <v>137</v>
      </c>
      <c r="B138" s="3" t="s">
        <v>490</v>
      </c>
      <c r="C138" s="3" t="s">
        <v>38</v>
      </c>
      <c r="D138" s="4" t="s">
        <v>491</v>
      </c>
      <c r="E138" s="3" t="s">
        <v>93</v>
      </c>
      <c r="F138" s="3" t="s">
        <v>19</v>
      </c>
      <c r="G138" s="3" t="s">
        <v>492</v>
      </c>
      <c r="H138" s="8" t="s">
        <v>493</v>
      </c>
      <c r="I138" s="4" t="s">
        <v>494</v>
      </c>
      <c r="J138" s="5" t="s">
        <v>20</v>
      </c>
      <c r="K138" s="6"/>
      <c r="L138" s="5"/>
      <c r="M138" s="5"/>
      <c r="N138" s="6"/>
      <c r="O138" s="7"/>
      <c r="P138" s="8" t="s">
        <v>21</v>
      </c>
      <c r="Q138" s="8" t="s">
        <v>22</v>
      </c>
    </row>
    <row r="139" customFormat="false" ht="15" hidden="false" customHeight="false" outlineLevel="0" collapsed="false">
      <c r="A139" s="2" t="n">
        <v>138</v>
      </c>
      <c r="B139" s="3" t="s">
        <v>495</v>
      </c>
      <c r="C139" s="3" t="s">
        <v>120</v>
      </c>
      <c r="D139" s="4"/>
      <c r="E139" s="3"/>
      <c r="F139" s="3" t="s">
        <v>19</v>
      </c>
      <c r="G139" s="3" t="s">
        <v>496</v>
      </c>
      <c r="H139" s="8" t="s">
        <v>497</v>
      </c>
      <c r="I139" s="4" t="s">
        <v>498</v>
      </c>
      <c r="J139" s="5" t="s">
        <v>20</v>
      </c>
      <c r="K139" s="6"/>
      <c r="L139" s="5"/>
      <c r="M139" s="5"/>
      <c r="N139" s="6"/>
      <c r="O139" s="7"/>
      <c r="P139" s="8" t="s">
        <v>21</v>
      </c>
      <c r="Q139" s="8" t="s">
        <v>22</v>
      </c>
    </row>
    <row r="140" customFormat="false" ht="35.05" hidden="false" customHeight="false" outlineLevel="0" collapsed="false">
      <c r="A140" s="2" t="n">
        <v>139</v>
      </c>
      <c r="B140" s="3" t="s">
        <v>499</v>
      </c>
      <c r="C140" s="3" t="s">
        <v>120</v>
      </c>
      <c r="D140" s="4"/>
      <c r="E140" s="3"/>
      <c r="F140" s="3" t="s">
        <v>19</v>
      </c>
      <c r="G140" s="3" t="s">
        <v>500</v>
      </c>
      <c r="H140" s="3"/>
      <c r="I140" s="4" t="s">
        <v>501</v>
      </c>
      <c r="J140" s="5" t="s">
        <v>20</v>
      </c>
      <c r="K140" s="6"/>
      <c r="L140" s="5"/>
      <c r="M140" s="5"/>
      <c r="N140" s="6"/>
      <c r="O140" s="7"/>
      <c r="P140" s="8" t="s">
        <v>21</v>
      </c>
      <c r="Q140" s="8" t="s">
        <v>22</v>
      </c>
    </row>
    <row r="141" customFormat="false" ht="15" hidden="false" customHeight="false" outlineLevel="0" collapsed="false">
      <c r="A141" s="2" t="n">
        <v>140</v>
      </c>
      <c r="B141" s="3" t="s">
        <v>502</v>
      </c>
      <c r="C141" s="3"/>
      <c r="D141" s="4"/>
      <c r="E141" s="3"/>
      <c r="F141" s="3" t="s">
        <v>19</v>
      </c>
      <c r="G141" s="3"/>
      <c r="H141" s="3"/>
      <c r="I141" s="4" t="s">
        <v>503</v>
      </c>
      <c r="J141" s="5" t="s">
        <v>20</v>
      </c>
      <c r="K141" s="6"/>
      <c r="L141" s="5"/>
      <c r="M141" s="5"/>
      <c r="N141" s="6"/>
      <c r="O141" s="7"/>
      <c r="P141" s="8" t="s">
        <v>21</v>
      </c>
      <c r="Q141" s="8" t="s">
        <v>22</v>
      </c>
    </row>
    <row r="142" customFormat="false" ht="15" hidden="false" customHeight="false" outlineLevel="0" collapsed="false">
      <c r="A142" s="2" t="n">
        <v>141</v>
      </c>
      <c r="B142" s="3" t="s">
        <v>504</v>
      </c>
      <c r="C142" s="3"/>
      <c r="D142" s="4"/>
      <c r="E142" s="3"/>
      <c r="F142" s="3" t="s">
        <v>19</v>
      </c>
      <c r="G142" s="3"/>
      <c r="H142" s="8" t="s">
        <v>505</v>
      </c>
      <c r="I142" s="4" t="s">
        <v>402</v>
      </c>
      <c r="J142" s="5" t="s">
        <v>20</v>
      </c>
      <c r="K142" s="6"/>
      <c r="L142" s="5"/>
      <c r="M142" s="5"/>
      <c r="N142" s="6"/>
      <c r="O142" s="7"/>
      <c r="P142" s="8" t="s">
        <v>21</v>
      </c>
      <c r="Q142" s="8" t="s">
        <v>22</v>
      </c>
    </row>
    <row r="143" customFormat="false" ht="15" hidden="false" customHeight="false" outlineLevel="0" collapsed="false">
      <c r="A143" s="2" t="n">
        <v>142</v>
      </c>
      <c r="B143" s="3" t="s">
        <v>506</v>
      </c>
      <c r="C143" s="3" t="s">
        <v>120</v>
      </c>
      <c r="D143" s="4"/>
      <c r="E143" s="3"/>
      <c r="F143" s="3" t="s">
        <v>19</v>
      </c>
      <c r="G143" s="3" t="s">
        <v>507</v>
      </c>
      <c r="H143" s="8" t="s">
        <v>508</v>
      </c>
      <c r="I143" s="4" t="s">
        <v>509</v>
      </c>
      <c r="J143" s="5" t="s">
        <v>20</v>
      </c>
      <c r="K143" s="6"/>
      <c r="L143" s="5"/>
      <c r="M143" s="5"/>
      <c r="N143" s="6"/>
      <c r="O143" s="7"/>
      <c r="P143" s="8" t="s">
        <v>21</v>
      </c>
      <c r="Q143" s="8" t="s">
        <v>22</v>
      </c>
    </row>
    <row r="144" customFormat="false" ht="15" hidden="false" customHeight="false" outlineLevel="0" collapsed="false">
      <c r="A144" s="2" t="n">
        <v>143</v>
      </c>
      <c r="B144" s="3" t="s">
        <v>506</v>
      </c>
      <c r="C144" s="3" t="s">
        <v>120</v>
      </c>
      <c r="D144" s="4" t="s">
        <v>510</v>
      </c>
      <c r="E144" s="3"/>
      <c r="F144" s="3" t="s">
        <v>19</v>
      </c>
      <c r="G144" s="3"/>
      <c r="H144" s="3"/>
      <c r="I144" s="4" t="s">
        <v>511</v>
      </c>
      <c r="J144" s="5" t="s">
        <v>20</v>
      </c>
      <c r="K144" s="6"/>
      <c r="L144" s="5"/>
      <c r="M144" s="5"/>
      <c r="N144" s="6"/>
      <c r="O144" s="7"/>
      <c r="P144" s="8" t="s">
        <v>21</v>
      </c>
      <c r="Q144" s="8" t="s">
        <v>22</v>
      </c>
    </row>
    <row r="145" customFormat="false" ht="15" hidden="false" customHeight="false" outlineLevel="0" collapsed="false">
      <c r="A145" s="2" t="n">
        <v>144</v>
      </c>
      <c r="B145" s="3" t="s">
        <v>512</v>
      </c>
      <c r="C145" s="3"/>
      <c r="D145" s="4"/>
      <c r="E145" s="3"/>
      <c r="F145" s="3" t="s">
        <v>19</v>
      </c>
      <c r="G145" s="3"/>
      <c r="H145" s="3"/>
      <c r="I145" s="4"/>
      <c r="J145" s="5" t="s">
        <v>20</v>
      </c>
      <c r="K145" s="6"/>
      <c r="L145" s="5"/>
      <c r="M145" s="5"/>
      <c r="N145" s="6"/>
      <c r="O145" s="7"/>
      <c r="P145" s="8" t="s">
        <v>21</v>
      </c>
      <c r="Q145" s="8" t="s">
        <v>22</v>
      </c>
    </row>
    <row r="146" customFormat="false" ht="15" hidden="false" customHeight="false" outlineLevel="0" collapsed="false">
      <c r="A146" s="2" t="n">
        <v>145</v>
      </c>
      <c r="B146" s="3" t="s">
        <v>513</v>
      </c>
      <c r="C146" s="3"/>
      <c r="D146" s="4"/>
      <c r="E146" s="3"/>
      <c r="F146" s="3" t="s">
        <v>19</v>
      </c>
      <c r="G146" s="3" t="s">
        <v>514</v>
      </c>
      <c r="H146" s="8" t="s">
        <v>515</v>
      </c>
      <c r="I146" s="4" t="s">
        <v>516</v>
      </c>
      <c r="J146" s="5" t="s">
        <v>20</v>
      </c>
      <c r="K146" s="6"/>
      <c r="L146" s="5"/>
      <c r="M146" s="5"/>
      <c r="N146" s="6"/>
      <c r="O146" s="7"/>
      <c r="P146" s="8" t="s">
        <v>21</v>
      </c>
      <c r="Q146" s="8" t="s">
        <v>22</v>
      </c>
    </row>
    <row r="147" customFormat="false" ht="15" hidden="false" customHeight="false" outlineLevel="0" collapsed="false">
      <c r="A147" s="2" t="n">
        <v>146</v>
      </c>
      <c r="B147" s="3" t="s">
        <v>517</v>
      </c>
      <c r="C147" s="3" t="s">
        <v>120</v>
      </c>
      <c r="D147" s="4"/>
      <c r="E147" s="3"/>
      <c r="F147" s="3" t="s">
        <v>19</v>
      </c>
      <c r="G147" s="3"/>
      <c r="H147" s="3"/>
      <c r="I147" s="4"/>
      <c r="J147" s="5" t="s">
        <v>20</v>
      </c>
      <c r="K147" s="6"/>
      <c r="L147" s="5"/>
      <c r="M147" s="5"/>
      <c r="N147" s="6"/>
      <c r="O147" s="7"/>
      <c r="P147" s="8" t="s">
        <v>21</v>
      </c>
      <c r="Q147" s="8" t="s">
        <v>22</v>
      </c>
    </row>
    <row r="148" customFormat="false" ht="15" hidden="false" customHeight="false" outlineLevel="0" collapsed="false">
      <c r="A148" s="2" t="n">
        <v>147</v>
      </c>
      <c r="B148" s="3" t="s">
        <v>518</v>
      </c>
      <c r="C148" s="3" t="s">
        <v>126</v>
      </c>
      <c r="D148" s="4"/>
      <c r="E148" s="3"/>
      <c r="F148" s="3" t="s">
        <v>19</v>
      </c>
      <c r="G148" s="3" t="s">
        <v>519</v>
      </c>
      <c r="H148" s="8" t="s">
        <v>520</v>
      </c>
      <c r="I148" s="4" t="s">
        <v>521</v>
      </c>
      <c r="J148" s="5" t="s">
        <v>20</v>
      </c>
      <c r="K148" s="6"/>
      <c r="L148" s="5"/>
      <c r="M148" s="5"/>
      <c r="N148" s="6"/>
      <c r="O148" s="7"/>
      <c r="P148" s="8" t="s">
        <v>21</v>
      </c>
      <c r="Q148" s="8" t="s">
        <v>22</v>
      </c>
    </row>
    <row r="149" customFormat="false" ht="15" hidden="false" customHeight="false" outlineLevel="0" collapsed="false">
      <c r="A149" s="2" t="n">
        <v>148</v>
      </c>
      <c r="B149" s="3" t="s">
        <v>522</v>
      </c>
      <c r="C149" s="3"/>
      <c r="D149" s="4"/>
      <c r="E149" s="3"/>
      <c r="F149" s="3" t="s">
        <v>19</v>
      </c>
      <c r="G149" s="3"/>
      <c r="H149" s="3"/>
      <c r="I149" s="4"/>
      <c r="J149" s="5" t="s">
        <v>20</v>
      </c>
      <c r="K149" s="6"/>
      <c r="L149" s="5"/>
      <c r="M149" s="5"/>
      <c r="N149" s="6"/>
      <c r="O149" s="7"/>
      <c r="P149" s="8" t="s">
        <v>21</v>
      </c>
      <c r="Q149" s="8" t="s">
        <v>22</v>
      </c>
    </row>
    <row r="150" customFormat="false" ht="15" hidden="false" customHeight="false" outlineLevel="0" collapsed="false">
      <c r="A150" s="2" t="n">
        <v>149</v>
      </c>
      <c r="B150" s="3" t="s">
        <v>523</v>
      </c>
      <c r="C150" s="3" t="s">
        <v>181</v>
      </c>
      <c r="D150" s="4"/>
      <c r="E150" s="3"/>
      <c r="F150" s="3" t="s">
        <v>19</v>
      </c>
      <c r="G150" s="3" t="s">
        <v>524</v>
      </c>
      <c r="H150" s="3"/>
      <c r="I150" s="4" t="s">
        <v>525</v>
      </c>
      <c r="J150" s="5" t="s">
        <v>20</v>
      </c>
      <c r="K150" s="6"/>
      <c r="L150" s="5"/>
      <c r="M150" s="5"/>
      <c r="N150" s="6"/>
      <c r="O150" s="7"/>
      <c r="P150" s="8" t="s">
        <v>21</v>
      </c>
      <c r="Q150" s="8" t="s">
        <v>22</v>
      </c>
    </row>
    <row r="151" customFormat="false" ht="15" hidden="false" customHeight="false" outlineLevel="0" collapsed="false">
      <c r="A151" s="2" t="n">
        <v>150</v>
      </c>
      <c r="B151" s="3" t="s">
        <v>526</v>
      </c>
      <c r="C151" s="3" t="s">
        <v>126</v>
      </c>
      <c r="D151" s="4"/>
      <c r="E151" s="3"/>
      <c r="F151" s="3" t="s">
        <v>19</v>
      </c>
      <c r="G151" s="3"/>
      <c r="H151" s="3"/>
      <c r="I151" s="4"/>
      <c r="J151" s="5" t="s">
        <v>20</v>
      </c>
      <c r="K151" s="6"/>
      <c r="L151" s="5"/>
      <c r="M151" s="5"/>
      <c r="N151" s="6"/>
      <c r="O151" s="7"/>
      <c r="P151" s="8" t="s">
        <v>21</v>
      </c>
      <c r="Q151" s="8" t="s">
        <v>22</v>
      </c>
    </row>
    <row r="152" customFormat="false" ht="15" hidden="false" customHeight="false" outlineLevel="0" collapsed="false">
      <c r="A152" s="2" t="n">
        <v>151</v>
      </c>
      <c r="B152" s="3" t="s">
        <v>527</v>
      </c>
      <c r="C152" s="3" t="s">
        <v>116</v>
      </c>
      <c r="D152" s="4" t="s">
        <v>528</v>
      </c>
      <c r="E152" s="3" t="s">
        <v>93</v>
      </c>
      <c r="F152" s="3" t="s">
        <v>19</v>
      </c>
      <c r="G152" s="3"/>
      <c r="H152" s="3"/>
      <c r="I152" s="4" t="s">
        <v>529</v>
      </c>
      <c r="J152" s="5" t="s">
        <v>20</v>
      </c>
      <c r="K152" s="6"/>
      <c r="L152" s="5"/>
      <c r="M152" s="5"/>
      <c r="N152" s="6"/>
      <c r="O152" s="7"/>
      <c r="P152" s="8" t="s">
        <v>21</v>
      </c>
      <c r="Q152" s="8" t="s">
        <v>22</v>
      </c>
    </row>
    <row r="153" customFormat="false" ht="15" hidden="false" customHeight="false" outlineLevel="0" collapsed="false">
      <c r="A153" s="2" t="n">
        <v>152</v>
      </c>
      <c r="B153" s="3" t="s">
        <v>530</v>
      </c>
      <c r="C153" s="3"/>
      <c r="D153" s="4"/>
      <c r="E153" s="3"/>
      <c r="F153" s="3" t="s">
        <v>19</v>
      </c>
      <c r="G153" s="3" t="s">
        <v>531</v>
      </c>
      <c r="H153" s="3"/>
      <c r="I153" s="4"/>
      <c r="J153" s="5" t="s">
        <v>20</v>
      </c>
      <c r="K153" s="6"/>
      <c r="L153" s="5"/>
      <c r="M153" s="5"/>
      <c r="N153" s="6"/>
      <c r="O153" s="7"/>
      <c r="P153" s="8" t="s">
        <v>21</v>
      </c>
      <c r="Q153" s="8" t="s">
        <v>22</v>
      </c>
    </row>
    <row r="154" customFormat="false" ht="15" hidden="false" customHeight="false" outlineLevel="0" collapsed="false">
      <c r="A154" s="2" t="n">
        <v>153</v>
      </c>
      <c r="B154" s="3" t="s">
        <v>532</v>
      </c>
      <c r="C154" s="3" t="s">
        <v>533</v>
      </c>
      <c r="D154" s="4"/>
      <c r="E154" s="3"/>
      <c r="F154" s="3" t="s">
        <v>19</v>
      </c>
      <c r="G154" s="3" t="s">
        <v>534</v>
      </c>
      <c r="H154" s="3"/>
      <c r="I154" s="4" t="s">
        <v>535</v>
      </c>
      <c r="J154" s="5" t="s">
        <v>20</v>
      </c>
      <c r="K154" s="6"/>
      <c r="L154" s="5"/>
      <c r="M154" s="5"/>
      <c r="N154" s="6"/>
      <c r="O154" s="7"/>
      <c r="P154" s="8" t="s">
        <v>21</v>
      </c>
      <c r="Q154" s="8" t="s">
        <v>22</v>
      </c>
    </row>
    <row r="155" customFormat="false" ht="15" hidden="false" customHeight="false" outlineLevel="0" collapsed="false">
      <c r="A155" s="2" t="n">
        <v>154</v>
      </c>
      <c r="B155" s="3" t="s">
        <v>536</v>
      </c>
      <c r="C155" s="3" t="s">
        <v>181</v>
      </c>
      <c r="D155" s="4"/>
      <c r="E155" s="3"/>
      <c r="F155" s="3" t="s">
        <v>19</v>
      </c>
      <c r="G155" s="3" t="s">
        <v>537</v>
      </c>
      <c r="H155" s="8" t="s">
        <v>538</v>
      </c>
      <c r="I155" s="4" t="s">
        <v>539</v>
      </c>
      <c r="J155" s="5" t="s">
        <v>20</v>
      </c>
      <c r="K155" s="6"/>
      <c r="L155" s="5"/>
      <c r="M155" s="5"/>
      <c r="N155" s="6"/>
      <c r="O155" s="7"/>
      <c r="P155" s="8" t="s">
        <v>21</v>
      </c>
      <c r="Q155" s="8" t="s">
        <v>22</v>
      </c>
    </row>
    <row r="156" customFormat="false" ht="15" hidden="false" customHeight="false" outlineLevel="0" collapsed="false">
      <c r="A156" s="2" t="n">
        <v>155</v>
      </c>
      <c r="B156" s="3" t="s">
        <v>540</v>
      </c>
      <c r="C156" s="3" t="s">
        <v>116</v>
      </c>
      <c r="D156" s="4"/>
      <c r="E156" s="3"/>
      <c r="F156" s="3" t="s">
        <v>19</v>
      </c>
      <c r="G156" s="3" t="s">
        <v>541</v>
      </c>
      <c r="H156" s="8" t="s">
        <v>542</v>
      </c>
      <c r="I156" s="4" t="s">
        <v>138</v>
      </c>
      <c r="J156" s="5" t="s">
        <v>20</v>
      </c>
      <c r="K156" s="6"/>
      <c r="L156" s="5"/>
      <c r="M156" s="5"/>
      <c r="N156" s="6"/>
      <c r="O156" s="7"/>
      <c r="P156" s="8" t="s">
        <v>21</v>
      </c>
      <c r="Q156" s="8" t="s">
        <v>22</v>
      </c>
    </row>
    <row r="157" customFormat="false" ht="15" hidden="false" customHeight="false" outlineLevel="0" collapsed="false">
      <c r="A157" s="2" t="n">
        <v>156</v>
      </c>
      <c r="B157" s="3" t="s">
        <v>543</v>
      </c>
      <c r="C157" s="3" t="s">
        <v>109</v>
      </c>
      <c r="D157" s="4"/>
      <c r="E157" s="3"/>
      <c r="F157" s="3" t="s">
        <v>19</v>
      </c>
      <c r="G157" s="3"/>
      <c r="H157" s="3"/>
      <c r="I157" s="4" t="s">
        <v>544</v>
      </c>
      <c r="J157" s="5" t="s">
        <v>20</v>
      </c>
      <c r="K157" s="6"/>
      <c r="L157" s="5"/>
      <c r="M157" s="5"/>
      <c r="N157" s="6"/>
      <c r="O157" s="7"/>
      <c r="P157" s="8" t="s">
        <v>21</v>
      </c>
      <c r="Q157" s="8" t="s">
        <v>22</v>
      </c>
    </row>
    <row r="158" customFormat="false" ht="15" hidden="false" customHeight="false" outlineLevel="0" collapsed="false">
      <c r="A158" s="2" t="n">
        <v>157</v>
      </c>
      <c r="B158" s="3" t="s">
        <v>545</v>
      </c>
      <c r="C158" s="3"/>
      <c r="D158" s="4"/>
      <c r="E158" s="3"/>
      <c r="F158" s="3" t="s">
        <v>19</v>
      </c>
      <c r="G158" s="3"/>
      <c r="H158" s="3"/>
      <c r="I158" s="4" t="s">
        <v>546</v>
      </c>
      <c r="J158" s="5" t="s">
        <v>20</v>
      </c>
      <c r="K158" s="6"/>
      <c r="L158" s="5"/>
      <c r="M158" s="5"/>
      <c r="N158" s="6"/>
      <c r="O158" s="7"/>
      <c r="P158" s="8" t="s">
        <v>21</v>
      </c>
      <c r="Q158" s="8" t="s">
        <v>22</v>
      </c>
    </row>
    <row r="159" customFormat="false" ht="15" hidden="false" customHeight="false" outlineLevel="0" collapsed="false">
      <c r="A159" s="2" t="n">
        <v>158</v>
      </c>
      <c r="B159" s="3" t="s">
        <v>547</v>
      </c>
      <c r="C159" s="3" t="s">
        <v>153</v>
      </c>
      <c r="D159" s="4"/>
      <c r="E159" s="3"/>
      <c r="F159" s="3" t="s">
        <v>19</v>
      </c>
      <c r="G159" s="3" t="s">
        <v>548</v>
      </c>
      <c r="H159" s="3"/>
      <c r="I159" s="4" t="s">
        <v>549</v>
      </c>
      <c r="J159" s="5" t="s">
        <v>20</v>
      </c>
      <c r="K159" s="6"/>
      <c r="L159" s="5"/>
      <c r="M159" s="5"/>
      <c r="N159" s="6"/>
      <c r="O159" s="7"/>
      <c r="P159" s="8" t="s">
        <v>21</v>
      </c>
      <c r="Q159" s="8" t="s">
        <v>22</v>
      </c>
    </row>
    <row r="160" customFormat="false" ht="15" hidden="false" customHeight="false" outlineLevel="0" collapsed="false">
      <c r="A160" s="2" t="n">
        <v>159</v>
      </c>
      <c r="B160" s="3" t="s">
        <v>550</v>
      </c>
      <c r="C160" s="3" t="s">
        <v>71</v>
      </c>
      <c r="D160" s="4"/>
      <c r="E160" s="3"/>
      <c r="F160" s="3" t="s">
        <v>19</v>
      </c>
      <c r="G160" s="3"/>
      <c r="H160" s="3"/>
      <c r="I160" s="4" t="s">
        <v>551</v>
      </c>
      <c r="J160" s="5" t="s">
        <v>20</v>
      </c>
      <c r="K160" s="6"/>
      <c r="L160" s="5"/>
      <c r="M160" s="5"/>
      <c r="N160" s="6"/>
      <c r="O160" s="7"/>
      <c r="P160" s="8" t="s">
        <v>21</v>
      </c>
      <c r="Q160" s="8" t="s">
        <v>22</v>
      </c>
    </row>
    <row r="161" customFormat="false" ht="15" hidden="false" customHeight="false" outlineLevel="0" collapsed="false">
      <c r="A161" s="2" t="n">
        <v>160</v>
      </c>
      <c r="B161" s="3" t="s">
        <v>552</v>
      </c>
      <c r="C161" s="3"/>
      <c r="D161" s="4"/>
      <c r="E161" s="3"/>
      <c r="F161" s="3" t="s">
        <v>19</v>
      </c>
      <c r="G161" s="3" t="s">
        <v>553</v>
      </c>
      <c r="H161" s="8" t="s">
        <v>554</v>
      </c>
      <c r="I161" s="4" t="s">
        <v>555</v>
      </c>
      <c r="J161" s="5" t="s">
        <v>20</v>
      </c>
      <c r="K161" s="6"/>
      <c r="L161" s="5"/>
      <c r="M161" s="5"/>
      <c r="N161" s="6"/>
      <c r="O161" s="7"/>
      <c r="P161" s="8" t="s">
        <v>21</v>
      </c>
      <c r="Q161" s="8" t="s">
        <v>22</v>
      </c>
    </row>
    <row r="162" customFormat="false" ht="23.85" hidden="false" customHeight="false" outlineLevel="0" collapsed="false">
      <c r="A162" s="2" t="n">
        <v>161</v>
      </c>
      <c r="B162" s="3" t="s">
        <v>556</v>
      </c>
      <c r="C162" s="3"/>
      <c r="D162" s="4" t="s">
        <v>557</v>
      </c>
      <c r="E162" s="3" t="s">
        <v>93</v>
      </c>
      <c r="F162" s="3" t="s">
        <v>19</v>
      </c>
      <c r="G162" s="3"/>
      <c r="H162" s="8" t="s">
        <v>558</v>
      </c>
      <c r="I162" s="4" t="s">
        <v>559</v>
      </c>
      <c r="J162" s="5" t="s">
        <v>20</v>
      </c>
      <c r="K162" s="6"/>
      <c r="L162" s="5"/>
      <c r="M162" s="5"/>
      <c r="N162" s="6"/>
      <c r="O162" s="7"/>
      <c r="P162" s="8" t="s">
        <v>21</v>
      </c>
      <c r="Q162" s="8" t="s">
        <v>22</v>
      </c>
    </row>
    <row r="163" customFormat="false" ht="15" hidden="false" customHeight="false" outlineLevel="0" collapsed="false">
      <c r="A163" s="2" t="n">
        <v>162</v>
      </c>
      <c r="B163" s="3" t="s">
        <v>560</v>
      </c>
      <c r="C163" s="3" t="s">
        <v>109</v>
      </c>
      <c r="D163" s="4"/>
      <c r="E163" s="3"/>
      <c r="F163" s="3" t="s">
        <v>19</v>
      </c>
      <c r="G163" s="3"/>
      <c r="H163" s="3"/>
      <c r="I163" s="4"/>
      <c r="J163" s="5" t="s">
        <v>20</v>
      </c>
      <c r="K163" s="6"/>
      <c r="L163" s="5"/>
      <c r="M163" s="5"/>
      <c r="N163" s="6"/>
      <c r="O163" s="7"/>
      <c r="P163" s="8" t="s">
        <v>21</v>
      </c>
      <c r="Q163" s="8" t="s">
        <v>22</v>
      </c>
    </row>
    <row r="164" customFormat="false" ht="15" hidden="false" customHeight="false" outlineLevel="0" collapsed="false">
      <c r="A164" s="2" t="n">
        <v>163</v>
      </c>
      <c r="B164" s="3" t="s">
        <v>561</v>
      </c>
      <c r="C164" s="3" t="s">
        <v>89</v>
      </c>
      <c r="D164" s="4"/>
      <c r="E164" s="3"/>
      <c r="F164" s="3" t="s">
        <v>19</v>
      </c>
      <c r="G164" s="3" t="s">
        <v>562</v>
      </c>
      <c r="H164" s="8" t="s">
        <v>563</v>
      </c>
      <c r="I164" s="4" t="s">
        <v>564</v>
      </c>
      <c r="J164" s="5" t="s">
        <v>20</v>
      </c>
      <c r="K164" s="6"/>
      <c r="L164" s="5"/>
      <c r="M164" s="5"/>
      <c r="N164" s="6"/>
      <c r="O164" s="7"/>
      <c r="P164" s="8" t="s">
        <v>21</v>
      </c>
      <c r="Q164" s="8" t="s">
        <v>22</v>
      </c>
    </row>
    <row r="165" customFormat="false" ht="15" hidden="false" customHeight="false" outlineLevel="0" collapsed="false">
      <c r="A165" s="2" t="n">
        <v>164</v>
      </c>
      <c r="B165" s="3" t="s">
        <v>565</v>
      </c>
      <c r="C165" s="3" t="s">
        <v>120</v>
      </c>
      <c r="D165" s="4" t="s">
        <v>566</v>
      </c>
      <c r="E165" s="3" t="s">
        <v>148</v>
      </c>
      <c r="F165" s="3" t="s">
        <v>19</v>
      </c>
      <c r="G165" s="3"/>
      <c r="H165" s="8" t="s">
        <v>567</v>
      </c>
      <c r="I165" s="4" t="s">
        <v>568</v>
      </c>
      <c r="J165" s="5" t="s">
        <v>20</v>
      </c>
      <c r="K165" s="6"/>
      <c r="L165" s="5"/>
      <c r="M165" s="5"/>
      <c r="N165" s="6"/>
      <c r="O165" s="7"/>
      <c r="P165" s="8" t="s">
        <v>21</v>
      </c>
      <c r="Q165" s="8" t="s">
        <v>22</v>
      </c>
    </row>
    <row r="166" customFormat="false" ht="15" hidden="false" customHeight="false" outlineLevel="0" collapsed="false">
      <c r="A166" s="2" t="n">
        <v>165</v>
      </c>
      <c r="B166" s="3" t="s">
        <v>569</v>
      </c>
      <c r="C166" s="3"/>
      <c r="D166" s="4"/>
      <c r="E166" s="3"/>
      <c r="F166" s="3" t="s">
        <v>19</v>
      </c>
      <c r="G166" s="3"/>
      <c r="H166" s="3"/>
      <c r="I166" s="4" t="s">
        <v>570</v>
      </c>
      <c r="J166" s="5" t="s">
        <v>20</v>
      </c>
      <c r="K166" s="6"/>
      <c r="L166" s="5"/>
      <c r="M166" s="5"/>
      <c r="N166" s="6"/>
      <c r="O166" s="7"/>
      <c r="P166" s="8" t="s">
        <v>21</v>
      </c>
      <c r="Q166" s="8" t="s">
        <v>22</v>
      </c>
    </row>
    <row r="167" customFormat="false" ht="15" hidden="false" customHeight="false" outlineLevel="0" collapsed="false">
      <c r="A167" s="2" t="n">
        <v>166</v>
      </c>
      <c r="B167" s="3" t="s">
        <v>571</v>
      </c>
      <c r="C167" s="3" t="s">
        <v>116</v>
      </c>
      <c r="D167" s="4"/>
      <c r="E167" s="3"/>
      <c r="F167" s="3" t="s">
        <v>19</v>
      </c>
      <c r="G167" s="3"/>
      <c r="H167" s="3"/>
      <c r="I167" s="4" t="s">
        <v>572</v>
      </c>
      <c r="J167" s="5" t="s">
        <v>20</v>
      </c>
      <c r="K167" s="6"/>
      <c r="L167" s="5"/>
      <c r="M167" s="5"/>
      <c r="N167" s="6"/>
      <c r="O167" s="7"/>
      <c r="P167" s="8" t="s">
        <v>21</v>
      </c>
      <c r="Q167" s="8" t="s">
        <v>22</v>
      </c>
    </row>
    <row r="168" customFormat="false" ht="15" hidden="false" customHeight="false" outlineLevel="0" collapsed="false">
      <c r="A168" s="2" t="n">
        <v>167</v>
      </c>
      <c r="B168" s="3" t="s">
        <v>573</v>
      </c>
      <c r="C168" s="3"/>
      <c r="D168" s="4"/>
      <c r="E168" s="3"/>
      <c r="F168" s="3" t="s">
        <v>19</v>
      </c>
      <c r="G168" s="3"/>
      <c r="H168" s="3"/>
      <c r="I168" s="4"/>
      <c r="J168" s="5" t="s">
        <v>20</v>
      </c>
      <c r="K168" s="6"/>
      <c r="L168" s="5"/>
      <c r="M168" s="5"/>
      <c r="N168" s="6"/>
      <c r="O168" s="7"/>
      <c r="P168" s="8" t="s">
        <v>21</v>
      </c>
      <c r="Q168" s="8" t="s">
        <v>22</v>
      </c>
    </row>
    <row r="169" customFormat="false" ht="23.85" hidden="false" customHeight="false" outlineLevel="0" collapsed="false">
      <c r="A169" s="2" t="n">
        <v>168</v>
      </c>
      <c r="B169" s="3" t="s">
        <v>574</v>
      </c>
      <c r="C169" s="3"/>
      <c r="D169" s="4" t="s">
        <v>575</v>
      </c>
      <c r="E169" s="3"/>
      <c r="F169" s="3" t="s">
        <v>19</v>
      </c>
      <c r="G169" s="3"/>
      <c r="H169" s="3"/>
      <c r="I169" s="4" t="s">
        <v>576</v>
      </c>
      <c r="J169" s="5" t="s">
        <v>20</v>
      </c>
      <c r="K169" s="6"/>
      <c r="L169" s="5"/>
      <c r="M169" s="5"/>
      <c r="N169" s="6"/>
      <c r="O169" s="7"/>
      <c r="P169" s="8" t="s">
        <v>21</v>
      </c>
      <c r="Q169" s="8" t="s">
        <v>22</v>
      </c>
    </row>
    <row r="170" customFormat="false" ht="15" hidden="false" customHeight="false" outlineLevel="0" collapsed="false">
      <c r="A170" s="2" t="n">
        <v>169</v>
      </c>
      <c r="B170" s="3" t="s">
        <v>577</v>
      </c>
      <c r="C170" s="3" t="s">
        <v>24</v>
      </c>
      <c r="D170" s="4" t="s">
        <v>578</v>
      </c>
      <c r="E170" s="3" t="s">
        <v>579</v>
      </c>
      <c r="F170" s="3" t="s">
        <v>19</v>
      </c>
      <c r="G170" s="3"/>
      <c r="H170" s="3"/>
      <c r="I170" s="4" t="s">
        <v>580</v>
      </c>
      <c r="J170" s="5" t="s">
        <v>20</v>
      </c>
      <c r="K170" s="6"/>
      <c r="L170" s="5"/>
      <c r="M170" s="5"/>
      <c r="N170" s="6"/>
      <c r="O170" s="7"/>
      <c r="P170" s="8" t="s">
        <v>21</v>
      </c>
      <c r="Q170" s="8" t="s">
        <v>22</v>
      </c>
    </row>
    <row r="171" customFormat="false" ht="15" hidden="false" customHeight="false" outlineLevel="0" collapsed="false">
      <c r="A171" s="2" t="n">
        <v>170</v>
      </c>
      <c r="B171" s="3" t="s">
        <v>581</v>
      </c>
      <c r="C171" s="3"/>
      <c r="D171" s="4"/>
      <c r="E171" s="3"/>
      <c r="F171" s="3" t="s">
        <v>19</v>
      </c>
      <c r="G171" s="3"/>
      <c r="H171" s="3"/>
      <c r="I171" s="4"/>
      <c r="J171" s="5" t="s">
        <v>20</v>
      </c>
      <c r="K171" s="6"/>
      <c r="L171" s="5"/>
      <c r="M171" s="5"/>
      <c r="N171" s="6"/>
      <c r="O171" s="7"/>
      <c r="P171" s="8" t="s">
        <v>21</v>
      </c>
      <c r="Q171" s="8" t="s">
        <v>22</v>
      </c>
    </row>
    <row r="172" customFormat="false" ht="15" hidden="false" customHeight="false" outlineLevel="0" collapsed="false">
      <c r="A172" s="2" t="n">
        <v>171</v>
      </c>
      <c r="B172" s="3" t="s">
        <v>582</v>
      </c>
      <c r="C172" s="3"/>
      <c r="D172" s="4" t="s">
        <v>583</v>
      </c>
      <c r="E172" s="3" t="s">
        <v>148</v>
      </c>
      <c r="F172" s="3" t="s">
        <v>19</v>
      </c>
      <c r="G172" s="3"/>
      <c r="H172" s="3"/>
      <c r="I172" s="4" t="s">
        <v>584</v>
      </c>
      <c r="J172" s="5" t="s">
        <v>20</v>
      </c>
      <c r="K172" s="6"/>
      <c r="L172" s="5"/>
      <c r="M172" s="5"/>
      <c r="N172" s="6"/>
      <c r="O172" s="7"/>
      <c r="P172" s="8" t="s">
        <v>21</v>
      </c>
      <c r="Q172" s="8" t="s">
        <v>22</v>
      </c>
    </row>
    <row r="173" customFormat="false" ht="15" hidden="false" customHeight="false" outlineLevel="0" collapsed="false">
      <c r="A173" s="2" t="n">
        <v>172</v>
      </c>
      <c r="B173" s="3" t="s">
        <v>585</v>
      </c>
      <c r="C173" s="3"/>
      <c r="D173" s="4"/>
      <c r="E173" s="3"/>
      <c r="F173" s="3" t="s">
        <v>19</v>
      </c>
      <c r="G173" s="3"/>
      <c r="H173" s="3"/>
      <c r="I173" s="4" t="s">
        <v>586</v>
      </c>
      <c r="J173" s="5" t="s">
        <v>20</v>
      </c>
      <c r="K173" s="6"/>
      <c r="L173" s="5"/>
      <c r="M173" s="5"/>
      <c r="N173" s="6"/>
      <c r="O173" s="7"/>
      <c r="P173" s="8" t="s">
        <v>21</v>
      </c>
      <c r="Q173" s="8" t="s">
        <v>22</v>
      </c>
    </row>
    <row r="174" customFormat="false" ht="15" hidden="false" customHeight="false" outlineLevel="0" collapsed="false">
      <c r="A174" s="2" t="n">
        <v>173</v>
      </c>
      <c r="B174" s="3" t="s">
        <v>587</v>
      </c>
      <c r="C174" s="3" t="s">
        <v>588</v>
      </c>
      <c r="D174" s="4"/>
      <c r="E174" s="3"/>
      <c r="F174" s="3" t="s">
        <v>19</v>
      </c>
      <c r="G174" s="3" t="s">
        <v>589</v>
      </c>
      <c r="H174" s="3"/>
      <c r="I174" s="4" t="s">
        <v>590</v>
      </c>
      <c r="J174" s="5" t="s">
        <v>20</v>
      </c>
      <c r="K174" s="6"/>
      <c r="L174" s="5"/>
      <c r="M174" s="5"/>
      <c r="N174" s="6"/>
      <c r="O174" s="7"/>
      <c r="P174" s="8" t="s">
        <v>21</v>
      </c>
      <c r="Q174" s="8" t="s">
        <v>22</v>
      </c>
    </row>
    <row r="175" customFormat="false" ht="15" hidden="false" customHeight="false" outlineLevel="0" collapsed="false">
      <c r="A175" s="2" t="n">
        <v>174</v>
      </c>
      <c r="B175" s="3" t="s">
        <v>591</v>
      </c>
      <c r="C175" s="3"/>
      <c r="D175" s="4" t="s">
        <v>592</v>
      </c>
      <c r="E175" s="3" t="s">
        <v>93</v>
      </c>
      <c r="F175" s="3" t="s">
        <v>19</v>
      </c>
      <c r="G175" s="3" t="s">
        <v>593</v>
      </c>
      <c r="H175" s="3"/>
      <c r="I175" s="4" t="s">
        <v>455</v>
      </c>
      <c r="J175" s="5" t="s">
        <v>20</v>
      </c>
      <c r="K175" s="6"/>
      <c r="L175" s="5"/>
      <c r="M175" s="5"/>
      <c r="N175" s="6"/>
      <c r="O175" s="7"/>
      <c r="P175" s="8" t="s">
        <v>21</v>
      </c>
      <c r="Q175" s="8" t="s">
        <v>22</v>
      </c>
    </row>
    <row r="176" customFormat="false" ht="15" hidden="false" customHeight="false" outlineLevel="0" collapsed="false">
      <c r="A176" s="2" t="n">
        <v>175</v>
      </c>
      <c r="B176" s="3" t="s">
        <v>594</v>
      </c>
      <c r="C176" s="3" t="s">
        <v>595</v>
      </c>
      <c r="D176" s="4"/>
      <c r="E176" s="3"/>
      <c r="F176" s="3" t="s">
        <v>19</v>
      </c>
      <c r="G176" s="3"/>
      <c r="H176" s="3"/>
      <c r="I176" s="4"/>
      <c r="J176" s="5" t="s">
        <v>20</v>
      </c>
      <c r="K176" s="6"/>
      <c r="L176" s="5"/>
      <c r="M176" s="5"/>
      <c r="N176" s="6"/>
      <c r="O176" s="7"/>
      <c r="P176" s="8" t="s">
        <v>21</v>
      </c>
      <c r="Q176" s="8" t="s">
        <v>22</v>
      </c>
    </row>
    <row r="177" customFormat="false" ht="15" hidden="false" customHeight="false" outlineLevel="0" collapsed="false">
      <c r="A177" s="2" t="n">
        <v>176</v>
      </c>
      <c r="B177" s="3" t="s">
        <v>594</v>
      </c>
      <c r="C177" s="3" t="s">
        <v>595</v>
      </c>
      <c r="D177" s="4"/>
      <c r="E177" s="3"/>
      <c r="F177" s="3" t="s">
        <v>19</v>
      </c>
      <c r="G177" s="3"/>
      <c r="H177" s="3"/>
      <c r="I177" s="4"/>
      <c r="J177" s="5" t="s">
        <v>20</v>
      </c>
      <c r="K177" s="6"/>
      <c r="L177" s="5"/>
      <c r="M177" s="5"/>
      <c r="N177" s="6"/>
      <c r="O177" s="7"/>
      <c r="P177" s="8" t="s">
        <v>21</v>
      </c>
      <c r="Q177" s="8" t="s">
        <v>22</v>
      </c>
    </row>
    <row r="178" customFormat="false" ht="23.85" hidden="false" customHeight="false" outlineLevel="0" collapsed="false">
      <c r="A178" s="2" t="n">
        <v>177</v>
      </c>
      <c r="B178" s="3" t="s">
        <v>596</v>
      </c>
      <c r="C178" s="3" t="s">
        <v>24</v>
      </c>
      <c r="D178" s="4"/>
      <c r="E178" s="3"/>
      <c r="F178" s="3" t="s">
        <v>19</v>
      </c>
      <c r="G178" s="3" t="s">
        <v>597</v>
      </c>
      <c r="H178" s="8" t="s">
        <v>598</v>
      </c>
      <c r="I178" s="4" t="s">
        <v>599</v>
      </c>
      <c r="J178" s="5" t="s">
        <v>20</v>
      </c>
      <c r="K178" s="6"/>
      <c r="L178" s="5"/>
      <c r="M178" s="5"/>
      <c r="N178" s="6"/>
      <c r="O178" s="7"/>
      <c r="P178" s="8" t="s">
        <v>21</v>
      </c>
      <c r="Q178" s="8" t="s">
        <v>22</v>
      </c>
    </row>
    <row r="179" customFormat="false" ht="15" hidden="false" customHeight="false" outlineLevel="0" collapsed="false">
      <c r="A179" s="2" t="n">
        <v>178</v>
      </c>
      <c r="B179" s="3" t="s">
        <v>600</v>
      </c>
      <c r="C179" s="3" t="s">
        <v>601</v>
      </c>
      <c r="D179" s="4" t="s">
        <v>602</v>
      </c>
      <c r="E179" s="3" t="s">
        <v>93</v>
      </c>
      <c r="F179" s="3" t="s">
        <v>19</v>
      </c>
      <c r="G179" s="3" t="s">
        <v>603</v>
      </c>
      <c r="H179" s="8" t="s">
        <v>604</v>
      </c>
      <c r="I179" s="4"/>
      <c r="J179" s="5" t="s">
        <v>20</v>
      </c>
      <c r="K179" s="6"/>
      <c r="L179" s="5"/>
      <c r="M179" s="5"/>
      <c r="N179" s="6"/>
      <c r="O179" s="7"/>
      <c r="P179" s="8" t="s">
        <v>21</v>
      </c>
      <c r="Q179" s="8" t="s">
        <v>22</v>
      </c>
    </row>
    <row r="180" customFormat="false" ht="15" hidden="false" customHeight="false" outlineLevel="0" collapsed="false">
      <c r="A180" s="2" t="n">
        <v>179</v>
      </c>
      <c r="B180" s="3" t="s">
        <v>605</v>
      </c>
      <c r="C180" s="3" t="s">
        <v>120</v>
      </c>
      <c r="D180" s="4"/>
      <c r="E180" s="3"/>
      <c r="F180" s="3" t="s">
        <v>19</v>
      </c>
      <c r="G180" s="3" t="s">
        <v>606</v>
      </c>
      <c r="H180" s="8" t="s">
        <v>607</v>
      </c>
      <c r="I180" s="4" t="s">
        <v>608</v>
      </c>
      <c r="J180" s="5" t="s">
        <v>20</v>
      </c>
      <c r="K180" s="6"/>
      <c r="L180" s="5"/>
      <c r="M180" s="5"/>
      <c r="N180" s="6"/>
      <c r="O180" s="7"/>
      <c r="P180" s="8" t="s">
        <v>21</v>
      </c>
      <c r="Q180" s="8" t="s">
        <v>22</v>
      </c>
    </row>
    <row r="181" customFormat="false" ht="15" hidden="false" customHeight="false" outlineLevel="0" collapsed="false">
      <c r="A181" s="2" t="n">
        <v>180</v>
      </c>
      <c r="B181" s="3" t="s">
        <v>609</v>
      </c>
      <c r="C181" s="3"/>
      <c r="D181" s="4" t="s">
        <v>610</v>
      </c>
      <c r="E181" s="3"/>
      <c r="F181" s="3" t="s">
        <v>19</v>
      </c>
      <c r="G181" s="3"/>
      <c r="H181" s="3"/>
      <c r="I181" s="4"/>
      <c r="J181" s="5" t="s">
        <v>20</v>
      </c>
      <c r="K181" s="6"/>
      <c r="L181" s="5"/>
      <c r="M181" s="5"/>
      <c r="N181" s="6"/>
      <c r="O181" s="7"/>
      <c r="P181" s="8" t="s">
        <v>21</v>
      </c>
      <c r="Q181" s="8" t="s">
        <v>22</v>
      </c>
    </row>
    <row r="182" customFormat="false" ht="23.85" hidden="false" customHeight="false" outlineLevel="0" collapsed="false">
      <c r="A182" s="2" t="n">
        <v>181</v>
      </c>
      <c r="B182" s="3" t="s">
        <v>611</v>
      </c>
      <c r="C182" s="3" t="s">
        <v>120</v>
      </c>
      <c r="D182" s="4" t="s">
        <v>612</v>
      </c>
      <c r="E182" s="3" t="s">
        <v>93</v>
      </c>
      <c r="F182" s="3" t="s">
        <v>19</v>
      </c>
      <c r="G182" s="3" t="s">
        <v>613</v>
      </c>
      <c r="H182" s="8" t="s">
        <v>614</v>
      </c>
      <c r="I182" s="4" t="s">
        <v>615</v>
      </c>
      <c r="J182" s="5" t="s">
        <v>20</v>
      </c>
      <c r="K182" s="6"/>
      <c r="L182" s="5"/>
      <c r="M182" s="5"/>
      <c r="N182" s="6"/>
      <c r="O182" s="7"/>
      <c r="P182" s="8" t="s">
        <v>21</v>
      </c>
      <c r="Q182" s="8" t="s">
        <v>22</v>
      </c>
    </row>
    <row r="183" customFormat="false" ht="15" hidden="false" customHeight="false" outlineLevel="0" collapsed="false">
      <c r="A183" s="2" t="n">
        <v>182</v>
      </c>
      <c r="B183" s="3" t="s">
        <v>616</v>
      </c>
      <c r="C183" s="3"/>
      <c r="D183" s="4"/>
      <c r="E183" s="3"/>
      <c r="F183" s="3" t="s">
        <v>19</v>
      </c>
      <c r="G183" s="3" t="s">
        <v>617</v>
      </c>
      <c r="H183" s="8" t="s">
        <v>618</v>
      </c>
      <c r="I183" s="4" t="s">
        <v>619</v>
      </c>
      <c r="J183" s="5" t="s">
        <v>20</v>
      </c>
      <c r="K183" s="6"/>
      <c r="L183" s="5"/>
      <c r="M183" s="5"/>
      <c r="N183" s="6"/>
      <c r="O183" s="7"/>
      <c r="P183" s="8" t="s">
        <v>21</v>
      </c>
      <c r="Q183" s="8" t="s">
        <v>22</v>
      </c>
    </row>
    <row r="184" customFormat="false" ht="15" hidden="false" customHeight="false" outlineLevel="0" collapsed="false">
      <c r="A184" s="2" t="n">
        <v>183</v>
      </c>
      <c r="B184" s="3" t="s">
        <v>620</v>
      </c>
      <c r="C184" s="3" t="s">
        <v>234</v>
      </c>
      <c r="D184" s="4" t="s">
        <v>621</v>
      </c>
      <c r="E184" s="3"/>
      <c r="F184" s="3" t="s">
        <v>19</v>
      </c>
      <c r="G184" s="3"/>
      <c r="H184" s="3"/>
      <c r="I184" s="4"/>
      <c r="J184" s="5" t="s">
        <v>20</v>
      </c>
      <c r="K184" s="6"/>
      <c r="L184" s="5"/>
      <c r="M184" s="5"/>
      <c r="N184" s="6"/>
      <c r="O184" s="7"/>
      <c r="P184" s="8" t="s">
        <v>21</v>
      </c>
      <c r="Q184" s="8" t="s">
        <v>22</v>
      </c>
    </row>
    <row r="185" customFormat="false" ht="15" hidden="false" customHeight="false" outlineLevel="0" collapsed="false">
      <c r="A185" s="2" t="n">
        <v>184</v>
      </c>
      <c r="B185" s="3" t="s">
        <v>622</v>
      </c>
      <c r="C185" s="3"/>
      <c r="D185" s="4"/>
      <c r="E185" s="3"/>
      <c r="F185" s="3" t="s">
        <v>19</v>
      </c>
      <c r="G185" s="3" t="s">
        <v>623</v>
      </c>
      <c r="H185" s="8" t="s">
        <v>624</v>
      </c>
      <c r="I185" s="4" t="s">
        <v>625</v>
      </c>
      <c r="J185" s="5" t="s">
        <v>20</v>
      </c>
      <c r="K185" s="6"/>
      <c r="L185" s="5"/>
      <c r="M185" s="5"/>
      <c r="N185" s="6"/>
      <c r="O185" s="7"/>
      <c r="P185" s="8" t="s">
        <v>21</v>
      </c>
      <c r="Q185" s="8" t="s">
        <v>22</v>
      </c>
    </row>
    <row r="186" customFormat="false" ht="15" hidden="false" customHeight="false" outlineLevel="0" collapsed="false">
      <c r="A186" s="2" t="n">
        <v>185</v>
      </c>
      <c r="B186" s="3" t="s">
        <v>626</v>
      </c>
      <c r="C186" s="3" t="s">
        <v>41</v>
      </c>
      <c r="D186" s="4"/>
      <c r="E186" s="3"/>
      <c r="F186" s="3" t="s">
        <v>19</v>
      </c>
      <c r="G186" s="3" t="s">
        <v>627</v>
      </c>
      <c r="H186" s="8" t="s">
        <v>628</v>
      </c>
      <c r="I186" s="4" t="s">
        <v>629</v>
      </c>
      <c r="J186" s="5" t="s">
        <v>20</v>
      </c>
      <c r="K186" s="6"/>
      <c r="L186" s="5"/>
      <c r="M186" s="5"/>
      <c r="N186" s="6"/>
      <c r="O186" s="7"/>
      <c r="P186" s="8" t="s">
        <v>21</v>
      </c>
      <c r="Q186" s="8" t="s">
        <v>22</v>
      </c>
    </row>
    <row r="187" customFormat="false" ht="15" hidden="false" customHeight="false" outlineLevel="0" collapsed="false">
      <c r="A187" s="2" t="n">
        <v>186</v>
      </c>
      <c r="B187" s="3" t="s">
        <v>630</v>
      </c>
      <c r="C187" s="3" t="s">
        <v>109</v>
      </c>
      <c r="D187" s="4"/>
      <c r="E187" s="3"/>
      <c r="F187" s="3" t="s">
        <v>19</v>
      </c>
      <c r="G187" s="3" t="s">
        <v>631</v>
      </c>
      <c r="H187" s="8" t="s">
        <v>632</v>
      </c>
      <c r="I187" s="4" t="s">
        <v>633</v>
      </c>
      <c r="J187" s="5" t="s">
        <v>20</v>
      </c>
      <c r="K187" s="6"/>
      <c r="L187" s="5"/>
      <c r="M187" s="5"/>
      <c r="N187" s="6"/>
      <c r="O187" s="7"/>
      <c r="P187" s="8" t="s">
        <v>21</v>
      </c>
      <c r="Q187" s="8" t="s">
        <v>22</v>
      </c>
    </row>
    <row r="188" customFormat="false" ht="15" hidden="false" customHeight="false" outlineLevel="0" collapsed="false">
      <c r="A188" s="2" t="n">
        <v>187</v>
      </c>
      <c r="B188" s="3" t="s">
        <v>634</v>
      </c>
      <c r="C188" s="3" t="s">
        <v>635</v>
      </c>
      <c r="D188" s="4" t="s">
        <v>636</v>
      </c>
      <c r="E188" s="3" t="s">
        <v>579</v>
      </c>
      <c r="F188" s="3" t="s">
        <v>19</v>
      </c>
      <c r="G188" s="3" t="s">
        <v>637</v>
      </c>
      <c r="H188" s="3"/>
      <c r="I188" s="4"/>
      <c r="J188" s="5" t="s">
        <v>20</v>
      </c>
      <c r="K188" s="6"/>
      <c r="L188" s="5"/>
      <c r="M188" s="5"/>
      <c r="N188" s="6"/>
      <c r="O188" s="7"/>
      <c r="P188" s="8" t="s">
        <v>21</v>
      </c>
      <c r="Q188" s="8" t="s">
        <v>22</v>
      </c>
    </row>
    <row r="189" customFormat="false" ht="23.85" hidden="false" customHeight="false" outlineLevel="0" collapsed="false">
      <c r="A189" s="2" t="n">
        <v>188</v>
      </c>
      <c r="B189" s="3" t="s">
        <v>638</v>
      </c>
      <c r="C189" s="3" t="s">
        <v>18</v>
      </c>
      <c r="D189" s="4" t="s">
        <v>639</v>
      </c>
      <c r="E189" s="3" t="s">
        <v>31</v>
      </c>
      <c r="F189" s="3" t="s">
        <v>19</v>
      </c>
      <c r="G189" s="3" t="s">
        <v>640</v>
      </c>
      <c r="H189" s="8" t="s">
        <v>641</v>
      </c>
      <c r="I189" s="4" t="s">
        <v>642</v>
      </c>
      <c r="J189" s="5" t="s">
        <v>20</v>
      </c>
      <c r="K189" s="6"/>
      <c r="L189" s="5"/>
      <c r="M189" s="5"/>
      <c r="N189" s="6"/>
      <c r="O189" s="7"/>
      <c r="P189" s="8" t="s">
        <v>21</v>
      </c>
      <c r="Q189" s="8" t="s">
        <v>22</v>
      </c>
    </row>
    <row r="190" customFormat="false" ht="15" hidden="false" customHeight="false" outlineLevel="0" collapsed="false">
      <c r="A190" s="2" t="n">
        <v>189</v>
      </c>
      <c r="B190" s="3" t="s">
        <v>643</v>
      </c>
      <c r="C190" s="3"/>
      <c r="D190" s="4"/>
      <c r="E190" s="3"/>
      <c r="F190" s="3" t="s">
        <v>19</v>
      </c>
      <c r="G190" s="3"/>
      <c r="H190" s="3"/>
      <c r="I190" s="4"/>
      <c r="J190" s="5" t="s">
        <v>20</v>
      </c>
      <c r="K190" s="6"/>
      <c r="L190" s="5"/>
      <c r="M190" s="5"/>
      <c r="N190" s="6"/>
      <c r="O190" s="7"/>
      <c r="P190" s="8" t="s">
        <v>21</v>
      </c>
      <c r="Q190" s="8" t="s">
        <v>22</v>
      </c>
    </row>
    <row r="191" customFormat="false" ht="15" hidden="false" customHeight="false" outlineLevel="0" collapsed="false">
      <c r="A191" s="2" t="n">
        <v>190</v>
      </c>
      <c r="B191" s="3" t="s">
        <v>644</v>
      </c>
      <c r="C191" s="3" t="s">
        <v>645</v>
      </c>
      <c r="D191" s="4"/>
      <c r="E191" s="3"/>
      <c r="F191" s="3" t="s">
        <v>19</v>
      </c>
      <c r="G191" s="3" t="s">
        <v>646</v>
      </c>
      <c r="H191" s="8" t="s">
        <v>647</v>
      </c>
      <c r="I191" s="4" t="s">
        <v>648</v>
      </c>
      <c r="J191" s="5" t="s">
        <v>20</v>
      </c>
      <c r="K191" s="6"/>
      <c r="L191" s="5"/>
      <c r="M191" s="5"/>
      <c r="N191" s="6"/>
      <c r="O191" s="7"/>
      <c r="P191" s="8" t="s">
        <v>21</v>
      </c>
      <c r="Q191" s="8" t="s">
        <v>22</v>
      </c>
    </row>
    <row r="192" customFormat="false" ht="15" hidden="false" customHeight="false" outlineLevel="0" collapsed="false">
      <c r="A192" s="2" t="n">
        <v>191</v>
      </c>
      <c r="B192" s="3" t="s">
        <v>649</v>
      </c>
      <c r="C192" s="3" t="s">
        <v>533</v>
      </c>
      <c r="D192" s="4"/>
      <c r="E192" s="3"/>
      <c r="F192" s="3" t="s">
        <v>19</v>
      </c>
      <c r="G192" s="3"/>
      <c r="H192" s="8" t="s">
        <v>650</v>
      </c>
      <c r="I192" s="4" t="s">
        <v>651</v>
      </c>
      <c r="J192" s="5" t="s">
        <v>20</v>
      </c>
      <c r="K192" s="6"/>
      <c r="L192" s="5"/>
      <c r="M192" s="5"/>
      <c r="N192" s="6"/>
      <c r="O192" s="7"/>
      <c r="P192" s="8" t="s">
        <v>21</v>
      </c>
      <c r="Q192" s="8" t="s">
        <v>22</v>
      </c>
    </row>
    <row r="193" customFormat="false" ht="15" hidden="false" customHeight="false" outlineLevel="0" collapsed="false">
      <c r="A193" s="2" t="n">
        <v>192</v>
      </c>
      <c r="B193" s="3" t="s">
        <v>652</v>
      </c>
      <c r="C193" s="3" t="s">
        <v>18</v>
      </c>
      <c r="D193" s="4" t="s">
        <v>653</v>
      </c>
      <c r="E193" s="3" t="s">
        <v>93</v>
      </c>
      <c r="F193" s="3" t="s">
        <v>19</v>
      </c>
      <c r="G193" s="3" t="s">
        <v>654</v>
      </c>
      <c r="H193" s="3"/>
      <c r="I193" s="4" t="s">
        <v>655</v>
      </c>
      <c r="J193" s="5" t="s">
        <v>20</v>
      </c>
      <c r="K193" s="6"/>
      <c r="L193" s="5"/>
      <c r="M193" s="5"/>
      <c r="N193" s="6"/>
      <c r="O193" s="7"/>
      <c r="P193" s="8" t="s">
        <v>21</v>
      </c>
      <c r="Q193" s="8" t="s">
        <v>22</v>
      </c>
    </row>
    <row r="194" customFormat="false" ht="23.85" hidden="false" customHeight="false" outlineLevel="0" collapsed="false">
      <c r="A194" s="2" t="n">
        <v>193</v>
      </c>
      <c r="B194" s="3" t="s">
        <v>656</v>
      </c>
      <c r="C194" s="3" t="s">
        <v>120</v>
      </c>
      <c r="D194" s="4" t="s">
        <v>657</v>
      </c>
      <c r="E194" s="3" t="s">
        <v>93</v>
      </c>
      <c r="F194" s="3" t="s">
        <v>19</v>
      </c>
      <c r="G194" s="3" t="s">
        <v>658</v>
      </c>
      <c r="H194" s="8" t="s">
        <v>659</v>
      </c>
      <c r="I194" s="4" t="s">
        <v>660</v>
      </c>
      <c r="J194" s="5" t="s">
        <v>20</v>
      </c>
      <c r="K194" s="6"/>
      <c r="L194" s="5"/>
      <c r="M194" s="5"/>
      <c r="N194" s="6"/>
      <c r="O194" s="7"/>
      <c r="P194" s="8" t="s">
        <v>21</v>
      </c>
      <c r="Q194" s="8" t="s">
        <v>22</v>
      </c>
    </row>
    <row r="195" customFormat="false" ht="15" hidden="false" customHeight="false" outlineLevel="0" collapsed="false">
      <c r="A195" s="2" t="n">
        <v>194</v>
      </c>
      <c r="B195" s="3" t="s">
        <v>661</v>
      </c>
      <c r="C195" s="3" t="s">
        <v>662</v>
      </c>
      <c r="D195" s="4" t="s">
        <v>663</v>
      </c>
      <c r="E195" s="3" t="s">
        <v>31</v>
      </c>
      <c r="F195" s="3" t="s">
        <v>19</v>
      </c>
      <c r="G195" s="3" t="s">
        <v>664</v>
      </c>
      <c r="H195" s="8" t="s">
        <v>665</v>
      </c>
      <c r="I195" s="4" t="s">
        <v>666</v>
      </c>
      <c r="J195" s="5" t="s">
        <v>20</v>
      </c>
      <c r="K195" s="6"/>
      <c r="L195" s="5"/>
      <c r="M195" s="5"/>
      <c r="N195" s="6"/>
      <c r="O195" s="7"/>
      <c r="P195" s="8" t="s">
        <v>21</v>
      </c>
      <c r="Q195" s="8" t="s">
        <v>22</v>
      </c>
    </row>
    <row r="196" customFormat="false" ht="15" hidden="false" customHeight="false" outlineLevel="0" collapsed="false">
      <c r="A196" s="2" t="n">
        <v>195</v>
      </c>
      <c r="B196" s="3" t="s">
        <v>667</v>
      </c>
      <c r="C196" s="3" t="s">
        <v>89</v>
      </c>
      <c r="D196" s="4" t="s">
        <v>668</v>
      </c>
      <c r="E196" s="3" t="s">
        <v>26</v>
      </c>
      <c r="F196" s="3" t="s">
        <v>19</v>
      </c>
      <c r="G196" s="3" t="s">
        <v>669</v>
      </c>
      <c r="H196" s="3"/>
      <c r="I196" s="4" t="s">
        <v>670</v>
      </c>
      <c r="J196" s="5" t="s">
        <v>20</v>
      </c>
      <c r="K196" s="6"/>
      <c r="L196" s="5"/>
      <c r="M196" s="5"/>
      <c r="N196" s="6"/>
      <c r="O196" s="7"/>
      <c r="P196" s="8" t="s">
        <v>21</v>
      </c>
      <c r="Q196" s="8" t="s">
        <v>22</v>
      </c>
    </row>
    <row r="197" customFormat="false" ht="15" hidden="false" customHeight="false" outlineLevel="0" collapsed="false">
      <c r="A197" s="2" t="n">
        <v>196</v>
      </c>
      <c r="B197" s="3" t="s">
        <v>671</v>
      </c>
      <c r="C197" s="3" t="s">
        <v>120</v>
      </c>
      <c r="D197" s="4"/>
      <c r="E197" s="3"/>
      <c r="F197" s="3" t="s">
        <v>19</v>
      </c>
      <c r="G197" s="3"/>
      <c r="H197" s="3"/>
      <c r="I197" s="4"/>
      <c r="J197" s="5" t="s">
        <v>20</v>
      </c>
      <c r="K197" s="6"/>
      <c r="L197" s="5"/>
      <c r="M197" s="5"/>
      <c r="N197" s="6"/>
      <c r="O197" s="7"/>
      <c r="P197" s="8" t="s">
        <v>21</v>
      </c>
      <c r="Q197" s="8" t="s">
        <v>22</v>
      </c>
    </row>
    <row r="198" customFormat="false" ht="15" hidden="false" customHeight="false" outlineLevel="0" collapsed="false">
      <c r="A198" s="2" t="n">
        <v>197</v>
      </c>
      <c r="B198" s="3" t="s">
        <v>672</v>
      </c>
      <c r="C198" s="3" t="s">
        <v>673</v>
      </c>
      <c r="D198" s="4" t="s">
        <v>674</v>
      </c>
      <c r="E198" s="3" t="s">
        <v>93</v>
      </c>
      <c r="F198" s="3" t="s">
        <v>19</v>
      </c>
      <c r="G198" s="3"/>
      <c r="H198" s="8" t="s">
        <v>675</v>
      </c>
      <c r="I198" s="4" t="s">
        <v>676</v>
      </c>
      <c r="J198" s="5" t="s">
        <v>20</v>
      </c>
      <c r="K198" s="6"/>
      <c r="L198" s="5"/>
      <c r="M198" s="5"/>
      <c r="N198" s="6"/>
      <c r="O198" s="7"/>
      <c r="P198" s="8" t="s">
        <v>21</v>
      </c>
      <c r="Q198" s="8" t="s">
        <v>22</v>
      </c>
    </row>
    <row r="199" customFormat="false" ht="15" hidden="false" customHeight="false" outlineLevel="0" collapsed="false">
      <c r="A199" s="2" t="n">
        <v>198</v>
      </c>
      <c r="B199" s="3" t="s">
        <v>677</v>
      </c>
      <c r="C199" s="3" t="s">
        <v>678</v>
      </c>
      <c r="D199" s="4"/>
      <c r="E199" s="3"/>
      <c r="F199" s="3" t="s">
        <v>19</v>
      </c>
      <c r="G199" s="3" t="s">
        <v>679</v>
      </c>
      <c r="H199" s="8" t="s">
        <v>680</v>
      </c>
      <c r="I199" s="4" t="s">
        <v>681</v>
      </c>
      <c r="J199" s="5" t="s">
        <v>20</v>
      </c>
      <c r="K199" s="6"/>
      <c r="L199" s="5"/>
      <c r="M199" s="5"/>
      <c r="N199" s="6"/>
      <c r="O199" s="7"/>
      <c r="P199" s="8" t="s">
        <v>21</v>
      </c>
      <c r="Q199" s="8" t="s">
        <v>22</v>
      </c>
    </row>
    <row r="200" customFormat="false" ht="15" hidden="false" customHeight="false" outlineLevel="0" collapsed="false">
      <c r="A200" s="2" t="n">
        <v>199</v>
      </c>
      <c r="B200" s="3" t="s">
        <v>677</v>
      </c>
      <c r="C200" s="3" t="s">
        <v>234</v>
      </c>
      <c r="D200" s="4"/>
      <c r="E200" s="3"/>
      <c r="F200" s="3" t="s">
        <v>19</v>
      </c>
      <c r="G200" s="3"/>
      <c r="H200" s="3"/>
      <c r="I200" s="4" t="s">
        <v>485</v>
      </c>
      <c r="J200" s="5" t="s">
        <v>20</v>
      </c>
      <c r="K200" s="6"/>
      <c r="L200" s="5"/>
      <c r="M200" s="5"/>
      <c r="N200" s="6"/>
      <c r="O200" s="7"/>
      <c r="P200" s="8" t="s">
        <v>21</v>
      </c>
      <c r="Q200" s="8" t="s">
        <v>22</v>
      </c>
    </row>
    <row r="201" customFormat="false" ht="15" hidden="false" customHeight="false" outlineLevel="0" collapsed="false">
      <c r="A201" s="2" t="n">
        <v>200</v>
      </c>
      <c r="B201" s="3" t="s">
        <v>682</v>
      </c>
      <c r="C201" s="3"/>
      <c r="D201" s="4"/>
      <c r="E201" s="3"/>
      <c r="F201" s="3" t="s">
        <v>19</v>
      </c>
      <c r="G201" s="3" t="s">
        <v>683</v>
      </c>
      <c r="H201" s="8" t="s">
        <v>684</v>
      </c>
      <c r="I201" s="4" t="s">
        <v>685</v>
      </c>
      <c r="J201" s="5" t="s">
        <v>20</v>
      </c>
      <c r="K201" s="6"/>
      <c r="L201" s="5"/>
      <c r="M201" s="5"/>
      <c r="N201" s="6"/>
      <c r="O201" s="7"/>
      <c r="P201" s="8" t="s">
        <v>21</v>
      </c>
      <c r="Q201" s="8" t="s">
        <v>22</v>
      </c>
    </row>
    <row r="202" customFormat="false" ht="15" hidden="false" customHeight="false" outlineLevel="0" collapsed="false">
      <c r="A202" s="2" t="n">
        <v>201</v>
      </c>
      <c r="B202" s="3" t="s">
        <v>686</v>
      </c>
      <c r="C202" s="3"/>
      <c r="D202" s="4"/>
      <c r="E202" s="3"/>
      <c r="F202" s="3" t="s">
        <v>19</v>
      </c>
      <c r="G202" s="3" t="s">
        <v>687</v>
      </c>
      <c r="H202" s="3"/>
      <c r="I202" s="4" t="s">
        <v>688</v>
      </c>
      <c r="J202" s="5" t="s">
        <v>20</v>
      </c>
      <c r="K202" s="6"/>
      <c r="L202" s="5"/>
      <c r="M202" s="5"/>
      <c r="N202" s="6"/>
      <c r="O202" s="7"/>
      <c r="P202" s="8" t="s">
        <v>21</v>
      </c>
      <c r="Q202" s="8" t="s">
        <v>22</v>
      </c>
    </row>
    <row r="203" customFormat="false" ht="15" hidden="false" customHeight="false" outlineLevel="0" collapsed="false">
      <c r="A203" s="2" t="n">
        <v>202</v>
      </c>
      <c r="B203" s="3" t="s">
        <v>689</v>
      </c>
      <c r="C203" s="3" t="s">
        <v>394</v>
      </c>
      <c r="D203" s="4"/>
      <c r="E203" s="3"/>
      <c r="F203" s="3" t="s">
        <v>19</v>
      </c>
      <c r="G203" s="3" t="s">
        <v>690</v>
      </c>
      <c r="H203" s="3"/>
      <c r="I203" s="4"/>
      <c r="J203" s="5" t="s">
        <v>20</v>
      </c>
      <c r="K203" s="6"/>
      <c r="L203" s="5"/>
      <c r="M203" s="5"/>
      <c r="N203" s="6"/>
      <c r="O203" s="7"/>
      <c r="P203" s="8" t="s">
        <v>21</v>
      </c>
      <c r="Q203" s="8" t="s">
        <v>22</v>
      </c>
    </row>
    <row r="204" customFormat="false" ht="23.85" hidden="false" customHeight="false" outlineLevel="0" collapsed="false">
      <c r="A204" s="2" t="n">
        <v>203</v>
      </c>
      <c r="B204" s="3" t="s">
        <v>691</v>
      </c>
      <c r="C204" s="3" t="s">
        <v>692</v>
      </c>
      <c r="D204" s="4"/>
      <c r="E204" s="3"/>
      <c r="F204" s="3" t="s">
        <v>19</v>
      </c>
      <c r="G204" s="3" t="s">
        <v>693</v>
      </c>
      <c r="H204" s="8" t="s">
        <v>694</v>
      </c>
      <c r="I204" s="4" t="s">
        <v>695</v>
      </c>
      <c r="J204" s="5" t="s">
        <v>20</v>
      </c>
      <c r="K204" s="6"/>
      <c r="L204" s="5"/>
      <c r="M204" s="5"/>
      <c r="N204" s="6"/>
      <c r="O204" s="7"/>
      <c r="P204" s="8" t="s">
        <v>21</v>
      </c>
      <c r="Q204" s="8" t="s">
        <v>22</v>
      </c>
    </row>
    <row r="205" customFormat="false" ht="15" hidden="false" customHeight="false" outlineLevel="0" collapsed="false">
      <c r="A205" s="2" t="n">
        <v>204</v>
      </c>
      <c r="B205" s="3" t="s">
        <v>696</v>
      </c>
      <c r="C205" s="3" t="s">
        <v>181</v>
      </c>
      <c r="D205" s="4"/>
      <c r="E205" s="3"/>
      <c r="F205" s="3" t="s">
        <v>19</v>
      </c>
      <c r="G205" s="3" t="s">
        <v>697</v>
      </c>
      <c r="H205" s="8" t="s">
        <v>698</v>
      </c>
      <c r="I205" s="4" t="s">
        <v>699</v>
      </c>
      <c r="J205" s="5" t="s">
        <v>20</v>
      </c>
      <c r="K205" s="6"/>
      <c r="L205" s="5"/>
      <c r="M205" s="5"/>
      <c r="N205" s="6"/>
      <c r="O205" s="7"/>
      <c r="P205" s="8" t="s">
        <v>21</v>
      </c>
      <c r="Q205" s="8" t="s">
        <v>22</v>
      </c>
    </row>
    <row r="206" customFormat="false" ht="15" hidden="false" customHeight="false" outlineLevel="0" collapsed="false">
      <c r="A206" s="2" t="n">
        <v>205</v>
      </c>
      <c r="B206" s="3" t="s">
        <v>700</v>
      </c>
      <c r="C206" s="3" t="s">
        <v>701</v>
      </c>
      <c r="D206" s="4"/>
      <c r="E206" s="3"/>
      <c r="F206" s="3" t="s">
        <v>19</v>
      </c>
      <c r="G206" s="3"/>
      <c r="H206" s="3"/>
      <c r="I206" s="4"/>
      <c r="J206" s="5" t="s">
        <v>20</v>
      </c>
      <c r="K206" s="6"/>
      <c r="L206" s="5"/>
      <c r="M206" s="5"/>
      <c r="N206" s="6"/>
      <c r="O206" s="7"/>
      <c r="P206" s="8" t="s">
        <v>21</v>
      </c>
      <c r="Q206" s="8" t="s">
        <v>22</v>
      </c>
    </row>
    <row r="207" customFormat="false" ht="15" hidden="false" customHeight="false" outlineLevel="0" collapsed="false">
      <c r="A207" s="2" t="n">
        <v>206</v>
      </c>
      <c r="B207" s="3" t="s">
        <v>702</v>
      </c>
      <c r="C207" s="3"/>
      <c r="D207" s="4"/>
      <c r="E207" s="3"/>
      <c r="F207" s="3" t="s">
        <v>19</v>
      </c>
      <c r="G207" s="3" t="s">
        <v>703</v>
      </c>
      <c r="H207" s="3"/>
      <c r="I207" s="4" t="s">
        <v>704</v>
      </c>
      <c r="J207" s="5" t="s">
        <v>20</v>
      </c>
      <c r="K207" s="6"/>
      <c r="L207" s="5"/>
      <c r="M207" s="5"/>
      <c r="N207" s="6"/>
      <c r="O207" s="7"/>
      <c r="P207" s="8" t="s">
        <v>21</v>
      </c>
      <c r="Q207" s="8" t="s">
        <v>22</v>
      </c>
    </row>
    <row r="208" customFormat="false" ht="15" hidden="false" customHeight="false" outlineLevel="0" collapsed="false">
      <c r="A208" s="2" t="n">
        <v>207</v>
      </c>
      <c r="B208" s="3" t="s">
        <v>705</v>
      </c>
      <c r="C208" s="3" t="s">
        <v>706</v>
      </c>
      <c r="D208" s="4"/>
      <c r="E208" s="3"/>
      <c r="F208" s="3" t="s">
        <v>19</v>
      </c>
      <c r="G208" s="3" t="s">
        <v>707</v>
      </c>
      <c r="H208" s="3"/>
      <c r="I208" s="4" t="s">
        <v>708</v>
      </c>
      <c r="J208" s="5" t="s">
        <v>20</v>
      </c>
      <c r="K208" s="6"/>
      <c r="L208" s="5"/>
      <c r="M208" s="5"/>
      <c r="N208" s="6"/>
      <c r="O208" s="7"/>
      <c r="P208" s="8" t="s">
        <v>21</v>
      </c>
      <c r="Q208" s="8" t="s">
        <v>22</v>
      </c>
    </row>
    <row r="209" customFormat="false" ht="15" hidden="false" customHeight="false" outlineLevel="0" collapsed="false">
      <c r="A209" s="2" t="n">
        <v>208</v>
      </c>
      <c r="B209" s="3" t="s">
        <v>709</v>
      </c>
      <c r="C209" s="3" t="s">
        <v>181</v>
      </c>
      <c r="D209" s="4"/>
      <c r="E209" s="3"/>
      <c r="F209" s="3" t="s">
        <v>19</v>
      </c>
      <c r="G209" s="3"/>
      <c r="H209" s="3"/>
      <c r="I209" s="4"/>
      <c r="J209" s="5" t="s">
        <v>20</v>
      </c>
      <c r="K209" s="6"/>
      <c r="L209" s="5"/>
      <c r="M209" s="5"/>
      <c r="N209" s="6"/>
      <c r="O209" s="7"/>
      <c r="P209" s="8" t="s">
        <v>21</v>
      </c>
      <c r="Q209" s="8" t="s">
        <v>22</v>
      </c>
    </row>
    <row r="210" customFormat="false" ht="15" hidden="false" customHeight="false" outlineLevel="0" collapsed="false">
      <c r="A210" s="2" t="n">
        <v>209</v>
      </c>
      <c r="B210" s="3" t="s">
        <v>710</v>
      </c>
      <c r="C210" s="3" t="s">
        <v>711</v>
      </c>
      <c r="D210" s="4"/>
      <c r="E210" s="3"/>
      <c r="F210" s="3" t="s">
        <v>19</v>
      </c>
      <c r="G210" s="3"/>
      <c r="H210" s="8" t="s">
        <v>712</v>
      </c>
      <c r="I210" s="4"/>
      <c r="J210" s="5" t="s">
        <v>20</v>
      </c>
      <c r="K210" s="6"/>
      <c r="L210" s="5"/>
      <c r="M210" s="5"/>
      <c r="N210" s="6"/>
      <c r="O210" s="7"/>
      <c r="P210" s="8" t="s">
        <v>21</v>
      </c>
      <c r="Q210" s="8" t="s">
        <v>22</v>
      </c>
    </row>
    <row r="211" customFormat="false" ht="15" hidden="false" customHeight="false" outlineLevel="0" collapsed="false">
      <c r="A211" s="2" t="n">
        <v>210</v>
      </c>
      <c r="B211" s="3" t="s">
        <v>713</v>
      </c>
      <c r="C211" s="3" t="s">
        <v>24</v>
      </c>
      <c r="D211" s="4" t="s">
        <v>714</v>
      </c>
      <c r="E211" s="3" t="s">
        <v>579</v>
      </c>
      <c r="F211" s="3" t="s">
        <v>19</v>
      </c>
      <c r="G211" s="3" t="s">
        <v>715</v>
      </c>
      <c r="H211" s="8" t="s">
        <v>716</v>
      </c>
      <c r="I211" s="4" t="s">
        <v>717</v>
      </c>
      <c r="J211" s="5" t="s">
        <v>20</v>
      </c>
      <c r="K211" s="6"/>
      <c r="L211" s="5"/>
      <c r="M211" s="5"/>
      <c r="N211" s="6"/>
      <c r="O211" s="7"/>
      <c r="P211" s="8" t="s">
        <v>21</v>
      </c>
      <c r="Q211" s="8" t="s">
        <v>22</v>
      </c>
    </row>
    <row r="212" customFormat="false" ht="23.85" hidden="false" customHeight="false" outlineLevel="0" collapsed="false">
      <c r="A212" s="2" t="n">
        <v>211</v>
      </c>
      <c r="B212" s="3" t="s">
        <v>718</v>
      </c>
      <c r="C212" s="3" t="s">
        <v>62</v>
      </c>
      <c r="D212" s="4"/>
      <c r="E212" s="3"/>
      <c r="F212" s="3" t="s">
        <v>19</v>
      </c>
      <c r="G212" s="3" t="s">
        <v>719</v>
      </c>
      <c r="H212" s="8" t="s">
        <v>720</v>
      </c>
      <c r="I212" s="4" t="s">
        <v>721</v>
      </c>
      <c r="J212" s="5" t="s">
        <v>20</v>
      </c>
      <c r="K212" s="6"/>
      <c r="L212" s="5"/>
      <c r="M212" s="5"/>
      <c r="N212" s="6"/>
      <c r="O212" s="7"/>
      <c r="P212" s="8" t="s">
        <v>21</v>
      </c>
      <c r="Q212" s="8" t="s">
        <v>22</v>
      </c>
    </row>
    <row r="213" customFormat="false" ht="23.85" hidden="false" customHeight="false" outlineLevel="0" collapsed="false">
      <c r="A213" s="2" t="n">
        <v>212</v>
      </c>
      <c r="B213" s="3" t="s">
        <v>722</v>
      </c>
      <c r="C213" s="3" t="s">
        <v>64</v>
      </c>
      <c r="D213" s="4"/>
      <c r="E213" s="3"/>
      <c r="F213" s="3" t="s">
        <v>19</v>
      </c>
      <c r="G213" s="3" t="s">
        <v>723</v>
      </c>
      <c r="H213" s="8" t="s">
        <v>724</v>
      </c>
      <c r="I213" s="4" t="s">
        <v>725</v>
      </c>
      <c r="J213" s="5" t="s">
        <v>20</v>
      </c>
      <c r="K213" s="6"/>
      <c r="L213" s="5"/>
      <c r="M213" s="5"/>
      <c r="N213" s="6"/>
      <c r="O213" s="7"/>
      <c r="P213" s="8" t="s">
        <v>21</v>
      </c>
      <c r="Q213" s="8" t="s">
        <v>22</v>
      </c>
    </row>
    <row r="214" customFormat="false" ht="15" hidden="false" customHeight="false" outlineLevel="0" collapsed="false">
      <c r="A214" s="2" t="n">
        <v>213</v>
      </c>
      <c r="B214" s="3" t="s">
        <v>726</v>
      </c>
      <c r="C214" s="3"/>
      <c r="D214" s="4"/>
      <c r="E214" s="3"/>
      <c r="F214" s="3" t="s">
        <v>19</v>
      </c>
      <c r="G214" s="3"/>
      <c r="H214" s="3"/>
      <c r="I214" s="4"/>
      <c r="J214" s="5" t="s">
        <v>20</v>
      </c>
      <c r="K214" s="6"/>
      <c r="L214" s="5"/>
      <c r="M214" s="5"/>
      <c r="N214" s="6"/>
      <c r="O214" s="7"/>
      <c r="P214" s="8" t="s">
        <v>21</v>
      </c>
      <c r="Q214" s="8" t="s">
        <v>22</v>
      </c>
    </row>
    <row r="215" customFormat="false" ht="15" hidden="false" customHeight="false" outlineLevel="0" collapsed="false">
      <c r="A215" s="2" t="n">
        <v>214</v>
      </c>
      <c r="B215" s="3" t="s">
        <v>727</v>
      </c>
      <c r="C215" s="3" t="s">
        <v>24</v>
      </c>
      <c r="D215" s="4" t="s">
        <v>728</v>
      </c>
      <c r="E215" s="3" t="s">
        <v>579</v>
      </c>
      <c r="F215" s="3" t="s">
        <v>19</v>
      </c>
      <c r="G215" s="3" t="s">
        <v>729</v>
      </c>
      <c r="H215" s="8" t="s">
        <v>730</v>
      </c>
      <c r="I215" s="4" t="s">
        <v>731</v>
      </c>
      <c r="J215" s="5" t="s">
        <v>20</v>
      </c>
      <c r="K215" s="6"/>
      <c r="L215" s="5"/>
      <c r="M215" s="5"/>
      <c r="N215" s="6"/>
      <c r="O215" s="7"/>
      <c r="P215" s="8" t="s">
        <v>21</v>
      </c>
      <c r="Q215" s="8" t="s">
        <v>22</v>
      </c>
    </row>
    <row r="216" customFormat="false" ht="15" hidden="false" customHeight="false" outlineLevel="0" collapsed="false">
      <c r="A216" s="2" t="n">
        <v>215</v>
      </c>
      <c r="B216" s="3" t="s">
        <v>732</v>
      </c>
      <c r="C216" s="3" t="s">
        <v>733</v>
      </c>
      <c r="D216" s="4"/>
      <c r="E216" s="3"/>
      <c r="F216" s="3" t="s">
        <v>19</v>
      </c>
      <c r="G216" s="3" t="s">
        <v>734</v>
      </c>
      <c r="H216" s="3"/>
      <c r="I216" s="4" t="s">
        <v>735</v>
      </c>
      <c r="J216" s="5" t="s">
        <v>20</v>
      </c>
      <c r="K216" s="6"/>
      <c r="L216" s="5"/>
      <c r="M216" s="5"/>
      <c r="N216" s="6"/>
      <c r="O216" s="7"/>
      <c r="P216" s="8" t="s">
        <v>21</v>
      </c>
      <c r="Q216" s="8" t="s">
        <v>22</v>
      </c>
    </row>
    <row r="217" customFormat="false" ht="15" hidden="false" customHeight="false" outlineLevel="0" collapsed="false">
      <c r="A217" s="2" t="n">
        <v>216</v>
      </c>
      <c r="B217" s="3" t="s">
        <v>736</v>
      </c>
      <c r="C217" s="3" t="s">
        <v>169</v>
      </c>
      <c r="D217" s="4" t="s">
        <v>737</v>
      </c>
      <c r="E217" s="3" t="s">
        <v>93</v>
      </c>
      <c r="F217" s="3" t="s">
        <v>19</v>
      </c>
      <c r="G217" s="3"/>
      <c r="H217" s="3"/>
      <c r="I217" s="4"/>
      <c r="J217" s="5" t="s">
        <v>20</v>
      </c>
      <c r="K217" s="6"/>
      <c r="L217" s="5"/>
      <c r="M217" s="5"/>
      <c r="N217" s="6"/>
      <c r="O217" s="7"/>
      <c r="P217" s="8" t="s">
        <v>21</v>
      </c>
      <c r="Q217" s="8" t="s">
        <v>22</v>
      </c>
    </row>
    <row r="218" customFormat="false" ht="15" hidden="false" customHeight="false" outlineLevel="0" collapsed="false">
      <c r="A218" s="2" t="n">
        <v>217</v>
      </c>
      <c r="B218" s="3" t="s">
        <v>738</v>
      </c>
      <c r="C218" s="3" t="s">
        <v>739</v>
      </c>
      <c r="D218" s="4" t="s">
        <v>740</v>
      </c>
      <c r="E218" s="3"/>
      <c r="F218" s="3" t="s">
        <v>19</v>
      </c>
      <c r="G218" s="3" t="s">
        <v>741</v>
      </c>
      <c r="H218" s="8" t="s">
        <v>742</v>
      </c>
      <c r="I218" s="4" t="s">
        <v>743</v>
      </c>
      <c r="J218" s="5" t="s">
        <v>20</v>
      </c>
      <c r="K218" s="6"/>
      <c r="L218" s="5"/>
      <c r="M218" s="5"/>
      <c r="N218" s="6"/>
      <c r="O218" s="7"/>
      <c r="P218" s="8" t="s">
        <v>21</v>
      </c>
      <c r="Q218" s="8" t="s">
        <v>22</v>
      </c>
    </row>
    <row r="219" customFormat="false" ht="15" hidden="false" customHeight="false" outlineLevel="0" collapsed="false">
      <c r="A219" s="2" t="n">
        <v>218</v>
      </c>
      <c r="B219" s="3" t="s">
        <v>744</v>
      </c>
      <c r="C219" s="3" t="s">
        <v>120</v>
      </c>
      <c r="D219" s="4" t="s">
        <v>745</v>
      </c>
      <c r="E219" s="3" t="s">
        <v>148</v>
      </c>
      <c r="F219" s="3" t="s">
        <v>19</v>
      </c>
      <c r="G219" s="3" t="s">
        <v>746</v>
      </c>
      <c r="H219" s="8" t="s">
        <v>747</v>
      </c>
      <c r="I219" s="4" t="s">
        <v>748</v>
      </c>
      <c r="J219" s="5" t="s">
        <v>20</v>
      </c>
      <c r="K219" s="6"/>
      <c r="L219" s="5"/>
      <c r="M219" s="5"/>
      <c r="N219" s="6"/>
      <c r="O219" s="7"/>
      <c r="P219" s="8" t="s">
        <v>21</v>
      </c>
      <c r="Q219" s="8" t="s">
        <v>22</v>
      </c>
    </row>
    <row r="220" customFormat="false" ht="15" hidden="false" customHeight="false" outlineLevel="0" collapsed="false">
      <c r="A220" s="2" t="n">
        <v>219</v>
      </c>
      <c r="B220" s="3" t="s">
        <v>744</v>
      </c>
      <c r="C220" s="3" t="s">
        <v>120</v>
      </c>
      <c r="D220" s="4"/>
      <c r="E220" s="3"/>
      <c r="F220" s="3" t="s">
        <v>19</v>
      </c>
      <c r="G220" s="3" t="s">
        <v>749</v>
      </c>
      <c r="H220" s="8" t="s">
        <v>750</v>
      </c>
      <c r="I220" s="4" t="s">
        <v>751</v>
      </c>
      <c r="J220" s="5" t="s">
        <v>20</v>
      </c>
      <c r="K220" s="6"/>
      <c r="L220" s="5"/>
      <c r="M220" s="5"/>
      <c r="N220" s="6"/>
      <c r="O220" s="7"/>
      <c r="P220" s="8" t="s">
        <v>21</v>
      </c>
      <c r="Q220" s="8" t="s">
        <v>22</v>
      </c>
    </row>
    <row r="221" customFormat="false" ht="15" hidden="false" customHeight="false" outlineLevel="0" collapsed="false">
      <c r="A221" s="2" t="n">
        <v>220</v>
      </c>
      <c r="B221" s="3" t="s">
        <v>752</v>
      </c>
      <c r="C221" s="3"/>
      <c r="D221" s="4"/>
      <c r="E221" s="3"/>
      <c r="F221" s="3" t="s">
        <v>19</v>
      </c>
      <c r="G221" s="3" t="s">
        <v>753</v>
      </c>
      <c r="H221" s="8" t="s">
        <v>754</v>
      </c>
      <c r="I221" s="4" t="s">
        <v>755</v>
      </c>
      <c r="J221" s="5" t="s">
        <v>20</v>
      </c>
      <c r="K221" s="6"/>
      <c r="L221" s="5"/>
      <c r="M221" s="5"/>
      <c r="N221" s="6"/>
      <c r="O221" s="7"/>
      <c r="P221" s="8" t="s">
        <v>21</v>
      </c>
      <c r="Q221" s="8" t="s">
        <v>22</v>
      </c>
    </row>
    <row r="222" customFormat="false" ht="15" hidden="false" customHeight="false" outlineLevel="0" collapsed="false">
      <c r="A222" s="2" t="n">
        <v>221</v>
      </c>
      <c r="B222" s="3" t="s">
        <v>756</v>
      </c>
      <c r="C222" s="3" t="s">
        <v>116</v>
      </c>
      <c r="D222" s="4" t="s">
        <v>757</v>
      </c>
      <c r="E222" s="3" t="s">
        <v>31</v>
      </c>
      <c r="F222" s="3" t="s">
        <v>19</v>
      </c>
      <c r="G222" s="3"/>
      <c r="H222" s="3"/>
      <c r="I222" s="4"/>
      <c r="J222" s="5" t="s">
        <v>20</v>
      </c>
      <c r="K222" s="6"/>
      <c r="L222" s="5"/>
      <c r="M222" s="5"/>
      <c r="N222" s="6"/>
      <c r="O222" s="7"/>
      <c r="P222" s="8" t="s">
        <v>21</v>
      </c>
      <c r="Q222" s="8" t="s">
        <v>22</v>
      </c>
    </row>
    <row r="223" customFormat="false" ht="15" hidden="false" customHeight="false" outlineLevel="0" collapsed="false">
      <c r="A223" s="2" t="n">
        <v>222</v>
      </c>
      <c r="B223" s="3" t="s">
        <v>758</v>
      </c>
      <c r="C223" s="3" t="s">
        <v>153</v>
      </c>
      <c r="D223" s="4"/>
      <c r="E223" s="3"/>
      <c r="F223" s="3" t="s">
        <v>19</v>
      </c>
      <c r="G223" s="3"/>
      <c r="H223" s="3"/>
      <c r="I223" s="4" t="s">
        <v>759</v>
      </c>
      <c r="J223" s="5" t="s">
        <v>20</v>
      </c>
      <c r="K223" s="6"/>
      <c r="L223" s="5"/>
      <c r="M223" s="5"/>
      <c r="N223" s="6"/>
      <c r="O223" s="7"/>
      <c r="P223" s="8" t="s">
        <v>21</v>
      </c>
      <c r="Q223" s="8" t="s">
        <v>22</v>
      </c>
    </row>
    <row r="224" customFormat="false" ht="15" hidden="false" customHeight="false" outlineLevel="0" collapsed="false">
      <c r="A224" s="2" t="n">
        <v>223</v>
      </c>
      <c r="B224" s="3" t="s">
        <v>760</v>
      </c>
      <c r="C224" s="3"/>
      <c r="D224" s="4" t="s">
        <v>761</v>
      </c>
      <c r="E224" s="3" t="s">
        <v>31</v>
      </c>
      <c r="F224" s="3" t="s">
        <v>19</v>
      </c>
      <c r="G224" s="3" t="s">
        <v>762</v>
      </c>
      <c r="H224" s="8" t="s">
        <v>763</v>
      </c>
      <c r="I224" s="4"/>
      <c r="J224" s="5" t="s">
        <v>20</v>
      </c>
      <c r="K224" s="6"/>
      <c r="L224" s="5"/>
      <c r="M224" s="5"/>
      <c r="N224" s="6"/>
      <c r="O224" s="7"/>
      <c r="P224" s="8" t="s">
        <v>21</v>
      </c>
      <c r="Q224" s="8" t="s">
        <v>22</v>
      </c>
    </row>
    <row r="225" customFormat="false" ht="15" hidden="false" customHeight="false" outlineLevel="0" collapsed="false">
      <c r="A225" s="2" t="n">
        <v>224</v>
      </c>
      <c r="B225" s="3" t="s">
        <v>764</v>
      </c>
      <c r="C225" s="3" t="s">
        <v>91</v>
      </c>
      <c r="D225" s="4"/>
      <c r="E225" s="3"/>
      <c r="F225" s="3" t="s">
        <v>19</v>
      </c>
      <c r="G225" s="3" t="s">
        <v>765</v>
      </c>
      <c r="H225" s="8" t="s">
        <v>766</v>
      </c>
      <c r="I225" s="4" t="s">
        <v>767</v>
      </c>
      <c r="J225" s="5" t="s">
        <v>20</v>
      </c>
      <c r="K225" s="6"/>
      <c r="L225" s="5"/>
      <c r="M225" s="5"/>
      <c r="N225" s="6"/>
      <c r="O225" s="7"/>
      <c r="P225" s="8" t="s">
        <v>21</v>
      </c>
      <c r="Q225" s="8" t="s">
        <v>22</v>
      </c>
    </row>
    <row r="226" customFormat="false" ht="35.05" hidden="false" customHeight="false" outlineLevel="0" collapsed="false">
      <c r="A226" s="2" t="n">
        <v>225</v>
      </c>
      <c r="B226" s="3" t="s">
        <v>768</v>
      </c>
      <c r="C226" s="3" t="s">
        <v>71</v>
      </c>
      <c r="D226" s="4" t="s">
        <v>769</v>
      </c>
      <c r="E226" s="3" t="s">
        <v>93</v>
      </c>
      <c r="F226" s="3" t="s">
        <v>19</v>
      </c>
      <c r="G226" s="3" t="s">
        <v>770</v>
      </c>
      <c r="H226" s="8" t="s">
        <v>771</v>
      </c>
      <c r="I226" s="4" t="s">
        <v>772</v>
      </c>
      <c r="J226" s="5" t="s">
        <v>20</v>
      </c>
      <c r="K226" s="6"/>
      <c r="L226" s="5"/>
      <c r="M226" s="5"/>
      <c r="N226" s="6"/>
      <c r="O226" s="7"/>
      <c r="P226" s="8" t="s">
        <v>21</v>
      </c>
      <c r="Q226" s="8" t="s">
        <v>22</v>
      </c>
    </row>
    <row r="227" customFormat="false" ht="15" hidden="false" customHeight="false" outlineLevel="0" collapsed="false">
      <c r="A227" s="2" t="n">
        <v>226</v>
      </c>
      <c r="B227" s="3" t="s">
        <v>773</v>
      </c>
      <c r="C227" s="3" t="s">
        <v>326</v>
      </c>
      <c r="D227" s="4"/>
      <c r="E227" s="3"/>
      <c r="F227" s="3" t="s">
        <v>19</v>
      </c>
      <c r="G227" s="3"/>
      <c r="H227" s="3"/>
      <c r="I227" s="4" t="s">
        <v>774</v>
      </c>
      <c r="J227" s="5" t="s">
        <v>20</v>
      </c>
      <c r="K227" s="6"/>
      <c r="L227" s="5"/>
      <c r="M227" s="5"/>
      <c r="N227" s="6"/>
      <c r="O227" s="7"/>
      <c r="P227" s="8" t="s">
        <v>21</v>
      </c>
      <c r="Q227" s="8" t="s">
        <v>22</v>
      </c>
    </row>
    <row r="228" customFormat="false" ht="15" hidden="false" customHeight="false" outlineLevel="0" collapsed="false">
      <c r="A228" s="2" t="n">
        <v>227</v>
      </c>
      <c r="B228" s="3" t="s">
        <v>775</v>
      </c>
      <c r="C228" s="3"/>
      <c r="D228" s="4"/>
      <c r="E228" s="3"/>
      <c r="F228" s="3" t="s">
        <v>19</v>
      </c>
      <c r="G228" s="3" t="s">
        <v>776</v>
      </c>
      <c r="H228" s="3"/>
      <c r="I228" s="4"/>
      <c r="J228" s="5" t="s">
        <v>20</v>
      </c>
      <c r="K228" s="6"/>
      <c r="L228" s="5"/>
      <c r="M228" s="5"/>
      <c r="N228" s="6"/>
      <c r="O228" s="7"/>
      <c r="P228" s="8" t="s">
        <v>21</v>
      </c>
      <c r="Q228" s="8" t="s">
        <v>22</v>
      </c>
    </row>
    <row r="229" customFormat="false" ht="15" hidden="false" customHeight="false" outlineLevel="0" collapsed="false">
      <c r="A229" s="2" t="n">
        <v>228</v>
      </c>
      <c r="B229" s="3" t="s">
        <v>777</v>
      </c>
      <c r="C229" s="3"/>
      <c r="D229" s="4"/>
      <c r="E229" s="3"/>
      <c r="F229" s="3" t="s">
        <v>19</v>
      </c>
      <c r="G229" s="3" t="s">
        <v>778</v>
      </c>
      <c r="H229" s="8" t="s">
        <v>779</v>
      </c>
      <c r="I229" s="4" t="s">
        <v>780</v>
      </c>
      <c r="J229" s="5" t="s">
        <v>20</v>
      </c>
      <c r="K229" s="6"/>
      <c r="L229" s="5"/>
      <c r="M229" s="5"/>
      <c r="N229" s="6"/>
      <c r="O229" s="7"/>
      <c r="P229" s="8" t="s">
        <v>21</v>
      </c>
      <c r="Q229" s="8" t="s">
        <v>22</v>
      </c>
    </row>
    <row r="230" customFormat="false" ht="15" hidden="false" customHeight="false" outlineLevel="0" collapsed="false">
      <c r="A230" s="2" t="n">
        <v>229</v>
      </c>
      <c r="B230" s="3" t="s">
        <v>781</v>
      </c>
      <c r="C230" s="3" t="s">
        <v>217</v>
      </c>
      <c r="D230" s="4" t="s">
        <v>782</v>
      </c>
      <c r="E230" s="3" t="s">
        <v>93</v>
      </c>
      <c r="F230" s="3" t="s">
        <v>19</v>
      </c>
      <c r="G230" s="3" t="s">
        <v>783</v>
      </c>
      <c r="H230" s="8" t="s">
        <v>784</v>
      </c>
      <c r="I230" s="4"/>
      <c r="J230" s="5" t="s">
        <v>20</v>
      </c>
      <c r="K230" s="6"/>
      <c r="L230" s="5"/>
      <c r="M230" s="5"/>
      <c r="N230" s="6"/>
      <c r="O230" s="7"/>
      <c r="P230" s="8" t="s">
        <v>21</v>
      </c>
      <c r="Q230" s="8" t="s">
        <v>22</v>
      </c>
    </row>
    <row r="231" customFormat="false" ht="15" hidden="false" customHeight="false" outlineLevel="0" collapsed="false">
      <c r="A231" s="2" t="n">
        <v>230</v>
      </c>
      <c r="B231" s="3" t="s">
        <v>785</v>
      </c>
      <c r="C231" s="3"/>
      <c r="D231" s="4"/>
      <c r="E231" s="3"/>
      <c r="F231" s="3" t="s">
        <v>19</v>
      </c>
      <c r="G231" s="3"/>
      <c r="H231" s="3"/>
      <c r="I231" s="4"/>
      <c r="J231" s="5" t="s">
        <v>20</v>
      </c>
      <c r="K231" s="6"/>
      <c r="L231" s="5"/>
      <c r="M231" s="5"/>
      <c r="N231" s="6"/>
      <c r="O231" s="7"/>
      <c r="P231" s="8" t="s">
        <v>21</v>
      </c>
      <c r="Q231" s="8" t="s">
        <v>22</v>
      </c>
    </row>
    <row r="232" customFormat="false" ht="15" hidden="false" customHeight="false" outlineLevel="0" collapsed="false">
      <c r="A232" s="2" t="n">
        <v>231</v>
      </c>
      <c r="B232" s="3" t="s">
        <v>786</v>
      </c>
      <c r="C232" s="3" t="s">
        <v>135</v>
      </c>
      <c r="D232" s="4"/>
      <c r="E232" s="3"/>
      <c r="F232" s="3" t="s">
        <v>19</v>
      </c>
      <c r="G232" s="3"/>
      <c r="H232" s="3"/>
      <c r="I232" s="4"/>
      <c r="J232" s="5" t="s">
        <v>20</v>
      </c>
      <c r="K232" s="6"/>
      <c r="L232" s="5"/>
      <c r="M232" s="5"/>
      <c r="N232" s="6"/>
      <c r="O232" s="7"/>
      <c r="P232" s="8" t="s">
        <v>21</v>
      </c>
      <c r="Q232" s="8" t="s">
        <v>22</v>
      </c>
    </row>
    <row r="233" customFormat="false" ht="15" hidden="false" customHeight="false" outlineLevel="0" collapsed="false">
      <c r="A233" s="2" t="n">
        <v>232</v>
      </c>
      <c r="B233" s="3" t="s">
        <v>787</v>
      </c>
      <c r="C233" s="3" t="s">
        <v>788</v>
      </c>
      <c r="D233" s="4"/>
      <c r="E233" s="3"/>
      <c r="F233" s="3" t="s">
        <v>19</v>
      </c>
      <c r="G233" s="3"/>
      <c r="H233" s="3"/>
      <c r="I233" s="4"/>
      <c r="J233" s="5" t="s">
        <v>20</v>
      </c>
      <c r="K233" s="6"/>
      <c r="L233" s="5"/>
      <c r="M233" s="5"/>
      <c r="N233" s="6"/>
      <c r="O233" s="7"/>
      <c r="P233" s="8" t="s">
        <v>21</v>
      </c>
      <c r="Q233" s="8" t="s">
        <v>22</v>
      </c>
    </row>
    <row r="234" customFormat="false" ht="15" hidden="false" customHeight="false" outlineLevel="0" collapsed="false">
      <c r="A234" s="2" t="n">
        <v>233</v>
      </c>
      <c r="B234" s="3" t="s">
        <v>789</v>
      </c>
      <c r="C234" s="3"/>
      <c r="D234" s="4"/>
      <c r="E234" s="3"/>
      <c r="F234" s="3" t="s">
        <v>19</v>
      </c>
      <c r="G234" s="3" t="s">
        <v>790</v>
      </c>
      <c r="H234" s="3"/>
      <c r="I234" s="4" t="s">
        <v>791</v>
      </c>
      <c r="J234" s="5" t="s">
        <v>20</v>
      </c>
      <c r="K234" s="6"/>
      <c r="L234" s="5"/>
      <c r="M234" s="5"/>
      <c r="N234" s="6"/>
      <c r="O234" s="7"/>
      <c r="P234" s="8" t="s">
        <v>21</v>
      </c>
      <c r="Q234" s="8" t="s">
        <v>22</v>
      </c>
    </row>
    <row r="235" customFormat="false" ht="15" hidden="false" customHeight="false" outlineLevel="0" collapsed="false">
      <c r="A235" s="2" t="n">
        <v>234</v>
      </c>
      <c r="B235" s="3" t="s">
        <v>792</v>
      </c>
      <c r="C235" s="3" t="s">
        <v>793</v>
      </c>
      <c r="D235" s="4"/>
      <c r="E235" s="3"/>
      <c r="F235" s="3" t="s">
        <v>19</v>
      </c>
      <c r="G235" s="3"/>
      <c r="H235" s="3"/>
      <c r="I235" s="4" t="s">
        <v>794</v>
      </c>
      <c r="J235" s="5" t="s">
        <v>20</v>
      </c>
      <c r="K235" s="6"/>
      <c r="L235" s="5"/>
      <c r="M235" s="5"/>
      <c r="N235" s="6"/>
      <c r="O235" s="7"/>
      <c r="P235" s="8" t="s">
        <v>21</v>
      </c>
      <c r="Q235" s="8" t="s">
        <v>22</v>
      </c>
    </row>
    <row r="236" customFormat="false" ht="15" hidden="false" customHeight="false" outlineLevel="0" collapsed="false">
      <c r="A236" s="2" t="n">
        <v>235</v>
      </c>
      <c r="B236" s="3" t="s">
        <v>795</v>
      </c>
      <c r="C236" s="3" t="s">
        <v>91</v>
      </c>
      <c r="D236" s="4"/>
      <c r="E236" s="3"/>
      <c r="F236" s="3" t="s">
        <v>19</v>
      </c>
      <c r="G236" s="3" t="s">
        <v>796</v>
      </c>
      <c r="H236" s="8" t="s">
        <v>797</v>
      </c>
      <c r="I236" s="4" t="s">
        <v>798</v>
      </c>
      <c r="J236" s="5" t="s">
        <v>20</v>
      </c>
      <c r="K236" s="6"/>
      <c r="L236" s="5"/>
      <c r="M236" s="5"/>
      <c r="N236" s="6"/>
      <c r="O236" s="7"/>
      <c r="P236" s="8" t="s">
        <v>21</v>
      </c>
      <c r="Q236" s="8" t="s">
        <v>22</v>
      </c>
    </row>
    <row r="237" customFormat="false" ht="35.05" hidden="false" customHeight="false" outlineLevel="0" collapsed="false">
      <c r="A237" s="2" t="n">
        <v>236</v>
      </c>
      <c r="B237" s="3" t="s">
        <v>799</v>
      </c>
      <c r="C237" s="3" t="s">
        <v>533</v>
      </c>
      <c r="D237" s="4" t="s">
        <v>800</v>
      </c>
      <c r="E237" s="3" t="s">
        <v>93</v>
      </c>
      <c r="F237" s="3" t="s">
        <v>19</v>
      </c>
      <c r="G237" s="3"/>
      <c r="H237" s="8" t="s">
        <v>801</v>
      </c>
      <c r="I237" s="4" t="s">
        <v>802</v>
      </c>
      <c r="J237" s="5" t="s">
        <v>20</v>
      </c>
      <c r="K237" s="6"/>
      <c r="L237" s="5"/>
      <c r="M237" s="5"/>
      <c r="N237" s="6"/>
      <c r="O237" s="7"/>
      <c r="P237" s="8" t="s">
        <v>21</v>
      </c>
      <c r="Q237" s="8" t="s">
        <v>22</v>
      </c>
    </row>
    <row r="238" customFormat="false" ht="23.85" hidden="false" customHeight="false" outlineLevel="0" collapsed="false">
      <c r="A238" s="2" t="n">
        <v>237</v>
      </c>
      <c r="B238" s="3" t="s">
        <v>803</v>
      </c>
      <c r="C238" s="3" t="s">
        <v>804</v>
      </c>
      <c r="D238" s="4" t="s">
        <v>805</v>
      </c>
      <c r="E238" s="3"/>
      <c r="F238" s="3" t="s">
        <v>19</v>
      </c>
      <c r="G238" s="3" t="s">
        <v>806</v>
      </c>
      <c r="H238" s="8" t="s">
        <v>807</v>
      </c>
      <c r="I238" s="4" t="s">
        <v>808</v>
      </c>
      <c r="J238" s="5" t="s">
        <v>20</v>
      </c>
      <c r="K238" s="6"/>
      <c r="L238" s="5"/>
      <c r="M238" s="5"/>
      <c r="N238" s="6"/>
      <c r="O238" s="7"/>
      <c r="P238" s="8" t="s">
        <v>21</v>
      </c>
      <c r="Q238" s="8" t="s">
        <v>22</v>
      </c>
    </row>
    <row r="239" customFormat="false" ht="23.85" hidden="false" customHeight="false" outlineLevel="0" collapsed="false">
      <c r="A239" s="2" t="n">
        <v>238</v>
      </c>
      <c r="B239" s="3" t="s">
        <v>809</v>
      </c>
      <c r="C239" s="3" t="s">
        <v>120</v>
      </c>
      <c r="D239" s="4"/>
      <c r="E239" s="3"/>
      <c r="F239" s="3" t="s">
        <v>19</v>
      </c>
      <c r="G239" s="3" t="s">
        <v>810</v>
      </c>
      <c r="H239" s="8" t="s">
        <v>811</v>
      </c>
      <c r="I239" s="4" t="s">
        <v>812</v>
      </c>
      <c r="J239" s="5" t="s">
        <v>20</v>
      </c>
      <c r="K239" s="6"/>
      <c r="L239" s="5"/>
      <c r="M239" s="5"/>
      <c r="N239" s="6"/>
      <c r="O239" s="7"/>
      <c r="P239" s="8" t="s">
        <v>21</v>
      </c>
      <c r="Q239" s="8" t="s">
        <v>22</v>
      </c>
    </row>
    <row r="240" customFormat="false" ht="15" hidden="false" customHeight="false" outlineLevel="0" collapsed="false">
      <c r="A240" s="2" t="n">
        <v>239</v>
      </c>
      <c r="B240" s="3" t="s">
        <v>813</v>
      </c>
      <c r="C240" s="3" t="s">
        <v>814</v>
      </c>
      <c r="D240" s="4"/>
      <c r="E240" s="3"/>
      <c r="F240" s="3" t="s">
        <v>19</v>
      </c>
      <c r="G240" s="3" t="s">
        <v>815</v>
      </c>
      <c r="H240" s="8" t="s">
        <v>816</v>
      </c>
      <c r="I240" s="4" t="s">
        <v>817</v>
      </c>
      <c r="J240" s="5" t="s">
        <v>20</v>
      </c>
      <c r="K240" s="6"/>
      <c r="L240" s="5"/>
      <c r="M240" s="5"/>
      <c r="N240" s="6"/>
      <c r="O240" s="7"/>
      <c r="P240" s="8" t="s">
        <v>21</v>
      </c>
      <c r="Q240" s="8" t="s">
        <v>22</v>
      </c>
    </row>
    <row r="241" customFormat="false" ht="35.05" hidden="false" customHeight="false" outlineLevel="0" collapsed="false">
      <c r="A241" s="2" t="n">
        <v>240</v>
      </c>
      <c r="B241" s="3" t="s">
        <v>818</v>
      </c>
      <c r="C241" s="3" t="s">
        <v>217</v>
      </c>
      <c r="D241" s="4" t="s">
        <v>819</v>
      </c>
      <c r="E241" s="3" t="s">
        <v>26</v>
      </c>
      <c r="F241" s="3" t="s">
        <v>19</v>
      </c>
      <c r="G241" s="3" t="s">
        <v>820</v>
      </c>
      <c r="H241" s="8" t="s">
        <v>821</v>
      </c>
      <c r="I241" s="4" t="s">
        <v>822</v>
      </c>
      <c r="J241" s="5" t="s">
        <v>20</v>
      </c>
      <c r="K241" s="6"/>
      <c r="L241" s="5"/>
      <c r="M241" s="5"/>
      <c r="N241" s="6"/>
      <c r="O241" s="7"/>
      <c r="P241" s="8" t="s">
        <v>21</v>
      </c>
      <c r="Q241" s="8" t="s">
        <v>22</v>
      </c>
    </row>
    <row r="242" customFormat="false" ht="15" hidden="false" customHeight="false" outlineLevel="0" collapsed="false">
      <c r="A242" s="2" t="n">
        <v>241</v>
      </c>
      <c r="B242" s="3" t="s">
        <v>823</v>
      </c>
      <c r="C242" s="3" t="s">
        <v>24</v>
      </c>
      <c r="D242" s="4"/>
      <c r="E242" s="3"/>
      <c r="F242" s="3" t="s">
        <v>19</v>
      </c>
      <c r="G242" s="3" t="s">
        <v>824</v>
      </c>
      <c r="H242" s="8" t="s">
        <v>825</v>
      </c>
      <c r="I242" s="4" t="s">
        <v>826</v>
      </c>
      <c r="J242" s="5" t="s">
        <v>20</v>
      </c>
      <c r="K242" s="6"/>
      <c r="L242" s="5"/>
      <c r="M242" s="5"/>
      <c r="N242" s="6"/>
      <c r="O242" s="7"/>
      <c r="P242" s="8" t="s">
        <v>21</v>
      </c>
      <c r="Q242" s="8" t="s">
        <v>22</v>
      </c>
    </row>
    <row r="243" customFormat="false" ht="15" hidden="false" customHeight="false" outlineLevel="0" collapsed="false">
      <c r="A243" s="2" t="n">
        <v>242</v>
      </c>
      <c r="B243" s="3" t="s">
        <v>827</v>
      </c>
      <c r="C243" s="3"/>
      <c r="D243" s="4"/>
      <c r="E243" s="3"/>
      <c r="F243" s="3" t="s">
        <v>19</v>
      </c>
      <c r="G243" s="3"/>
      <c r="H243" s="3"/>
      <c r="I243" s="4" t="s">
        <v>828</v>
      </c>
      <c r="J243" s="5" t="s">
        <v>20</v>
      </c>
      <c r="K243" s="6"/>
      <c r="L243" s="5"/>
      <c r="M243" s="5"/>
      <c r="N243" s="6"/>
      <c r="O243" s="7"/>
      <c r="P243" s="8" t="s">
        <v>21</v>
      </c>
      <c r="Q243" s="8" t="s">
        <v>22</v>
      </c>
    </row>
    <row r="244" customFormat="false" ht="15" hidden="false" customHeight="false" outlineLevel="0" collapsed="false">
      <c r="A244" s="2" t="n">
        <v>243</v>
      </c>
      <c r="B244" s="3" t="s">
        <v>829</v>
      </c>
      <c r="C244" s="3" t="s">
        <v>89</v>
      </c>
      <c r="D244" s="4"/>
      <c r="E244" s="3"/>
      <c r="F244" s="3" t="s">
        <v>19</v>
      </c>
      <c r="G244" s="3" t="s">
        <v>830</v>
      </c>
      <c r="H244" s="8" t="s">
        <v>831</v>
      </c>
      <c r="I244" s="4" t="s">
        <v>832</v>
      </c>
      <c r="J244" s="5" t="s">
        <v>20</v>
      </c>
      <c r="K244" s="6"/>
      <c r="L244" s="5"/>
      <c r="M244" s="5"/>
      <c r="N244" s="6"/>
      <c r="O244" s="7"/>
      <c r="P244" s="8" t="s">
        <v>21</v>
      </c>
      <c r="Q244" s="8" t="s">
        <v>22</v>
      </c>
    </row>
    <row r="245" customFormat="false" ht="15" hidden="false" customHeight="false" outlineLevel="0" collapsed="false">
      <c r="A245" s="2" t="n">
        <v>244</v>
      </c>
      <c r="B245" s="3" t="s">
        <v>833</v>
      </c>
      <c r="C245" s="3" t="s">
        <v>153</v>
      </c>
      <c r="D245" s="4"/>
      <c r="E245" s="3"/>
      <c r="F245" s="3" t="s">
        <v>19</v>
      </c>
      <c r="G245" s="3" t="s">
        <v>834</v>
      </c>
      <c r="H245" s="8" t="s">
        <v>835</v>
      </c>
      <c r="I245" s="4" t="s">
        <v>544</v>
      </c>
      <c r="J245" s="5" t="s">
        <v>20</v>
      </c>
      <c r="K245" s="6"/>
      <c r="L245" s="5"/>
      <c r="M245" s="5"/>
      <c r="N245" s="6"/>
      <c r="O245" s="7"/>
      <c r="P245" s="8" t="s">
        <v>21</v>
      </c>
      <c r="Q245" s="8" t="s">
        <v>22</v>
      </c>
    </row>
    <row r="246" customFormat="false" ht="15" hidden="false" customHeight="false" outlineLevel="0" collapsed="false">
      <c r="A246" s="2" t="n">
        <v>245</v>
      </c>
      <c r="B246" s="3" t="s">
        <v>836</v>
      </c>
      <c r="C246" s="3" t="s">
        <v>837</v>
      </c>
      <c r="D246" s="4"/>
      <c r="E246" s="3"/>
      <c r="F246" s="3" t="s">
        <v>19</v>
      </c>
      <c r="G246" s="3" t="s">
        <v>838</v>
      </c>
      <c r="H246" s="3"/>
      <c r="I246" s="4"/>
      <c r="J246" s="5" t="s">
        <v>20</v>
      </c>
      <c r="K246" s="6"/>
      <c r="L246" s="5"/>
      <c r="M246" s="5"/>
      <c r="N246" s="6"/>
      <c r="O246" s="7"/>
      <c r="P246" s="8" t="s">
        <v>21</v>
      </c>
      <c r="Q246" s="8" t="s">
        <v>22</v>
      </c>
    </row>
    <row r="247" customFormat="false" ht="23.85" hidden="false" customHeight="false" outlineLevel="0" collapsed="false">
      <c r="A247" s="2" t="n">
        <v>246</v>
      </c>
      <c r="B247" s="3" t="s">
        <v>839</v>
      </c>
      <c r="C247" s="3" t="s">
        <v>234</v>
      </c>
      <c r="D247" s="4"/>
      <c r="E247" s="3"/>
      <c r="F247" s="3" t="s">
        <v>19</v>
      </c>
      <c r="G247" s="3" t="s">
        <v>840</v>
      </c>
      <c r="H247" s="8" t="s">
        <v>841</v>
      </c>
      <c r="I247" s="4" t="s">
        <v>842</v>
      </c>
      <c r="J247" s="5" t="s">
        <v>20</v>
      </c>
      <c r="K247" s="6"/>
      <c r="L247" s="5"/>
      <c r="M247" s="5"/>
      <c r="N247" s="6"/>
      <c r="O247" s="7"/>
      <c r="P247" s="8" t="s">
        <v>21</v>
      </c>
      <c r="Q247" s="8" t="s">
        <v>22</v>
      </c>
    </row>
    <row r="248" customFormat="false" ht="15" hidden="false" customHeight="false" outlineLevel="0" collapsed="false">
      <c r="A248" s="2" t="n">
        <v>247</v>
      </c>
      <c r="B248" s="3" t="s">
        <v>843</v>
      </c>
      <c r="C248" s="3" t="s">
        <v>71</v>
      </c>
      <c r="D248" s="4"/>
      <c r="E248" s="3"/>
      <c r="F248" s="3" t="s">
        <v>19</v>
      </c>
      <c r="G248" s="3" t="s">
        <v>844</v>
      </c>
      <c r="H248" s="8" t="s">
        <v>845</v>
      </c>
      <c r="I248" s="4" t="s">
        <v>846</v>
      </c>
      <c r="J248" s="5" t="s">
        <v>20</v>
      </c>
      <c r="K248" s="6"/>
      <c r="L248" s="5"/>
      <c r="M248" s="5"/>
      <c r="N248" s="6"/>
      <c r="O248" s="7"/>
      <c r="P248" s="8" t="s">
        <v>21</v>
      </c>
      <c r="Q248" s="8" t="s">
        <v>22</v>
      </c>
    </row>
    <row r="249" customFormat="false" ht="15" hidden="false" customHeight="false" outlineLevel="0" collapsed="false">
      <c r="A249" s="2" t="n">
        <v>248</v>
      </c>
      <c r="B249" s="3" t="s">
        <v>847</v>
      </c>
      <c r="C249" s="3" t="s">
        <v>711</v>
      </c>
      <c r="D249" s="4"/>
      <c r="E249" s="3"/>
      <c r="F249" s="3" t="s">
        <v>19</v>
      </c>
      <c r="G249" s="3" t="s">
        <v>848</v>
      </c>
      <c r="H249" s="8" t="s">
        <v>849</v>
      </c>
      <c r="I249" s="4" t="s">
        <v>850</v>
      </c>
      <c r="J249" s="5" t="s">
        <v>20</v>
      </c>
      <c r="K249" s="6"/>
      <c r="L249" s="5"/>
      <c r="M249" s="5"/>
      <c r="N249" s="6"/>
      <c r="O249" s="7"/>
      <c r="P249" s="8" t="s">
        <v>21</v>
      </c>
      <c r="Q249" s="8" t="s">
        <v>22</v>
      </c>
    </row>
    <row r="250" customFormat="false" ht="15" hidden="false" customHeight="false" outlineLevel="0" collapsed="false">
      <c r="A250" s="2" t="n">
        <v>249</v>
      </c>
      <c r="B250" s="3" t="s">
        <v>851</v>
      </c>
      <c r="C250" s="3" t="s">
        <v>120</v>
      </c>
      <c r="D250" s="4"/>
      <c r="E250" s="3"/>
      <c r="F250" s="3" t="s">
        <v>19</v>
      </c>
      <c r="G250" s="3" t="s">
        <v>852</v>
      </c>
      <c r="H250" s="3"/>
      <c r="I250" s="4" t="s">
        <v>853</v>
      </c>
      <c r="J250" s="5" t="s">
        <v>20</v>
      </c>
      <c r="K250" s="6"/>
      <c r="L250" s="5"/>
      <c r="M250" s="5"/>
      <c r="N250" s="6"/>
      <c r="O250" s="7"/>
      <c r="P250" s="8" t="s">
        <v>21</v>
      </c>
      <c r="Q250" s="8" t="s">
        <v>22</v>
      </c>
    </row>
    <row r="251" customFormat="false" ht="15" hidden="false" customHeight="false" outlineLevel="0" collapsed="false">
      <c r="A251" s="2" t="n">
        <v>250</v>
      </c>
      <c r="B251" s="3" t="s">
        <v>854</v>
      </c>
      <c r="C251" s="3" t="s">
        <v>140</v>
      </c>
      <c r="D251" s="4" t="s">
        <v>855</v>
      </c>
      <c r="E251" s="3"/>
      <c r="F251" s="3" t="s">
        <v>19</v>
      </c>
      <c r="G251" s="3" t="s">
        <v>856</v>
      </c>
      <c r="H251" s="3"/>
      <c r="I251" s="4" t="s">
        <v>857</v>
      </c>
      <c r="J251" s="5" t="s">
        <v>20</v>
      </c>
      <c r="K251" s="6"/>
      <c r="L251" s="5"/>
      <c r="M251" s="5"/>
      <c r="N251" s="6"/>
      <c r="O251" s="7"/>
      <c r="P251" s="8" t="s">
        <v>21</v>
      </c>
      <c r="Q251" s="8" t="s">
        <v>22</v>
      </c>
    </row>
    <row r="252" customFormat="false" ht="15" hidden="false" customHeight="false" outlineLevel="0" collapsed="false">
      <c r="A252" s="2" t="n">
        <v>251</v>
      </c>
      <c r="B252" s="3" t="s">
        <v>858</v>
      </c>
      <c r="C252" s="3" t="s">
        <v>859</v>
      </c>
      <c r="D252" s="4"/>
      <c r="E252" s="3"/>
      <c r="F252" s="3" t="s">
        <v>19</v>
      </c>
      <c r="G252" s="3"/>
      <c r="H252" s="3"/>
      <c r="I252" s="4"/>
      <c r="J252" s="5" t="s">
        <v>20</v>
      </c>
      <c r="K252" s="6"/>
      <c r="L252" s="5"/>
      <c r="M252" s="5"/>
      <c r="N252" s="6"/>
      <c r="O252" s="7"/>
      <c r="P252" s="8" t="s">
        <v>21</v>
      </c>
      <c r="Q252" s="8" t="s">
        <v>22</v>
      </c>
    </row>
    <row r="253" customFormat="false" ht="15" hidden="false" customHeight="false" outlineLevel="0" collapsed="false">
      <c r="A253" s="2" t="n">
        <v>252</v>
      </c>
      <c r="B253" s="3" t="s">
        <v>860</v>
      </c>
      <c r="C253" s="3"/>
      <c r="D253" s="4" t="s">
        <v>861</v>
      </c>
      <c r="E253" s="3" t="s">
        <v>93</v>
      </c>
      <c r="F253" s="3" t="s">
        <v>19</v>
      </c>
      <c r="G253" s="3"/>
      <c r="H253" s="3"/>
      <c r="I253" s="4"/>
      <c r="J253" s="5" t="s">
        <v>20</v>
      </c>
      <c r="K253" s="6"/>
      <c r="L253" s="5"/>
      <c r="M253" s="5"/>
      <c r="N253" s="6"/>
      <c r="O253" s="7"/>
      <c r="P253" s="8" t="s">
        <v>21</v>
      </c>
      <c r="Q253" s="8" t="s">
        <v>22</v>
      </c>
    </row>
    <row r="254" customFormat="false" ht="15" hidden="false" customHeight="false" outlineLevel="0" collapsed="false">
      <c r="A254" s="2" t="n">
        <v>253</v>
      </c>
      <c r="B254" s="3" t="s">
        <v>862</v>
      </c>
      <c r="C254" s="3" t="s">
        <v>89</v>
      </c>
      <c r="D254" s="4" t="s">
        <v>863</v>
      </c>
      <c r="E254" s="3" t="s">
        <v>57</v>
      </c>
      <c r="F254" s="3" t="s">
        <v>19</v>
      </c>
      <c r="G254" s="3" t="s">
        <v>864</v>
      </c>
      <c r="H254" s="8" t="s">
        <v>865</v>
      </c>
      <c r="I254" s="4" t="s">
        <v>866</v>
      </c>
      <c r="J254" s="5" t="s">
        <v>20</v>
      </c>
      <c r="K254" s="6"/>
      <c r="L254" s="5"/>
      <c r="M254" s="5"/>
      <c r="N254" s="6"/>
      <c r="O254" s="7"/>
      <c r="P254" s="8" t="s">
        <v>21</v>
      </c>
      <c r="Q254" s="8" t="s">
        <v>22</v>
      </c>
    </row>
    <row r="255" customFormat="false" ht="15" hidden="false" customHeight="false" outlineLevel="0" collapsed="false">
      <c r="A255" s="2" t="n">
        <v>254</v>
      </c>
      <c r="B255" s="3" t="s">
        <v>867</v>
      </c>
      <c r="C255" s="3" t="s">
        <v>868</v>
      </c>
      <c r="D255" s="4" t="s">
        <v>869</v>
      </c>
      <c r="E255" s="3"/>
      <c r="F255" s="3" t="s">
        <v>19</v>
      </c>
      <c r="G255" s="3"/>
      <c r="H255" s="3"/>
      <c r="I255" s="4"/>
      <c r="J255" s="5" t="s">
        <v>20</v>
      </c>
      <c r="K255" s="6"/>
      <c r="L255" s="5"/>
      <c r="M255" s="5"/>
      <c r="N255" s="6"/>
      <c r="O255" s="7"/>
      <c r="P255" s="8" t="s">
        <v>21</v>
      </c>
      <c r="Q255" s="8" t="s">
        <v>22</v>
      </c>
    </row>
    <row r="256" customFormat="false" ht="15" hidden="false" customHeight="false" outlineLevel="0" collapsed="false">
      <c r="A256" s="2" t="n">
        <v>255</v>
      </c>
      <c r="B256" s="3" t="s">
        <v>870</v>
      </c>
      <c r="C256" s="3" t="s">
        <v>91</v>
      </c>
      <c r="D256" s="4"/>
      <c r="E256" s="3"/>
      <c r="F256" s="3" t="s">
        <v>19</v>
      </c>
      <c r="G256" s="3" t="s">
        <v>871</v>
      </c>
      <c r="H256" s="3"/>
      <c r="I256" s="4"/>
      <c r="J256" s="5" t="s">
        <v>20</v>
      </c>
      <c r="K256" s="6"/>
      <c r="L256" s="5"/>
      <c r="M256" s="5"/>
      <c r="N256" s="6"/>
      <c r="O256" s="7"/>
      <c r="P256" s="8" t="s">
        <v>21</v>
      </c>
      <c r="Q256" s="8" t="s">
        <v>22</v>
      </c>
    </row>
    <row r="257" customFormat="false" ht="23.85" hidden="false" customHeight="false" outlineLevel="0" collapsed="false">
      <c r="A257" s="2" t="n">
        <v>256</v>
      </c>
      <c r="B257" s="3" t="s">
        <v>872</v>
      </c>
      <c r="C257" s="3" t="s">
        <v>91</v>
      </c>
      <c r="D257" s="4"/>
      <c r="E257" s="3"/>
      <c r="F257" s="3" t="s">
        <v>19</v>
      </c>
      <c r="G257" s="3" t="s">
        <v>873</v>
      </c>
      <c r="H257" s="3"/>
      <c r="I257" s="4" t="s">
        <v>874</v>
      </c>
      <c r="J257" s="5" t="s">
        <v>20</v>
      </c>
      <c r="K257" s="6"/>
      <c r="L257" s="5"/>
      <c r="M257" s="5"/>
      <c r="N257" s="6"/>
      <c r="O257" s="7"/>
      <c r="P257" s="8" t="s">
        <v>21</v>
      </c>
      <c r="Q257" s="8" t="s">
        <v>22</v>
      </c>
    </row>
    <row r="258" customFormat="false" ht="15" hidden="false" customHeight="false" outlineLevel="0" collapsed="false">
      <c r="A258" s="2" t="n">
        <v>257</v>
      </c>
      <c r="B258" s="3" t="s">
        <v>875</v>
      </c>
      <c r="C258" s="3" t="s">
        <v>24</v>
      </c>
      <c r="D258" s="4"/>
      <c r="E258" s="3"/>
      <c r="F258" s="3" t="s">
        <v>19</v>
      </c>
      <c r="G258" s="3" t="s">
        <v>876</v>
      </c>
      <c r="H258" s="8" t="s">
        <v>877</v>
      </c>
      <c r="I258" s="4" t="s">
        <v>878</v>
      </c>
      <c r="J258" s="5" t="s">
        <v>20</v>
      </c>
      <c r="K258" s="6"/>
      <c r="L258" s="5"/>
      <c r="M258" s="5"/>
      <c r="N258" s="6"/>
      <c r="O258" s="7"/>
      <c r="P258" s="8" t="s">
        <v>21</v>
      </c>
      <c r="Q258" s="8" t="s">
        <v>22</v>
      </c>
    </row>
    <row r="259" customFormat="false" ht="23.85" hidden="false" customHeight="false" outlineLevel="0" collapsed="false">
      <c r="A259" s="2" t="n">
        <v>258</v>
      </c>
      <c r="B259" s="3" t="s">
        <v>879</v>
      </c>
      <c r="C259" s="3" t="s">
        <v>71</v>
      </c>
      <c r="D259" s="4"/>
      <c r="E259" s="3"/>
      <c r="F259" s="3" t="s">
        <v>19</v>
      </c>
      <c r="G259" s="3" t="s">
        <v>880</v>
      </c>
      <c r="H259" s="8" t="s">
        <v>881</v>
      </c>
      <c r="I259" s="4" t="s">
        <v>882</v>
      </c>
      <c r="J259" s="5" t="s">
        <v>20</v>
      </c>
      <c r="K259" s="6"/>
      <c r="L259" s="5"/>
      <c r="M259" s="5"/>
      <c r="N259" s="6"/>
      <c r="O259" s="7"/>
      <c r="P259" s="8" t="s">
        <v>21</v>
      </c>
      <c r="Q259" s="8" t="s">
        <v>22</v>
      </c>
    </row>
    <row r="260" customFormat="false" ht="15" hidden="false" customHeight="false" outlineLevel="0" collapsed="false">
      <c r="A260" s="2" t="n">
        <v>259</v>
      </c>
      <c r="B260" s="3" t="s">
        <v>883</v>
      </c>
      <c r="C260" s="3"/>
      <c r="D260" s="4"/>
      <c r="E260" s="3"/>
      <c r="F260" s="3" t="s">
        <v>19</v>
      </c>
      <c r="G260" s="3"/>
      <c r="H260" s="3"/>
      <c r="I260" s="4"/>
      <c r="J260" s="5" t="s">
        <v>20</v>
      </c>
      <c r="K260" s="6"/>
      <c r="L260" s="5"/>
      <c r="M260" s="5"/>
      <c r="N260" s="6"/>
      <c r="O260" s="7"/>
      <c r="P260" s="8" t="s">
        <v>21</v>
      </c>
      <c r="Q260" s="8" t="s">
        <v>22</v>
      </c>
    </row>
    <row r="261" customFormat="false" ht="15" hidden="false" customHeight="false" outlineLevel="0" collapsed="false">
      <c r="A261" s="2" t="n">
        <v>260</v>
      </c>
      <c r="B261" s="3" t="s">
        <v>884</v>
      </c>
      <c r="C261" s="3" t="s">
        <v>116</v>
      </c>
      <c r="D261" s="4"/>
      <c r="E261" s="3"/>
      <c r="F261" s="3" t="s">
        <v>19</v>
      </c>
      <c r="G261" s="3"/>
      <c r="H261" s="3"/>
      <c r="I261" s="4"/>
      <c r="J261" s="5" t="s">
        <v>20</v>
      </c>
      <c r="K261" s="6"/>
      <c r="L261" s="5"/>
      <c r="M261" s="5"/>
      <c r="N261" s="6"/>
      <c r="O261" s="7"/>
      <c r="P261" s="8" t="s">
        <v>21</v>
      </c>
      <c r="Q261" s="8" t="s">
        <v>22</v>
      </c>
    </row>
    <row r="262" customFormat="false" ht="15" hidden="false" customHeight="false" outlineLevel="0" collapsed="false">
      <c r="A262" s="2" t="n">
        <v>261</v>
      </c>
      <c r="B262" s="3" t="s">
        <v>885</v>
      </c>
      <c r="C262" s="3"/>
      <c r="D262" s="4"/>
      <c r="E262" s="3"/>
      <c r="F262" s="3" t="s">
        <v>19</v>
      </c>
      <c r="G262" s="3" t="s">
        <v>886</v>
      </c>
      <c r="H262" s="8" t="s">
        <v>887</v>
      </c>
      <c r="I262" s="4" t="s">
        <v>888</v>
      </c>
      <c r="J262" s="5" t="s">
        <v>20</v>
      </c>
      <c r="K262" s="6"/>
      <c r="L262" s="5"/>
      <c r="M262" s="5"/>
      <c r="N262" s="6"/>
      <c r="O262" s="7"/>
      <c r="P262" s="8" t="s">
        <v>21</v>
      </c>
      <c r="Q262" s="8" t="s">
        <v>22</v>
      </c>
    </row>
    <row r="263" customFormat="false" ht="15" hidden="false" customHeight="false" outlineLevel="0" collapsed="false">
      <c r="A263" s="2" t="n">
        <v>262</v>
      </c>
      <c r="B263" s="3" t="s">
        <v>889</v>
      </c>
      <c r="C263" s="3" t="s">
        <v>71</v>
      </c>
      <c r="D263" s="4"/>
      <c r="E263" s="3"/>
      <c r="F263" s="3" t="s">
        <v>19</v>
      </c>
      <c r="G263" s="3" t="s">
        <v>890</v>
      </c>
      <c r="H263" s="3"/>
      <c r="I263" s="4" t="s">
        <v>891</v>
      </c>
      <c r="J263" s="5" t="s">
        <v>20</v>
      </c>
      <c r="K263" s="6"/>
      <c r="L263" s="5"/>
      <c r="M263" s="5"/>
      <c r="N263" s="6"/>
      <c r="O263" s="7"/>
      <c r="P263" s="8" t="s">
        <v>21</v>
      </c>
      <c r="Q263" s="8" t="s">
        <v>22</v>
      </c>
    </row>
    <row r="264" customFormat="false" ht="15" hidden="false" customHeight="false" outlineLevel="0" collapsed="false">
      <c r="A264" s="2" t="n">
        <v>263</v>
      </c>
      <c r="B264" s="3" t="s">
        <v>892</v>
      </c>
      <c r="C264" s="3"/>
      <c r="D264" s="4"/>
      <c r="E264" s="3"/>
      <c r="F264" s="3" t="s">
        <v>19</v>
      </c>
      <c r="G264" s="3" t="s">
        <v>893</v>
      </c>
      <c r="H264" s="8" t="s">
        <v>894</v>
      </c>
      <c r="I264" s="4" t="s">
        <v>895</v>
      </c>
      <c r="J264" s="5" t="s">
        <v>20</v>
      </c>
      <c r="K264" s="6"/>
      <c r="L264" s="5"/>
      <c r="M264" s="5"/>
      <c r="N264" s="6"/>
      <c r="O264" s="7"/>
      <c r="P264" s="8" t="s">
        <v>21</v>
      </c>
      <c r="Q264" s="8" t="s">
        <v>22</v>
      </c>
    </row>
    <row r="265" customFormat="false" ht="15" hidden="false" customHeight="false" outlineLevel="0" collapsed="false">
      <c r="A265" s="2" t="n">
        <v>264</v>
      </c>
      <c r="B265" s="3" t="s">
        <v>896</v>
      </c>
      <c r="C265" s="3" t="s">
        <v>897</v>
      </c>
      <c r="D265" s="4"/>
      <c r="E265" s="3"/>
      <c r="F265" s="3" t="s">
        <v>19</v>
      </c>
      <c r="G265" s="3"/>
      <c r="H265" s="8" t="s">
        <v>898</v>
      </c>
      <c r="I265" s="4" t="s">
        <v>899</v>
      </c>
      <c r="J265" s="5" t="s">
        <v>20</v>
      </c>
      <c r="K265" s="6"/>
      <c r="L265" s="5"/>
      <c r="M265" s="5"/>
      <c r="N265" s="6"/>
      <c r="O265" s="7"/>
      <c r="P265" s="8" t="s">
        <v>21</v>
      </c>
      <c r="Q265" s="8" t="s">
        <v>22</v>
      </c>
    </row>
    <row r="266" customFormat="false" ht="15" hidden="false" customHeight="false" outlineLevel="0" collapsed="false">
      <c r="A266" s="2" t="n">
        <v>265</v>
      </c>
      <c r="B266" s="3" t="s">
        <v>896</v>
      </c>
      <c r="C266" s="3" t="s">
        <v>897</v>
      </c>
      <c r="D266" s="4" t="s">
        <v>900</v>
      </c>
      <c r="E266" s="3"/>
      <c r="F266" s="3" t="s">
        <v>19</v>
      </c>
      <c r="G266" s="3" t="s">
        <v>901</v>
      </c>
      <c r="H266" s="8" t="s">
        <v>898</v>
      </c>
      <c r="I266" s="4" t="s">
        <v>902</v>
      </c>
      <c r="J266" s="5" t="s">
        <v>20</v>
      </c>
      <c r="K266" s="6"/>
      <c r="L266" s="5"/>
      <c r="M266" s="5"/>
      <c r="N266" s="6"/>
      <c r="O266" s="7"/>
      <c r="P266" s="8" t="s">
        <v>21</v>
      </c>
      <c r="Q266" s="8" t="s">
        <v>22</v>
      </c>
    </row>
    <row r="267" customFormat="false" ht="23.85" hidden="false" customHeight="false" outlineLevel="0" collapsed="false">
      <c r="A267" s="2" t="n">
        <v>266</v>
      </c>
      <c r="B267" s="3" t="s">
        <v>903</v>
      </c>
      <c r="C267" s="3" t="s">
        <v>814</v>
      </c>
      <c r="D267" s="4"/>
      <c r="E267" s="3"/>
      <c r="F267" s="3" t="s">
        <v>19</v>
      </c>
      <c r="G267" s="3" t="s">
        <v>904</v>
      </c>
      <c r="H267" s="8" t="s">
        <v>905</v>
      </c>
      <c r="I267" s="4" t="s">
        <v>906</v>
      </c>
      <c r="J267" s="5" t="s">
        <v>20</v>
      </c>
      <c r="K267" s="6"/>
      <c r="L267" s="5"/>
      <c r="M267" s="5"/>
      <c r="N267" s="6"/>
      <c r="O267" s="7"/>
      <c r="P267" s="8" t="s">
        <v>21</v>
      </c>
      <c r="Q267" s="8" t="s">
        <v>22</v>
      </c>
    </row>
    <row r="268" customFormat="false" ht="15" hidden="false" customHeight="false" outlineLevel="0" collapsed="false">
      <c r="A268" s="2" t="n">
        <v>267</v>
      </c>
      <c r="B268" s="3" t="s">
        <v>907</v>
      </c>
      <c r="C268" s="3" t="s">
        <v>908</v>
      </c>
      <c r="D268" s="4"/>
      <c r="E268" s="3"/>
      <c r="F268" s="3" t="s">
        <v>19</v>
      </c>
      <c r="G268" s="3" t="s">
        <v>909</v>
      </c>
      <c r="H268" s="8" t="s">
        <v>910</v>
      </c>
      <c r="I268" s="4" t="s">
        <v>911</v>
      </c>
      <c r="J268" s="5" t="s">
        <v>20</v>
      </c>
      <c r="K268" s="6"/>
      <c r="L268" s="5"/>
      <c r="M268" s="5"/>
      <c r="N268" s="6"/>
      <c r="O268" s="7"/>
      <c r="P268" s="8" t="s">
        <v>21</v>
      </c>
      <c r="Q268" s="8" t="s">
        <v>22</v>
      </c>
    </row>
    <row r="269" customFormat="false" ht="23.85" hidden="false" customHeight="false" outlineLevel="0" collapsed="false">
      <c r="A269" s="2" t="n">
        <v>268</v>
      </c>
      <c r="B269" s="3" t="s">
        <v>912</v>
      </c>
      <c r="C269" s="3" t="s">
        <v>601</v>
      </c>
      <c r="D269" s="4"/>
      <c r="E269" s="3"/>
      <c r="F269" s="3" t="s">
        <v>19</v>
      </c>
      <c r="G269" s="3" t="s">
        <v>913</v>
      </c>
      <c r="H269" s="8" t="s">
        <v>914</v>
      </c>
      <c r="I269" s="4" t="s">
        <v>915</v>
      </c>
      <c r="J269" s="5" t="s">
        <v>20</v>
      </c>
      <c r="K269" s="6"/>
      <c r="L269" s="5"/>
      <c r="M269" s="5"/>
      <c r="N269" s="6"/>
      <c r="O269" s="7"/>
      <c r="P269" s="8" t="s">
        <v>21</v>
      </c>
      <c r="Q269" s="8" t="s">
        <v>22</v>
      </c>
    </row>
    <row r="270" customFormat="false" ht="15" hidden="false" customHeight="false" outlineLevel="0" collapsed="false">
      <c r="A270" s="2" t="n">
        <v>269</v>
      </c>
      <c r="B270" s="3" t="s">
        <v>916</v>
      </c>
      <c r="C270" s="3"/>
      <c r="D270" s="4"/>
      <c r="E270" s="3"/>
      <c r="F270" s="3" t="s">
        <v>19</v>
      </c>
      <c r="G270" s="3"/>
      <c r="H270" s="3"/>
      <c r="I270" s="4"/>
      <c r="J270" s="5" t="s">
        <v>20</v>
      </c>
      <c r="K270" s="6"/>
      <c r="L270" s="5"/>
      <c r="M270" s="5"/>
      <c r="N270" s="6"/>
      <c r="O270" s="7"/>
      <c r="P270" s="8" t="s">
        <v>21</v>
      </c>
      <c r="Q270" s="8" t="s">
        <v>22</v>
      </c>
    </row>
    <row r="271" customFormat="false" ht="23.85" hidden="false" customHeight="false" outlineLevel="0" collapsed="false">
      <c r="A271" s="2" t="n">
        <v>270</v>
      </c>
      <c r="B271" s="3" t="s">
        <v>917</v>
      </c>
      <c r="C271" s="3" t="s">
        <v>918</v>
      </c>
      <c r="D271" s="4" t="s">
        <v>919</v>
      </c>
      <c r="E271" s="3" t="s">
        <v>93</v>
      </c>
      <c r="F271" s="3" t="s">
        <v>19</v>
      </c>
      <c r="G271" s="3" t="s">
        <v>920</v>
      </c>
      <c r="H271" s="8" t="s">
        <v>921</v>
      </c>
      <c r="I271" s="4" t="s">
        <v>922</v>
      </c>
      <c r="J271" s="5" t="s">
        <v>20</v>
      </c>
      <c r="K271" s="6"/>
      <c r="L271" s="5"/>
      <c r="M271" s="5"/>
      <c r="N271" s="6"/>
      <c r="O271" s="7"/>
      <c r="P271" s="8" t="s">
        <v>21</v>
      </c>
      <c r="Q271" s="8" t="s">
        <v>22</v>
      </c>
    </row>
    <row r="272" customFormat="false" ht="15" hidden="false" customHeight="false" outlineLevel="0" collapsed="false">
      <c r="A272" s="2" t="n">
        <v>271</v>
      </c>
      <c r="B272" s="3" t="s">
        <v>923</v>
      </c>
      <c r="C272" s="3" t="s">
        <v>169</v>
      </c>
      <c r="D272" s="4" t="s">
        <v>924</v>
      </c>
      <c r="E272" s="3" t="s">
        <v>579</v>
      </c>
      <c r="F272" s="3" t="s">
        <v>19</v>
      </c>
      <c r="G272" s="3" t="s">
        <v>925</v>
      </c>
      <c r="H272" s="3"/>
      <c r="I272" s="4"/>
      <c r="J272" s="5" t="s">
        <v>20</v>
      </c>
      <c r="K272" s="6"/>
      <c r="L272" s="5"/>
      <c r="M272" s="5"/>
      <c r="N272" s="6"/>
      <c r="O272" s="7"/>
      <c r="P272" s="8" t="s">
        <v>21</v>
      </c>
      <c r="Q272" s="8" t="s">
        <v>22</v>
      </c>
    </row>
    <row r="273" customFormat="false" ht="15" hidden="false" customHeight="false" outlineLevel="0" collapsed="false">
      <c r="A273" s="2" t="n">
        <v>272</v>
      </c>
      <c r="B273" s="3" t="s">
        <v>926</v>
      </c>
      <c r="C273" s="3" t="s">
        <v>71</v>
      </c>
      <c r="D273" s="4"/>
      <c r="E273" s="3"/>
      <c r="F273" s="3" t="s">
        <v>19</v>
      </c>
      <c r="G273" s="3" t="s">
        <v>927</v>
      </c>
      <c r="H273" s="3"/>
      <c r="I273" s="4" t="s">
        <v>928</v>
      </c>
      <c r="J273" s="5" t="s">
        <v>20</v>
      </c>
      <c r="K273" s="6"/>
      <c r="L273" s="5"/>
      <c r="M273" s="5"/>
      <c r="N273" s="6"/>
      <c r="O273" s="7"/>
      <c r="P273" s="8" t="s">
        <v>21</v>
      </c>
      <c r="Q273" s="8" t="s">
        <v>22</v>
      </c>
    </row>
    <row r="274" customFormat="false" ht="15" hidden="false" customHeight="false" outlineLevel="0" collapsed="false">
      <c r="A274" s="2" t="n">
        <v>273</v>
      </c>
      <c r="B274" s="3" t="s">
        <v>929</v>
      </c>
      <c r="C274" s="3"/>
      <c r="D274" s="4"/>
      <c r="E274" s="3"/>
      <c r="F274" s="3" t="s">
        <v>19</v>
      </c>
      <c r="G274" s="3"/>
      <c r="H274" s="3"/>
      <c r="I274" s="4"/>
      <c r="J274" s="5" t="s">
        <v>20</v>
      </c>
      <c r="K274" s="6"/>
      <c r="L274" s="5"/>
      <c r="M274" s="5"/>
      <c r="N274" s="6"/>
      <c r="O274" s="7"/>
      <c r="P274" s="8" t="s">
        <v>21</v>
      </c>
      <c r="Q274" s="8" t="s">
        <v>22</v>
      </c>
    </row>
    <row r="275" customFormat="false" ht="15" hidden="false" customHeight="false" outlineLevel="0" collapsed="false">
      <c r="A275" s="2" t="n">
        <v>274</v>
      </c>
      <c r="B275" s="3" t="s">
        <v>930</v>
      </c>
      <c r="C275" s="3" t="s">
        <v>601</v>
      </c>
      <c r="D275" s="4"/>
      <c r="E275" s="3"/>
      <c r="F275" s="3" t="s">
        <v>19</v>
      </c>
      <c r="G275" s="3" t="s">
        <v>931</v>
      </c>
      <c r="H275" s="8" t="s">
        <v>932</v>
      </c>
      <c r="I275" s="4" t="s">
        <v>933</v>
      </c>
      <c r="J275" s="5" t="s">
        <v>20</v>
      </c>
      <c r="K275" s="6"/>
      <c r="L275" s="5"/>
      <c r="M275" s="5"/>
      <c r="N275" s="6"/>
      <c r="O275" s="7"/>
      <c r="P275" s="8" t="s">
        <v>21</v>
      </c>
      <c r="Q275" s="8" t="s">
        <v>22</v>
      </c>
    </row>
    <row r="276" customFormat="false" ht="15" hidden="false" customHeight="false" outlineLevel="0" collapsed="false">
      <c r="A276" s="2" t="n">
        <v>275</v>
      </c>
      <c r="B276" s="3" t="s">
        <v>934</v>
      </c>
      <c r="C276" s="3" t="s">
        <v>601</v>
      </c>
      <c r="D276" s="4"/>
      <c r="E276" s="3"/>
      <c r="F276" s="3" t="s">
        <v>19</v>
      </c>
      <c r="G276" s="3" t="s">
        <v>935</v>
      </c>
      <c r="H276" s="3"/>
      <c r="I276" s="4" t="s">
        <v>899</v>
      </c>
      <c r="J276" s="5" t="s">
        <v>20</v>
      </c>
      <c r="K276" s="6"/>
      <c r="L276" s="5"/>
      <c r="M276" s="5"/>
      <c r="N276" s="6"/>
      <c r="O276" s="7"/>
      <c r="P276" s="8" t="s">
        <v>21</v>
      </c>
      <c r="Q276" s="8" t="s">
        <v>22</v>
      </c>
    </row>
    <row r="277" customFormat="false" ht="15" hidden="false" customHeight="false" outlineLevel="0" collapsed="false">
      <c r="A277" s="2" t="n">
        <v>276</v>
      </c>
      <c r="B277" s="3" t="s">
        <v>936</v>
      </c>
      <c r="C277" s="3" t="s">
        <v>116</v>
      </c>
      <c r="D277" s="4"/>
      <c r="E277" s="3"/>
      <c r="F277" s="3" t="s">
        <v>19</v>
      </c>
      <c r="G277" s="3"/>
      <c r="H277" s="8" t="s">
        <v>937</v>
      </c>
      <c r="I277" s="4"/>
      <c r="J277" s="5" t="s">
        <v>20</v>
      </c>
      <c r="K277" s="6"/>
      <c r="L277" s="5"/>
      <c r="M277" s="5"/>
      <c r="N277" s="6"/>
      <c r="O277" s="7"/>
      <c r="P277" s="8" t="s">
        <v>21</v>
      </c>
      <c r="Q277" s="8" t="s">
        <v>22</v>
      </c>
    </row>
    <row r="278" customFormat="false" ht="15" hidden="false" customHeight="false" outlineLevel="0" collapsed="false">
      <c r="A278" s="2" t="n">
        <v>277</v>
      </c>
      <c r="B278" s="3" t="s">
        <v>938</v>
      </c>
      <c r="C278" s="3" t="s">
        <v>71</v>
      </c>
      <c r="D278" s="4"/>
      <c r="E278" s="3"/>
      <c r="F278" s="3" t="s">
        <v>19</v>
      </c>
      <c r="G278" s="3"/>
      <c r="H278" s="3"/>
      <c r="I278" s="4"/>
      <c r="J278" s="5" t="s">
        <v>20</v>
      </c>
      <c r="K278" s="6"/>
      <c r="L278" s="5"/>
      <c r="M278" s="5"/>
      <c r="N278" s="6"/>
      <c r="O278" s="7"/>
      <c r="P278" s="8" t="s">
        <v>21</v>
      </c>
      <c r="Q278" s="8" t="s">
        <v>22</v>
      </c>
    </row>
    <row r="279" customFormat="false" ht="15" hidden="false" customHeight="false" outlineLevel="0" collapsed="false">
      <c r="A279" s="2" t="n">
        <v>278</v>
      </c>
      <c r="B279" s="3" t="s">
        <v>939</v>
      </c>
      <c r="C279" s="3" t="s">
        <v>116</v>
      </c>
      <c r="D279" s="4"/>
      <c r="E279" s="3"/>
      <c r="F279" s="3" t="s">
        <v>19</v>
      </c>
      <c r="G279" s="3"/>
      <c r="H279" s="8" t="s">
        <v>940</v>
      </c>
      <c r="I279" s="4"/>
      <c r="J279" s="5" t="s">
        <v>20</v>
      </c>
      <c r="K279" s="6"/>
      <c r="L279" s="5"/>
      <c r="M279" s="5"/>
      <c r="N279" s="6"/>
      <c r="O279" s="7"/>
      <c r="P279" s="8" t="s">
        <v>21</v>
      </c>
      <c r="Q279" s="8" t="s">
        <v>22</v>
      </c>
    </row>
    <row r="280" customFormat="false" ht="15" hidden="false" customHeight="false" outlineLevel="0" collapsed="false">
      <c r="A280" s="2" t="n">
        <v>279</v>
      </c>
      <c r="B280" s="3" t="s">
        <v>941</v>
      </c>
      <c r="C280" s="3" t="s">
        <v>71</v>
      </c>
      <c r="D280" s="4" t="s">
        <v>942</v>
      </c>
      <c r="E280" s="3" t="s">
        <v>93</v>
      </c>
      <c r="F280" s="3" t="s">
        <v>19</v>
      </c>
      <c r="G280" s="3" t="s">
        <v>943</v>
      </c>
      <c r="H280" s="3"/>
      <c r="I280" s="4"/>
      <c r="J280" s="5" t="s">
        <v>20</v>
      </c>
      <c r="K280" s="6"/>
      <c r="L280" s="5"/>
      <c r="M280" s="5"/>
      <c r="N280" s="6"/>
      <c r="O280" s="7"/>
      <c r="P280" s="8" t="s">
        <v>21</v>
      </c>
      <c r="Q280" s="8" t="s">
        <v>22</v>
      </c>
    </row>
    <row r="281" customFormat="false" ht="15" hidden="false" customHeight="false" outlineLevel="0" collapsed="false">
      <c r="A281" s="2" t="n">
        <v>280</v>
      </c>
      <c r="B281" s="3" t="s">
        <v>944</v>
      </c>
      <c r="C281" s="3" t="s">
        <v>945</v>
      </c>
      <c r="D281" s="4" t="s">
        <v>946</v>
      </c>
      <c r="E281" s="3" t="s">
        <v>579</v>
      </c>
      <c r="F281" s="3" t="s">
        <v>19</v>
      </c>
      <c r="G281" s="3" t="s">
        <v>947</v>
      </c>
      <c r="H281" s="8" t="s">
        <v>948</v>
      </c>
      <c r="I281" s="4" t="s">
        <v>655</v>
      </c>
      <c r="J281" s="5" t="s">
        <v>20</v>
      </c>
      <c r="K281" s="6"/>
      <c r="L281" s="5"/>
      <c r="M281" s="5"/>
      <c r="N281" s="6"/>
      <c r="O281" s="7"/>
      <c r="P281" s="8" t="s">
        <v>21</v>
      </c>
      <c r="Q281" s="8" t="s">
        <v>22</v>
      </c>
    </row>
    <row r="282" customFormat="false" ht="15" hidden="false" customHeight="false" outlineLevel="0" collapsed="false">
      <c r="A282" s="2" t="n">
        <v>281</v>
      </c>
      <c r="B282" s="3" t="s">
        <v>949</v>
      </c>
      <c r="C282" s="3" t="s">
        <v>277</v>
      </c>
      <c r="D282" s="4"/>
      <c r="E282" s="3"/>
      <c r="F282" s="3" t="s">
        <v>19</v>
      </c>
      <c r="G282" s="3" t="s">
        <v>950</v>
      </c>
      <c r="H282" s="3"/>
      <c r="I282" s="4" t="s">
        <v>138</v>
      </c>
      <c r="J282" s="5" t="s">
        <v>20</v>
      </c>
      <c r="K282" s="6"/>
      <c r="L282" s="5"/>
      <c r="M282" s="5"/>
      <c r="N282" s="6"/>
      <c r="O282" s="7"/>
      <c r="P282" s="8" t="s">
        <v>21</v>
      </c>
      <c r="Q282" s="8" t="s">
        <v>22</v>
      </c>
    </row>
    <row r="283" customFormat="false" ht="15" hidden="false" customHeight="false" outlineLevel="0" collapsed="false">
      <c r="A283" s="2" t="n">
        <v>282</v>
      </c>
      <c r="B283" s="3" t="s">
        <v>951</v>
      </c>
      <c r="C283" s="3" t="s">
        <v>153</v>
      </c>
      <c r="D283" s="4"/>
      <c r="E283" s="3"/>
      <c r="F283" s="3" t="s">
        <v>19</v>
      </c>
      <c r="G283" s="3"/>
      <c r="H283" s="3"/>
      <c r="I283" s="4" t="s">
        <v>952</v>
      </c>
      <c r="J283" s="5" t="s">
        <v>20</v>
      </c>
      <c r="K283" s="6"/>
      <c r="L283" s="5"/>
      <c r="M283" s="5"/>
      <c r="N283" s="6"/>
      <c r="O283" s="7"/>
      <c r="P283" s="8" t="s">
        <v>21</v>
      </c>
      <c r="Q283" s="8" t="s">
        <v>22</v>
      </c>
    </row>
    <row r="284" customFormat="false" ht="15" hidden="false" customHeight="false" outlineLevel="0" collapsed="false">
      <c r="A284" s="2" t="n">
        <v>283</v>
      </c>
      <c r="B284" s="3" t="s">
        <v>953</v>
      </c>
      <c r="C284" s="3" t="s">
        <v>71</v>
      </c>
      <c r="D284" s="4"/>
      <c r="E284" s="3"/>
      <c r="F284" s="3" t="s">
        <v>19</v>
      </c>
      <c r="G284" s="3" t="s">
        <v>954</v>
      </c>
      <c r="H284" s="3"/>
      <c r="I284" s="4"/>
      <c r="J284" s="5" t="s">
        <v>20</v>
      </c>
      <c r="K284" s="6"/>
      <c r="L284" s="5"/>
      <c r="M284" s="5"/>
      <c r="N284" s="6"/>
      <c r="O284" s="7"/>
      <c r="P284" s="8" t="s">
        <v>21</v>
      </c>
      <c r="Q284" s="8" t="s">
        <v>22</v>
      </c>
    </row>
    <row r="285" customFormat="false" ht="15" hidden="false" customHeight="false" outlineLevel="0" collapsed="false">
      <c r="A285" s="2" t="n">
        <v>284</v>
      </c>
      <c r="B285" s="3" t="s">
        <v>955</v>
      </c>
      <c r="C285" s="3" t="s">
        <v>120</v>
      </c>
      <c r="D285" s="4" t="s">
        <v>956</v>
      </c>
      <c r="E285" s="3" t="s">
        <v>93</v>
      </c>
      <c r="F285" s="3" t="s">
        <v>19</v>
      </c>
      <c r="G285" s="3" t="s">
        <v>957</v>
      </c>
      <c r="H285" s="8" t="s">
        <v>958</v>
      </c>
      <c r="I285" s="4" t="s">
        <v>959</v>
      </c>
      <c r="J285" s="5" t="s">
        <v>20</v>
      </c>
      <c r="K285" s="6"/>
      <c r="L285" s="5"/>
      <c r="M285" s="5"/>
      <c r="N285" s="6"/>
      <c r="O285" s="7"/>
      <c r="P285" s="8" t="s">
        <v>21</v>
      </c>
      <c r="Q285" s="8" t="s">
        <v>22</v>
      </c>
    </row>
    <row r="286" customFormat="false" ht="23.85" hidden="false" customHeight="false" outlineLevel="0" collapsed="false">
      <c r="A286" s="2" t="n">
        <v>285</v>
      </c>
      <c r="B286" s="3" t="s">
        <v>960</v>
      </c>
      <c r="C286" s="3"/>
      <c r="D286" s="4"/>
      <c r="E286" s="3"/>
      <c r="F286" s="3" t="s">
        <v>19</v>
      </c>
      <c r="G286" s="3" t="s">
        <v>961</v>
      </c>
      <c r="H286" s="8" t="s">
        <v>962</v>
      </c>
      <c r="I286" s="4" t="s">
        <v>963</v>
      </c>
      <c r="J286" s="5" t="s">
        <v>20</v>
      </c>
      <c r="K286" s="6"/>
      <c r="L286" s="5"/>
      <c r="M286" s="5"/>
      <c r="N286" s="6"/>
      <c r="O286" s="7"/>
      <c r="P286" s="8" t="s">
        <v>21</v>
      </c>
      <c r="Q286" s="8" t="s">
        <v>22</v>
      </c>
    </row>
    <row r="287" customFormat="false" ht="15" hidden="false" customHeight="false" outlineLevel="0" collapsed="false">
      <c r="A287" s="2" t="n">
        <v>286</v>
      </c>
      <c r="B287" s="3" t="s">
        <v>964</v>
      </c>
      <c r="C287" s="3" t="s">
        <v>24</v>
      </c>
      <c r="D287" s="4"/>
      <c r="E287" s="3"/>
      <c r="F287" s="3" t="s">
        <v>19</v>
      </c>
      <c r="G287" s="3" t="s">
        <v>965</v>
      </c>
      <c r="H287" s="8" t="s">
        <v>966</v>
      </c>
      <c r="I287" s="4" t="s">
        <v>967</v>
      </c>
      <c r="J287" s="5" t="s">
        <v>20</v>
      </c>
      <c r="K287" s="6"/>
      <c r="L287" s="5"/>
      <c r="M287" s="5"/>
      <c r="N287" s="6"/>
      <c r="O287" s="7"/>
      <c r="P287" s="8" t="s">
        <v>21</v>
      </c>
      <c r="Q287" s="8" t="s">
        <v>22</v>
      </c>
    </row>
    <row r="288" customFormat="false" ht="15" hidden="false" customHeight="false" outlineLevel="0" collapsed="false">
      <c r="A288" s="2" t="n">
        <v>287</v>
      </c>
      <c r="B288" s="3" t="s">
        <v>968</v>
      </c>
      <c r="C288" s="3"/>
      <c r="D288" s="4"/>
      <c r="E288" s="3"/>
      <c r="F288" s="3" t="s">
        <v>19</v>
      </c>
      <c r="G288" s="3"/>
      <c r="H288" s="3"/>
      <c r="I288" s="4"/>
      <c r="J288" s="5" t="s">
        <v>20</v>
      </c>
      <c r="K288" s="6"/>
      <c r="L288" s="5"/>
      <c r="M288" s="5"/>
      <c r="N288" s="6"/>
      <c r="O288" s="7"/>
      <c r="P288" s="8" t="s">
        <v>21</v>
      </c>
      <c r="Q288" s="8" t="s">
        <v>22</v>
      </c>
    </row>
    <row r="289" customFormat="false" ht="15" hidden="false" customHeight="false" outlineLevel="0" collapsed="false">
      <c r="A289" s="2" t="n">
        <v>288</v>
      </c>
      <c r="B289" s="3" t="s">
        <v>969</v>
      </c>
      <c r="C289" s="3" t="s">
        <v>34</v>
      </c>
      <c r="D289" s="4"/>
      <c r="E289" s="3"/>
      <c r="F289" s="3" t="s">
        <v>19</v>
      </c>
      <c r="G289" s="3"/>
      <c r="H289" s="8" t="s">
        <v>970</v>
      </c>
      <c r="I289" s="4"/>
      <c r="J289" s="5" t="s">
        <v>20</v>
      </c>
      <c r="K289" s="6"/>
      <c r="L289" s="5"/>
      <c r="M289" s="5"/>
      <c r="N289" s="6"/>
      <c r="O289" s="7"/>
      <c r="P289" s="8" t="s">
        <v>21</v>
      </c>
      <c r="Q289" s="8" t="s">
        <v>22</v>
      </c>
    </row>
    <row r="290" customFormat="false" ht="15" hidden="false" customHeight="false" outlineLevel="0" collapsed="false">
      <c r="A290" s="2" t="n">
        <v>289</v>
      </c>
      <c r="B290" s="3" t="s">
        <v>971</v>
      </c>
      <c r="C290" s="3" t="s">
        <v>972</v>
      </c>
      <c r="D290" s="4" t="s">
        <v>973</v>
      </c>
      <c r="E290" s="3" t="s">
        <v>26</v>
      </c>
      <c r="F290" s="3" t="s">
        <v>19</v>
      </c>
      <c r="G290" s="3" t="s">
        <v>974</v>
      </c>
      <c r="H290" s="8" t="s">
        <v>975</v>
      </c>
      <c r="I290" s="4" t="s">
        <v>976</v>
      </c>
      <c r="J290" s="5" t="s">
        <v>20</v>
      </c>
      <c r="K290" s="6"/>
      <c r="L290" s="5"/>
      <c r="M290" s="5"/>
      <c r="N290" s="6"/>
      <c r="O290" s="7"/>
      <c r="P290" s="8" t="s">
        <v>21</v>
      </c>
      <c r="Q290" s="8" t="s">
        <v>22</v>
      </c>
    </row>
    <row r="291" customFormat="false" ht="15" hidden="false" customHeight="false" outlineLevel="0" collapsed="false">
      <c r="A291" s="2" t="n">
        <v>290</v>
      </c>
      <c r="B291" s="3" t="s">
        <v>977</v>
      </c>
      <c r="C291" s="3" t="s">
        <v>24</v>
      </c>
      <c r="D291" s="4" t="s">
        <v>978</v>
      </c>
      <c r="E291" s="3" t="s">
        <v>579</v>
      </c>
      <c r="F291" s="3" t="s">
        <v>19</v>
      </c>
      <c r="G291" s="3" t="s">
        <v>979</v>
      </c>
      <c r="H291" s="8" t="s">
        <v>975</v>
      </c>
      <c r="I291" s="4" t="s">
        <v>980</v>
      </c>
      <c r="J291" s="5" t="s">
        <v>20</v>
      </c>
      <c r="K291" s="6"/>
      <c r="L291" s="5"/>
      <c r="M291" s="5"/>
      <c r="N291" s="6"/>
      <c r="O291" s="7"/>
      <c r="P291" s="8" t="s">
        <v>21</v>
      </c>
      <c r="Q291" s="8" t="s">
        <v>22</v>
      </c>
    </row>
    <row r="292" customFormat="false" ht="15" hidden="false" customHeight="false" outlineLevel="0" collapsed="false">
      <c r="A292" s="2" t="n">
        <v>291</v>
      </c>
      <c r="B292" s="3" t="s">
        <v>981</v>
      </c>
      <c r="C292" s="3" t="s">
        <v>24</v>
      </c>
      <c r="D292" s="4"/>
      <c r="E292" s="3"/>
      <c r="F292" s="3" t="s">
        <v>19</v>
      </c>
      <c r="G292" s="3"/>
      <c r="H292" s="3"/>
      <c r="I292" s="4"/>
      <c r="J292" s="5" t="s">
        <v>20</v>
      </c>
      <c r="K292" s="6"/>
      <c r="L292" s="5"/>
      <c r="M292" s="5"/>
      <c r="N292" s="6"/>
      <c r="O292" s="7"/>
      <c r="P292" s="8" t="s">
        <v>21</v>
      </c>
      <c r="Q292" s="8" t="s">
        <v>22</v>
      </c>
    </row>
    <row r="293" customFormat="false" ht="23.85" hidden="false" customHeight="false" outlineLevel="0" collapsed="false">
      <c r="A293" s="2" t="n">
        <v>292</v>
      </c>
      <c r="B293" s="3" t="s">
        <v>982</v>
      </c>
      <c r="C293" s="3" t="s">
        <v>234</v>
      </c>
      <c r="D293" s="4"/>
      <c r="E293" s="3"/>
      <c r="F293" s="3" t="s">
        <v>19</v>
      </c>
      <c r="G293" s="3" t="s">
        <v>983</v>
      </c>
      <c r="H293" s="8" t="s">
        <v>984</v>
      </c>
      <c r="I293" s="4" t="s">
        <v>985</v>
      </c>
      <c r="J293" s="5" t="s">
        <v>20</v>
      </c>
      <c r="K293" s="6"/>
      <c r="L293" s="5"/>
      <c r="M293" s="5"/>
      <c r="N293" s="6"/>
      <c r="O293" s="7"/>
      <c r="P293" s="8" t="s">
        <v>21</v>
      </c>
      <c r="Q293" s="8" t="s">
        <v>22</v>
      </c>
    </row>
    <row r="294" customFormat="false" ht="23.85" hidden="false" customHeight="false" outlineLevel="0" collapsed="false">
      <c r="A294" s="2" t="n">
        <v>293</v>
      </c>
      <c r="B294" s="3" t="s">
        <v>986</v>
      </c>
      <c r="C294" s="3"/>
      <c r="D294" s="4"/>
      <c r="E294" s="3"/>
      <c r="F294" s="3" t="s">
        <v>19</v>
      </c>
      <c r="G294" s="3"/>
      <c r="H294" s="3"/>
      <c r="I294" s="4" t="s">
        <v>987</v>
      </c>
      <c r="J294" s="5" t="s">
        <v>20</v>
      </c>
      <c r="K294" s="6"/>
      <c r="L294" s="5"/>
      <c r="M294" s="5"/>
      <c r="N294" s="6"/>
      <c r="O294" s="7"/>
      <c r="P294" s="8" t="s">
        <v>21</v>
      </c>
      <c r="Q294" s="8" t="s">
        <v>22</v>
      </c>
    </row>
    <row r="295" customFormat="false" ht="15" hidden="false" customHeight="false" outlineLevel="0" collapsed="false">
      <c r="A295" s="2" t="n">
        <v>294</v>
      </c>
      <c r="B295" s="3" t="s">
        <v>988</v>
      </c>
      <c r="C295" s="3"/>
      <c r="D295" s="4"/>
      <c r="E295" s="3"/>
      <c r="F295" s="3" t="s">
        <v>19</v>
      </c>
      <c r="G295" s="3"/>
      <c r="H295" s="8" t="s">
        <v>989</v>
      </c>
      <c r="I295" s="4" t="s">
        <v>990</v>
      </c>
      <c r="J295" s="5" t="s">
        <v>20</v>
      </c>
      <c r="K295" s="6"/>
      <c r="L295" s="5"/>
      <c r="M295" s="5"/>
      <c r="N295" s="6"/>
      <c r="O295" s="7"/>
      <c r="P295" s="8" t="s">
        <v>21</v>
      </c>
      <c r="Q295" s="8" t="s">
        <v>22</v>
      </c>
    </row>
    <row r="296" customFormat="false" ht="15" hidden="false" customHeight="false" outlineLevel="0" collapsed="false">
      <c r="A296" s="2" t="n">
        <v>295</v>
      </c>
      <c r="B296" s="3" t="s">
        <v>991</v>
      </c>
      <c r="C296" s="3" t="s">
        <v>41</v>
      </c>
      <c r="D296" s="4" t="s">
        <v>992</v>
      </c>
      <c r="E296" s="3" t="s">
        <v>93</v>
      </c>
      <c r="F296" s="3" t="s">
        <v>19</v>
      </c>
      <c r="G296" s="3" t="s">
        <v>993</v>
      </c>
      <c r="H296" s="8" t="s">
        <v>994</v>
      </c>
      <c r="I296" s="4" t="s">
        <v>995</v>
      </c>
      <c r="J296" s="5" t="s">
        <v>20</v>
      </c>
      <c r="K296" s="6"/>
      <c r="L296" s="5"/>
      <c r="M296" s="5"/>
      <c r="N296" s="6"/>
      <c r="O296" s="7"/>
      <c r="P296" s="8" t="s">
        <v>21</v>
      </c>
      <c r="Q296" s="8" t="s">
        <v>22</v>
      </c>
    </row>
    <row r="297" customFormat="false" ht="15" hidden="false" customHeight="false" outlineLevel="0" collapsed="false">
      <c r="A297" s="2" t="n">
        <v>296</v>
      </c>
      <c r="B297" s="3" t="s">
        <v>996</v>
      </c>
      <c r="C297" s="3"/>
      <c r="D297" s="4"/>
      <c r="E297" s="3"/>
      <c r="F297" s="3" t="s">
        <v>19</v>
      </c>
      <c r="G297" s="3"/>
      <c r="H297" s="8" t="s">
        <v>997</v>
      </c>
      <c r="I297" s="4" t="s">
        <v>998</v>
      </c>
      <c r="J297" s="5" t="s">
        <v>20</v>
      </c>
      <c r="K297" s="6"/>
      <c r="L297" s="5"/>
      <c r="M297" s="5"/>
      <c r="N297" s="6"/>
      <c r="O297" s="7"/>
      <c r="P297" s="8" t="s">
        <v>21</v>
      </c>
      <c r="Q297" s="8" t="s">
        <v>22</v>
      </c>
    </row>
    <row r="298" customFormat="false" ht="15" hidden="false" customHeight="false" outlineLevel="0" collapsed="false">
      <c r="A298" s="2" t="n">
        <v>297</v>
      </c>
      <c r="B298" s="3" t="s">
        <v>999</v>
      </c>
      <c r="C298" s="3"/>
      <c r="D298" s="4"/>
      <c r="E298" s="3"/>
      <c r="F298" s="3" t="s">
        <v>19</v>
      </c>
      <c r="G298" s="3"/>
      <c r="H298" s="8" t="s">
        <v>1000</v>
      </c>
      <c r="I298" s="4"/>
      <c r="J298" s="5" t="s">
        <v>20</v>
      </c>
      <c r="K298" s="6"/>
      <c r="L298" s="5"/>
      <c r="M298" s="5"/>
      <c r="N298" s="6"/>
      <c r="O298" s="7"/>
      <c r="P298" s="8" t="s">
        <v>21</v>
      </c>
      <c r="Q298" s="8" t="s">
        <v>22</v>
      </c>
    </row>
    <row r="299" customFormat="false" ht="15" hidden="false" customHeight="false" outlineLevel="0" collapsed="false">
      <c r="A299" s="2" t="n">
        <v>298</v>
      </c>
      <c r="B299" s="3" t="s">
        <v>1001</v>
      </c>
      <c r="C299" s="3" t="s">
        <v>1002</v>
      </c>
      <c r="D299" s="4"/>
      <c r="E299" s="3"/>
      <c r="F299" s="3" t="s">
        <v>19</v>
      </c>
      <c r="G299" s="3"/>
      <c r="H299" s="3"/>
      <c r="I299" s="4" t="s">
        <v>1003</v>
      </c>
      <c r="J299" s="5" t="s">
        <v>20</v>
      </c>
      <c r="K299" s="6"/>
      <c r="L299" s="5"/>
      <c r="M299" s="5"/>
      <c r="N299" s="6"/>
      <c r="O299" s="7"/>
      <c r="P299" s="8" t="s">
        <v>21</v>
      </c>
      <c r="Q299" s="8" t="s">
        <v>22</v>
      </c>
    </row>
    <row r="300" customFormat="false" ht="15" hidden="false" customHeight="false" outlineLevel="0" collapsed="false">
      <c r="A300" s="2" t="n">
        <v>299</v>
      </c>
      <c r="B300" s="3" t="s">
        <v>1004</v>
      </c>
      <c r="C300" s="3" t="s">
        <v>120</v>
      </c>
      <c r="D300" s="4"/>
      <c r="E300" s="3"/>
      <c r="F300" s="3" t="s">
        <v>19</v>
      </c>
      <c r="G300" s="3"/>
      <c r="H300" s="8" t="s">
        <v>1005</v>
      </c>
      <c r="I300" s="4"/>
      <c r="J300" s="5" t="s">
        <v>20</v>
      </c>
      <c r="K300" s="6"/>
      <c r="L300" s="5"/>
      <c r="M300" s="5"/>
      <c r="N300" s="6"/>
      <c r="O300" s="7"/>
      <c r="P300" s="8" t="s">
        <v>21</v>
      </c>
      <c r="Q300" s="8" t="s">
        <v>22</v>
      </c>
    </row>
    <row r="301" customFormat="false" ht="15" hidden="false" customHeight="false" outlineLevel="0" collapsed="false">
      <c r="A301" s="2" t="n">
        <v>300</v>
      </c>
      <c r="B301" s="3" t="s">
        <v>1006</v>
      </c>
      <c r="C301" s="3"/>
      <c r="D301" s="4"/>
      <c r="E301" s="3"/>
      <c r="F301" s="3" t="s">
        <v>19</v>
      </c>
      <c r="G301" s="3"/>
      <c r="H301" s="3"/>
      <c r="I301" s="4"/>
      <c r="J301" s="5" t="s">
        <v>20</v>
      </c>
      <c r="K301" s="6"/>
      <c r="L301" s="5"/>
      <c r="M301" s="5"/>
      <c r="N301" s="6"/>
      <c r="O301" s="7"/>
      <c r="P301" s="8" t="s">
        <v>21</v>
      </c>
      <c r="Q301" s="8" t="s">
        <v>22</v>
      </c>
    </row>
    <row r="302" customFormat="false" ht="15" hidden="false" customHeight="false" outlineLevel="0" collapsed="false">
      <c r="A302" s="2" t="n">
        <v>301</v>
      </c>
      <c r="B302" s="3" t="s">
        <v>1007</v>
      </c>
      <c r="C302" s="3" t="s">
        <v>126</v>
      </c>
      <c r="D302" s="4"/>
      <c r="E302" s="3"/>
      <c r="F302" s="3" t="s">
        <v>19</v>
      </c>
      <c r="G302" s="3" t="s">
        <v>1008</v>
      </c>
      <c r="H302" s="8" t="s">
        <v>1009</v>
      </c>
      <c r="I302" s="4"/>
      <c r="J302" s="5" t="s">
        <v>20</v>
      </c>
      <c r="K302" s="6"/>
      <c r="L302" s="5"/>
      <c r="M302" s="5"/>
      <c r="N302" s="6"/>
      <c r="O302" s="7"/>
      <c r="P302" s="8" t="s">
        <v>21</v>
      </c>
      <c r="Q302" s="8" t="s">
        <v>22</v>
      </c>
    </row>
    <row r="303" customFormat="false" ht="15" hidden="false" customHeight="false" outlineLevel="0" collapsed="false">
      <c r="A303" s="2" t="n">
        <v>302</v>
      </c>
      <c r="B303" s="3" t="s">
        <v>1010</v>
      </c>
      <c r="C303" s="3"/>
      <c r="D303" s="4"/>
      <c r="E303" s="3" t="s">
        <v>31</v>
      </c>
      <c r="F303" s="3" t="s">
        <v>19</v>
      </c>
      <c r="G303" s="3" t="s">
        <v>1011</v>
      </c>
      <c r="H303" s="8" t="s">
        <v>1012</v>
      </c>
      <c r="I303" s="4" t="s">
        <v>1013</v>
      </c>
      <c r="J303" s="5" t="s">
        <v>20</v>
      </c>
      <c r="K303" s="6"/>
      <c r="L303" s="5"/>
      <c r="M303" s="5"/>
      <c r="N303" s="6"/>
      <c r="O303" s="7"/>
      <c r="P303" s="8" t="s">
        <v>21</v>
      </c>
      <c r="Q303" s="8" t="s">
        <v>22</v>
      </c>
    </row>
    <row r="304" customFormat="false" ht="15" hidden="false" customHeight="false" outlineLevel="0" collapsed="false">
      <c r="A304" s="2" t="n">
        <v>303</v>
      </c>
      <c r="B304" s="3" t="s">
        <v>1014</v>
      </c>
      <c r="C304" s="3" t="s">
        <v>120</v>
      </c>
      <c r="D304" s="4"/>
      <c r="E304" s="3"/>
      <c r="F304" s="3" t="s">
        <v>19</v>
      </c>
      <c r="G304" s="3" t="s">
        <v>1015</v>
      </c>
      <c r="H304" s="8" t="s">
        <v>1016</v>
      </c>
      <c r="I304" s="4" t="s">
        <v>1017</v>
      </c>
      <c r="J304" s="5" t="s">
        <v>20</v>
      </c>
      <c r="K304" s="6"/>
      <c r="L304" s="5"/>
      <c r="M304" s="5"/>
      <c r="N304" s="6"/>
      <c r="O304" s="7"/>
      <c r="P304" s="8" t="s">
        <v>21</v>
      </c>
      <c r="Q304" s="8" t="s">
        <v>22</v>
      </c>
    </row>
    <row r="305" customFormat="false" ht="15" hidden="false" customHeight="false" outlineLevel="0" collapsed="false">
      <c r="A305" s="2" t="n">
        <v>304</v>
      </c>
      <c r="B305" s="3" t="s">
        <v>1018</v>
      </c>
      <c r="C305" s="3"/>
      <c r="D305" s="4"/>
      <c r="E305" s="3"/>
      <c r="F305" s="3" t="s">
        <v>19</v>
      </c>
      <c r="G305" s="3"/>
      <c r="H305" s="3"/>
      <c r="I305" s="4" t="s">
        <v>1019</v>
      </c>
      <c r="J305" s="5" t="s">
        <v>20</v>
      </c>
      <c r="K305" s="6"/>
      <c r="L305" s="5"/>
      <c r="M305" s="5"/>
      <c r="N305" s="6"/>
      <c r="O305" s="7"/>
      <c r="P305" s="8" t="s">
        <v>21</v>
      </c>
      <c r="Q305" s="8" t="s">
        <v>22</v>
      </c>
    </row>
    <row r="306" customFormat="false" ht="15" hidden="false" customHeight="false" outlineLevel="0" collapsed="false">
      <c r="A306" s="2" t="n">
        <v>305</v>
      </c>
      <c r="B306" s="3" t="s">
        <v>1020</v>
      </c>
      <c r="C306" s="3" t="s">
        <v>1021</v>
      </c>
      <c r="D306" s="4"/>
      <c r="E306" s="3"/>
      <c r="F306" s="3" t="s">
        <v>19</v>
      </c>
      <c r="G306" s="3"/>
      <c r="H306" s="3"/>
      <c r="I306" s="4"/>
      <c r="J306" s="5" t="s">
        <v>20</v>
      </c>
      <c r="K306" s="6"/>
      <c r="L306" s="5"/>
      <c r="M306" s="5"/>
      <c r="N306" s="6"/>
      <c r="O306" s="7"/>
      <c r="P306" s="8" t="s">
        <v>21</v>
      </c>
      <c r="Q306" s="8" t="s">
        <v>22</v>
      </c>
    </row>
    <row r="307" customFormat="false" ht="23.85" hidden="false" customHeight="false" outlineLevel="0" collapsed="false">
      <c r="A307" s="2" t="n">
        <v>306</v>
      </c>
      <c r="B307" s="3" t="s">
        <v>1022</v>
      </c>
      <c r="C307" s="3"/>
      <c r="D307" s="4"/>
      <c r="E307" s="3"/>
      <c r="F307" s="3" t="s">
        <v>19</v>
      </c>
      <c r="G307" s="3" t="s">
        <v>1023</v>
      </c>
      <c r="H307" s="8" t="s">
        <v>1024</v>
      </c>
      <c r="I307" s="4" t="s">
        <v>1025</v>
      </c>
      <c r="J307" s="5" t="s">
        <v>20</v>
      </c>
      <c r="K307" s="6"/>
      <c r="L307" s="5"/>
      <c r="M307" s="5"/>
      <c r="N307" s="6"/>
      <c r="O307" s="7"/>
      <c r="P307" s="8" t="s">
        <v>21</v>
      </c>
      <c r="Q307" s="8" t="s">
        <v>22</v>
      </c>
    </row>
    <row r="308" customFormat="false" ht="15" hidden="false" customHeight="false" outlineLevel="0" collapsed="false">
      <c r="A308" s="2" t="n">
        <v>307</v>
      </c>
      <c r="B308" s="3" t="s">
        <v>1026</v>
      </c>
      <c r="C308" s="3"/>
      <c r="D308" s="4"/>
      <c r="E308" s="3"/>
      <c r="F308" s="3" t="s">
        <v>19</v>
      </c>
      <c r="G308" s="3"/>
      <c r="H308" s="3"/>
      <c r="I308" s="4"/>
      <c r="J308" s="5" t="s">
        <v>20</v>
      </c>
      <c r="K308" s="6"/>
      <c r="L308" s="5"/>
      <c r="M308" s="5"/>
      <c r="N308" s="6"/>
      <c r="O308" s="7"/>
      <c r="P308" s="8" t="s">
        <v>21</v>
      </c>
      <c r="Q308" s="8" t="s">
        <v>22</v>
      </c>
    </row>
    <row r="309" customFormat="false" ht="15" hidden="false" customHeight="false" outlineLevel="0" collapsed="false">
      <c r="A309" s="2" t="n">
        <v>308</v>
      </c>
      <c r="B309" s="3" t="s">
        <v>1027</v>
      </c>
      <c r="C309" s="3" t="s">
        <v>1028</v>
      </c>
      <c r="D309" s="4" t="s">
        <v>1029</v>
      </c>
      <c r="E309" s="3"/>
      <c r="F309" s="3" t="s">
        <v>19</v>
      </c>
      <c r="G309" s="3" t="s">
        <v>1030</v>
      </c>
      <c r="H309" s="3"/>
      <c r="I309" s="4" t="s">
        <v>1031</v>
      </c>
      <c r="J309" s="5" t="s">
        <v>20</v>
      </c>
      <c r="K309" s="6"/>
      <c r="L309" s="5"/>
      <c r="M309" s="5"/>
      <c r="N309" s="6"/>
      <c r="O309" s="7"/>
      <c r="P309" s="8" t="s">
        <v>21</v>
      </c>
      <c r="Q309" s="8" t="s">
        <v>22</v>
      </c>
    </row>
    <row r="310" customFormat="false" ht="15" hidden="false" customHeight="false" outlineLevel="0" collapsed="false">
      <c r="A310" s="2" t="n">
        <v>309</v>
      </c>
      <c r="B310" s="3" t="s">
        <v>1032</v>
      </c>
      <c r="C310" s="3" t="s">
        <v>91</v>
      </c>
      <c r="D310" s="4" t="s">
        <v>1033</v>
      </c>
      <c r="E310" s="3"/>
      <c r="F310" s="3" t="s">
        <v>19</v>
      </c>
      <c r="G310" s="3" t="s">
        <v>1034</v>
      </c>
      <c r="H310" s="3"/>
      <c r="I310" s="4" t="s">
        <v>1035</v>
      </c>
      <c r="J310" s="5" t="s">
        <v>20</v>
      </c>
      <c r="K310" s="6"/>
      <c r="L310" s="5"/>
      <c r="M310" s="5"/>
      <c r="N310" s="6"/>
      <c r="O310" s="7"/>
      <c r="P310" s="8" t="s">
        <v>21</v>
      </c>
      <c r="Q310" s="8" t="s">
        <v>22</v>
      </c>
    </row>
    <row r="311" customFormat="false" ht="15" hidden="false" customHeight="false" outlineLevel="0" collapsed="false">
      <c r="A311" s="2" t="n">
        <v>310</v>
      </c>
      <c r="B311" s="3" t="s">
        <v>1036</v>
      </c>
      <c r="C311" s="3" t="s">
        <v>126</v>
      </c>
      <c r="D311" s="4"/>
      <c r="E311" s="3"/>
      <c r="F311" s="3" t="s">
        <v>19</v>
      </c>
      <c r="G311" s="3" t="s">
        <v>1037</v>
      </c>
      <c r="H311" s="8" t="s">
        <v>1038</v>
      </c>
      <c r="I311" s="4" t="s">
        <v>1039</v>
      </c>
      <c r="J311" s="5" t="s">
        <v>20</v>
      </c>
      <c r="K311" s="6"/>
      <c r="L311" s="5"/>
      <c r="M311" s="5"/>
      <c r="N311" s="6"/>
      <c r="O311" s="7"/>
      <c r="P311" s="8" t="s">
        <v>21</v>
      </c>
      <c r="Q311" s="8" t="s">
        <v>22</v>
      </c>
    </row>
    <row r="312" customFormat="false" ht="15" hidden="false" customHeight="false" outlineLevel="0" collapsed="false">
      <c r="A312" s="2" t="n">
        <v>311</v>
      </c>
      <c r="B312" s="3" t="s">
        <v>1040</v>
      </c>
      <c r="C312" s="3"/>
      <c r="D312" s="4"/>
      <c r="E312" s="3"/>
      <c r="F312" s="3" t="s">
        <v>19</v>
      </c>
      <c r="G312" s="3" t="s">
        <v>1041</v>
      </c>
      <c r="H312" s="8" t="s">
        <v>1042</v>
      </c>
      <c r="I312" s="4" t="s">
        <v>1043</v>
      </c>
      <c r="J312" s="5" t="s">
        <v>20</v>
      </c>
      <c r="K312" s="6"/>
      <c r="L312" s="5"/>
      <c r="M312" s="5"/>
      <c r="N312" s="6"/>
      <c r="O312" s="7"/>
      <c r="P312" s="8" t="s">
        <v>21</v>
      </c>
      <c r="Q312" s="8" t="s">
        <v>22</v>
      </c>
    </row>
    <row r="313" customFormat="false" ht="15" hidden="false" customHeight="false" outlineLevel="0" collapsed="false">
      <c r="A313" s="2" t="n">
        <v>312</v>
      </c>
      <c r="B313" s="3" t="s">
        <v>1044</v>
      </c>
      <c r="C313" s="3" t="s">
        <v>51</v>
      </c>
      <c r="D313" s="4"/>
      <c r="E313" s="3"/>
      <c r="F313" s="3" t="s">
        <v>19</v>
      </c>
      <c r="G313" s="3" t="s">
        <v>1045</v>
      </c>
      <c r="H313" s="8" t="s">
        <v>1046</v>
      </c>
      <c r="I313" s="4" t="s">
        <v>1047</v>
      </c>
      <c r="J313" s="5" t="s">
        <v>20</v>
      </c>
      <c r="K313" s="6"/>
      <c r="L313" s="5"/>
      <c r="M313" s="5"/>
      <c r="N313" s="6"/>
      <c r="O313" s="7"/>
      <c r="P313" s="8" t="s">
        <v>21</v>
      </c>
      <c r="Q313" s="8" t="s">
        <v>22</v>
      </c>
    </row>
    <row r="314" customFormat="false" ht="15" hidden="false" customHeight="false" outlineLevel="0" collapsed="false">
      <c r="A314" s="2" t="n">
        <v>313</v>
      </c>
      <c r="B314" s="3" t="s">
        <v>1048</v>
      </c>
      <c r="C314" s="3"/>
      <c r="D314" s="4"/>
      <c r="E314" s="3"/>
      <c r="F314" s="3" t="s">
        <v>19</v>
      </c>
      <c r="G314" s="3"/>
      <c r="H314" s="3"/>
      <c r="I314" s="4"/>
      <c r="J314" s="5" t="s">
        <v>20</v>
      </c>
      <c r="K314" s="6"/>
      <c r="L314" s="5"/>
      <c r="M314" s="5"/>
      <c r="N314" s="6"/>
      <c r="O314" s="7"/>
      <c r="P314" s="8" t="s">
        <v>21</v>
      </c>
      <c r="Q314" s="8" t="s">
        <v>22</v>
      </c>
    </row>
    <row r="315" customFormat="false" ht="15" hidden="false" customHeight="false" outlineLevel="0" collapsed="false">
      <c r="A315" s="2" t="n">
        <v>314</v>
      </c>
      <c r="B315" s="3" t="s">
        <v>1049</v>
      </c>
      <c r="C315" s="3"/>
      <c r="D315" s="4"/>
      <c r="E315" s="3"/>
      <c r="F315" s="3" t="s">
        <v>19</v>
      </c>
      <c r="G315" s="3" t="s">
        <v>1050</v>
      </c>
      <c r="H315" s="8" t="s">
        <v>1051</v>
      </c>
      <c r="I315" s="4" t="s">
        <v>1052</v>
      </c>
      <c r="J315" s="5" t="s">
        <v>20</v>
      </c>
      <c r="K315" s="6"/>
      <c r="L315" s="5"/>
      <c r="M315" s="5"/>
      <c r="N315" s="6"/>
      <c r="O315" s="7"/>
      <c r="P315" s="8" t="s">
        <v>21</v>
      </c>
      <c r="Q315" s="8" t="s">
        <v>22</v>
      </c>
    </row>
    <row r="316" customFormat="false" ht="23.85" hidden="false" customHeight="false" outlineLevel="0" collapsed="false">
      <c r="A316" s="2" t="n">
        <v>315</v>
      </c>
      <c r="B316" s="3" t="s">
        <v>1053</v>
      </c>
      <c r="C316" s="3" t="s">
        <v>1054</v>
      </c>
      <c r="D316" s="4"/>
      <c r="E316" s="3"/>
      <c r="F316" s="3" t="s">
        <v>19</v>
      </c>
      <c r="G316" s="3" t="s">
        <v>1055</v>
      </c>
      <c r="H316" s="3"/>
      <c r="I316" s="4" t="s">
        <v>1056</v>
      </c>
      <c r="J316" s="5" t="s">
        <v>20</v>
      </c>
      <c r="K316" s="6"/>
      <c r="L316" s="5"/>
      <c r="M316" s="5"/>
      <c r="N316" s="6"/>
      <c r="O316" s="7"/>
      <c r="P316" s="8" t="s">
        <v>21</v>
      </c>
      <c r="Q316" s="8" t="s">
        <v>22</v>
      </c>
    </row>
    <row r="317" customFormat="false" ht="15" hidden="false" customHeight="false" outlineLevel="0" collapsed="false">
      <c r="A317" s="2" t="n">
        <v>316</v>
      </c>
      <c r="B317" s="3" t="s">
        <v>1057</v>
      </c>
      <c r="C317" s="3" t="s">
        <v>1058</v>
      </c>
      <c r="D317" s="4"/>
      <c r="E317" s="3"/>
      <c r="F317" s="3" t="s">
        <v>19</v>
      </c>
      <c r="G317" s="3"/>
      <c r="H317" s="3"/>
      <c r="I317" s="4"/>
      <c r="J317" s="5" t="s">
        <v>20</v>
      </c>
      <c r="K317" s="6"/>
      <c r="L317" s="5"/>
      <c r="M317" s="5"/>
      <c r="N317" s="6"/>
      <c r="O317" s="7"/>
      <c r="P317" s="8" t="s">
        <v>21</v>
      </c>
      <c r="Q317" s="8" t="s">
        <v>22</v>
      </c>
    </row>
    <row r="318" customFormat="false" ht="15" hidden="false" customHeight="false" outlineLevel="0" collapsed="false">
      <c r="A318" s="2" t="n">
        <v>317</v>
      </c>
      <c r="B318" s="3" t="s">
        <v>1059</v>
      </c>
      <c r="C318" s="3"/>
      <c r="D318" s="4"/>
      <c r="E318" s="3"/>
      <c r="F318" s="3" t="s">
        <v>19</v>
      </c>
      <c r="G318" s="3"/>
      <c r="H318" s="3"/>
      <c r="I318" s="4" t="s">
        <v>1060</v>
      </c>
      <c r="J318" s="5" t="s">
        <v>20</v>
      </c>
      <c r="K318" s="6"/>
      <c r="L318" s="5"/>
      <c r="M318" s="5"/>
      <c r="N318" s="6"/>
      <c r="O318" s="7"/>
      <c r="P318" s="8" t="s">
        <v>21</v>
      </c>
      <c r="Q318" s="8" t="s">
        <v>22</v>
      </c>
    </row>
    <row r="319" customFormat="false" ht="15" hidden="false" customHeight="false" outlineLevel="0" collapsed="false">
      <c r="A319" s="2" t="n">
        <v>318</v>
      </c>
      <c r="B319" s="3" t="s">
        <v>1061</v>
      </c>
      <c r="C319" s="3" t="s">
        <v>211</v>
      </c>
      <c r="D319" s="4"/>
      <c r="E319" s="3"/>
      <c r="F319" s="3" t="s">
        <v>19</v>
      </c>
      <c r="G319" s="3" t="s">
        <v>1062</v>
      </c>
      <c r="H319" s="3"/>
      <c r="I319" s="4"/>
      <c r="J319" s="5" t="s">
        <v>20</v>
      </c>
      <c r="K319" s="6"/>
      <c r="L319" s="5"/>
      <c r="M319" s="5"/>
      <c r="N319" s="6"/>
      <c r="O319" s="7"/>
      <c r="P319" s="8" t="s">
        <v>21</v>
      </c>
      <c r="Q319" s="8" t="s">
        <v>22</v>
      </c>
    </row>
    <row r="320" customFormat="false" ht="15" hidden="false" customHeight="false" outlineLevel="0" collapsed="false">
      <c r="A320" s="2" t="n">
        <v>319</v>
      </c>
      <c r="B320" s="3" t="s">
        <v>1063</v>
      </c>
      <c r="C320" s="3"/>
      <c r="D320" s="4" t="s">
        <v>1064</v>
      </c>
      <c r="E320" s="3" t="s">
        <v>93</v>
      </c>
      <c r="F320" s="3" t="s">
        <v>19</v>
      </c>
      <c r="G320" s="3" t="s">
        <v>1065</v>
      </c>
      <c r="H320" s="3"/>
      <c r="I320" s="4"/>
      <c r="J320" s="5" t="s">
        <v>20</v>
      </c>
      <c r="K320" s="6"/>
      <c r="L320" s="5"/>
      <c r="M320" s="5"/>
      <c r="N320" s="6"/>
      <c r="O320" s="7"/>
      <c r="P320" s="8" t="s">
        <v>21</v>
      </c>
      <c r="Q320" s="8" t="s">
        <v>22</v>
      </c>
    </row>
    <row r="321" customFormat="false" ht="15" hidden="false" customHeight="false" outlineLevel="0" collapsed="false">
      <c r="A321" s="2" t="n">
        <v>320</v>
      </c>
      <c r="B321" s="3" t="s">
        <v>1066</v>
      </c>
      <c r="C321" s="3" t="s">
        <v>295</v>
      </c>
      <c r="D321" s="4"/>
      <c r="E321" s="3"/>
      <c r="F321" s="3" t="s">
        <v>19</v>
      </c>
      <c r="G321" s="3"/>
      <c r="H321" s="8" t="s">
        <v>1067</v>
      </c>
      <c r="I321" s="4"/>
      <c r="J321" s="5" t="s">
        <v>20</v>
      </c>
      <c r="K321" s="6"/>
      <c r="L321" s="5"/>
      <c r="M321" s="5"/>
      <c r="N321" s="6"/>
      <c r="O321" s="7"/>
      <c r="P321" s="8" t="s">
        <v>21</v>
      </c>
      <c r="Q321" s="8" t="s">
        <v>22</v>
      </c>
    </row>
    <row r="322" customFormat="false" ht="15" hidden="false" customHeight="false" outlineLevel="0" collapsed="false">
      <c r="A322" s="2" t="n">
        <v>321</v>
      </c>
      <c r="B322" s="3" t="s">
        <v>1068</v>
      </c>
      <c r="C322" s="3"/>
      <c r="D322" s="4" t="s">
        <v>1069</v>
      </c>
      <c r="E322" s="3"/>
      <c r="F322" s="3" t="s">
        <v>19</v>
      </c>
      <c r="G322" s="3"/>
      <c r="H322" s="3"/>
      <c r="I322" s="4"/>
      <c r="J322" s="5" t="s">
        <v>20</v>
      </c>
      <c r="K322" s="6"/>
      <c r="L322" s="5"/>
      <c r="M322" s="5"/>
      <c r="N322" s="6"/>
      <c r="O322" s="7"/>
      <c r="P322" s="8" t="s">
        <v>21</v>
      </c>
      <c r="Q322" s="8" t="s">
        <v>22</v>
      </c>
    </row>
    <row r="323" customFormat="false" ht="23.85" hidden="false" customHeight="false" outlineLevel="0" collapsed="false">
      <c r="A323" s="2" t="n">
        <v>322</v>
      </c>
      <c r="B323" s="3" t="s">
        <v>1070</v>
      </c>
      <c r="C323" s="3" t="s">
        <v>1071</v>
      </c>
      <c r="D323" s="4" t="s">
        <v>1072</v>
      </c>
      <c r="E323" s="3" t="s">
        <v>93</v>
      </c>
      <c r="F323" s="3" t="s">
        <v>19</v>
      </c>
      <c r="G323" s="3" t="s">
        <v>1073</v>
      </c>
      <c r="H323" s="8" t="s">
        <v>1074</v>
      </c>
      <c r="I323" s="4" t="s">
        <v>1075</v>
      </c>
      <c r="J323" s="5" t="s">
        <v>20</v>
      </c>
      <c r="K323" s="6"/>
      <c r="L323" s="5"/>
      <c r="M323" s="5"/>
      <c r="N323" s="6"/>
      <c r="O323" s="7"/>
      <c r="P323" s="8" t="s">
        <v>21</v>
      </c>
      <c r="Q323" s="8" t="s">
        <v>22</v>
      </c>
    </row>
    <row r="324" customFormat="false" ht="15" hidden="false" customHeight="false" outlineLevel="0" collapsed="false">
      <c r="A324" s="2" t="n">
        <v>323</v>
      </c>
      <c r="B324" s="3" t="s">
        <v>1076</v>
      </c>
      <c r="C324" s="3"/>
      <c r="D324" s="4"/>
      <c r="E324" s="3"/>
      <c r="F324" s="3" t="s">
        <v>19</v>
      </c>
      <c r="G324" s="3"/>
      <c r="H324" s="3"/>
      <c r="I324" s="4"/>
      <c r="J324" s="5" t="s">
        <v>20</v>
      </c>
      <c r="K324" s="6"/>
      <c r="L324" s="5"/>
      <c r="M324" s="5"/>
      <c r="N324" s="6"/>
      <c r="O324" s="7"/>
      <c r="P324" s="8" t="s">
        <v>21</v>
      </c>
      <c r="Q324" s="8" t="s">
        <v>22</v>
      </c>
    </row>
    <row r="325" customFormat="false" ht="15" hidden="false" customHeight="false" outlineLevel="0" collapsed="false">
      <c r="A325" s="2" t="n">
        <v>324</v>
      </c>
      <c r="B325" s="3" t="s">
        <v>1077</v>
      </c>
      <c r="C325" s="3" t="s">
        <v>120</v>
      </c>
      <c r="D325" s="4"/>
      <c r="E325" s="3"/>
      <c r="F325" s="3" t="s">
        <v>19</v>
      </c>
      <c r="G325" s="3" t="s">
        <v>1078</v>
      </c>
      <c r="H325" s="3"/>
      <c r="I325" s="4"/>
      <c r="J325" s="5" t="s">
        <v>20</v>
      </c>
      <c r="K325" s="6"/>
      <c r="L325" s="5"/>
      <c r="M325" s="5"/>
      <c r="N325" s="6"/>
      <c r="O325" s="7"/>
      <c r="P325" s="8" t="s">
        <v>21</v>
      </c>
      <c r="Q325" s="8" t="s">
        <v>22</v>
      </c>
    </row>
    <row r="326" customFormat="false" ht="15" hidden="false" customHeight="false" outlineLevel="0" collapsed="false">
      <c r="A326" s="2" t="n">
        <v>325</v>
      </c>
      <c r="B326" s="3" t="s">
        <v>1079</v>
      </c>
      <c r="C326" s="3" t="s">
        <v>38</v>
      </c>
      <c r="D326" s="4" t="s">
        <v>1080</v>
      </c>
      <c r="E326" s="3" t="s">
        <v>148</v>
      </c>
      <c r="F326" s="3" t="s">
        <v>19</v>
      </c>
      <c r="G326" s="3" t="s">
        <v>1081</v>
      </c>
      <c r="H326" s="8" t="s">
        <v>1082</v>
      </c>
      <c r="I326" s="4" t="s">
        <v>1083</v>
      </c>
      <c r="J326" s="5" t="s">
        <v>20</v>
      </c>
      <c r="K326" s="6"/>
      <c r="L326" s="5"/>
      <c r="M326" s="5"/>
      <c r="N326" s="6"/>
      <c r="O326" s="7"/>
      <c r="P326" s="8" t="s">
        <v>21</v>
      </c>
      <c r="Q326" s="8" t="s">
        <v>22</v>
      </c>
    </row>
    <row r="327" customFormat="false" ht="15" hidden="false" customHeight="false" outlineLevel="0" collapsed="false">
      <c r="A327" s="2" t="n">
        <v>326</v>
      </c>
      <c r="B327" s="3" t="s">
        <v>1084</v>
      </c>
      <c r="C327" s="3"/>
      <c r="D327" s="4"/>
      <c r="E327" s="3"/>
      <c r="F327" s="3" t="s">
        <v>19</v>
      </c>
      <c r="G327" s="3"/>
      <c r="H327" s="3"/>
      <c r="I327" s="4"/>
      <c r="J327" s="5" t="s">
        <v>20</v>
      </c>
      <c r="K327" s="6"/>
      <c r="L327" s="5"/>
      <c r="M327" s="5"/>
      <c r="N327" s="6"/>
      <c r="O327" s="7"/>
      <c r="P327" s="8" t="s">
        <v>21</v>
      </c>
      <c r="Q327" s="8" t="s">
        <v>22</v>
      </c>
    </row>
    <row r="328" customFormat="false" ht="15" hidden="false" customHeight="false" outlineLevel="0" collapsed="false">
      <c r="A328" s="2" t="n">
        <v>327</v>
      </c>
      <c r="B328" s="3" t="s">
        <v>1085</v>
      </c>
      <c r="C328" s="3" t="s">
        <v>1086</v>
      </c>
      <c r="D328" s="4" t="s">
        <v>1087</v>
      </c>
      <c r="E328" s="3"/>
      <c r="F328" s="3" t="s">
        <v>19</v>
      </c>
      <c r="G328" s="3" t="s">
        <v>1088</v>
      </c>
      <c r="H328" s="3"/>
      <c r="I328" s="4"/>
      <c r="J328" s="5" t="s">
        <v>20</v>
      </c>
      <c r="K328" s="6"/>
      <c r="L328" s="5"/>
      <c r="M328" s="5"/>
      <c r="N328" s="6"/>
      <c r="O328" s="7"/>
      <c r="P328" s="8" t="s">
        <v>21</v>
      </c>
      <c r="Q328" s="8" t="s">
        <v>22</v>
      </c>
    </row>
    <row r="329" customFormat="false" ht="15" hidden="false" customHeight="false" outlineLevel="0" collapsed="false">
      <c r="A329" s="2" t="n">
        <v>328</v>
      </c>
      <c r="B329" s="3" t="s">
        <v>1089</v>
      </c>
      <c r="C329" s="3"/>
      <c r="D329" s="4"/>
      <c r="E329" s="3"/>
      <c r="F329" s="3" t="s">
        <v>19</v>
      </c>
      <c r="G329" s="3"/>
      <c r="H329" s="3"/>
      <c r="I329" s="4" t="s">
        <v>1090</v>
      </c>
      <c r="J329" s="5" t="s">
        <v>20</v>
      </c>
      <c r="K329" s="6"/>
      <c r="L329" s="5"/>
      <c r="M329" s="5"/>
      <c r="N329" s="6"/>
      <c r="O329" s="7"/>
      <c r="P329" s="8" t="s">
        <v>21</v>
      </c>
      <c r="Q329" s="8" t="s">
        <v>22</v>
      </c>
    </row>
    <row r="330" customFormat="false" ht="15" hidden="false" customHeight="false" outlineLevel="0" collapsed="false">
      <c r="A330" s="2" t="n">
        <v>329</v>
      </c>
      <c r="B330" s="3" t="s">
        <v>1091</v>
      </c>
      <c r="C330" s="3"/>
      <c r="D330" s="4"/>
      <c r="E330" s="3"/>
      <c r="F330" s="3" t="s">
        <v>19</v>
      </c>
      <c r="G330" s="3" t="s">
        <v>1092</v>
      </c>
      <c r="H330" s="8" t="s">
        <v>1093</v>
      </c>
      <c r="I330" s="4" t="s">
        <v>1094</v>
      </c>
      <c r="J330" s="5" t="s">
        <v>20</v>
      </c>
      <c r="K330" s="6"/>
      <c r="L330" s="5"/>
      <c r="M330" s="5"/>
      <c r="N330" s="6"/>
      <c r="O330" s="7"/>
      <c r="P330" s="8" t="s">
        <v>21</v>
      </c>
      <c r="Q330" s="8" t="s">
        <v>22</v>
      </c>
    </row>
    <row r="331" customFormat="false" ht="23.85" hidden="false" customHeight="false" outlineLevel="0" collapsed="false">
      <c r="A331" s="2" t="n">
        <v>330</v>
      </c>
      <c r="B331" s="3" t="s">
        <v>1095</v>
      </c>
      <c r="C331" s="3" t="s">
        <v>126</v>
      </c>
      <c r="D331" s="4"/>
      <c r="E331" s="3"/>
      <c r="F331" s="3" t="s">
        <v>19</v>
      </c>
      <c r="G331" s="3" t="s">
        <v>1096</v>
      </c>
      <c r="H331" s="8" t="s">
        <v>1097</v>
      </c>
      <c r="I331" s="4" t="s">
        <v>1098</v>
      </c>
      <c r="J331" s="5" t="s">
        <v>20</v>
      </c>
      <c r="K331" s="6"/>
      <c r="L331" s="5"/>
      <c r="M331" s="5"/>
      <c r="N331" s="6"/>
      <c r="O331" s="7"/>
      <c r="P331" s="8" t="s">
        <v>21</v>
      </c>
      <c r="Q331" s="8" t="s">
        <v>22</v>
      </c>
    </row>
    <row r="332" customFormat="false" ht="23.85" hidden="false" customHeight="false" outlineLevel="0" collapsed="false">
      <c r="A332" s="2" t="n">
        <v>331</v>
      </c>
      <c r="B332" s="3" t="s">
        <v>1099</v>
      </c>
      <c r="C332" s="3"/>
      <c r="D332" s="4"/>
      <c r="E332" s="3"/>
      <c r="F332" s="3" t="s">
        <v>19</v>
      </c>
      <c r="G332" s="3" t="s">
        <v>1100</v>
      </c>
      <c r="H332" s="3"/>
      <c r="I332" s="4" t="s">
        <v>1101</v>
      </c>
      <c r="J332" s="5" t="s">
        <v>20</v>
      </c>
      <c r="K332" s="6"/>
      <c r="L332" s="5"/>
      <c r="M332" s="5"/>
      <c r="N332" s="6"/>
      <c r="O332" s="7"/>
      <c r="P332" s="8" t="s">
        <v>21</v>
      </c>
      <c r="Q332" s="8" t="s">
        <v>22</v>
      </c>
    </row>
    <row r="333" customFormat="false" ht="15" hidden="false" customHeight="false" outlineLevel="0" collapsed="false">
      <c r="A333" s="2" t="n">
        <v>332</v>
      </c>
      <c r="B333" s="3" t="s">
        <v>1102</v>
      </c>
      <c r="C333" s="3" t="s">
        <v>217</v>
      </c>
      <c r="D333" s="4"/>
      <c r="E333" s="3"/>
      <c r="F333" s="3" t="s">
        <v>19</v>
      </c>
      <c r="G333" s="3" t="s">
        <v>1103</v>
      </c>
      <c r="H333" s="8" t="s">
        <v>1104</v>
      </c>
      <c r="I333" s="4" t="s">
        <v>1105</v>
      </c>
      <c r="J333" s="5" t="s">
        <v>20</v>
      </c>
      <c r="K333" s="6"/>
      <c r="L333" s="5"/>
      <c r="M333" s="5"/>
      <c r="N333" s="6"/>
      <c r="O333" s="7"/>
      <c r="P333" s="8" t="s">
        <v>21</v>
      </c>
      <c r="Q333" s="8" t="s">
        <v>22</v>
      </c>
    </row>
    <row r="334" customFormat="false" ht="15" hidden="false" customHeight="false" outlineLevel="0" collapsed="false">
      <c r="A334" s="2" t="n">
        <v>333</v>
      </c>
      <c r="B334" s="3" t="s">
        <v>1102</v>
      </c>
      <c r="C334" s="3" t="s">
        <v>91</v>
      </c>
      <c r="D334" s="4"/>
      <c r="E334" s="3"/>
      <c r="F334" s="3" t="s">
        <v>19</v>
      </c>
      <c r="G334" s="3"/>
      <c r="H334" s="3"/>
      <c r="I334" s="4"/>
      <c r="J334" s="5" t="s">
        <v>20</v>
      </c>
      <c r="K334" s="6"/>
      <c r="L334" s="5"/>
      <c r="M334" s="5"/>
      <c r="N334" s="6"/>
      <c r="O334" s="7"/>
      <c r="P334" s="8" t="s">
        <v>21</v>
      </c>
      <c r="Q334" s="8" t="s">
        <v>22</v>
      </c>
    </row>
    <row r="335" customFormat="false" ht="15" hidden="false" customHeight="false" outlineLevel="0" collapsed="false">
      <c r="A335" s="2" t="n">
        <v>334</v>
      </c>
      <c r="B335" s="3" t="s">
        <v>1106</v>
      </c>
      <c r="C335" s="3" t="s">
        <v>64</v>
      </c>
      <c r="D335" s="4"/>
      <c r="E335" s="3"/>
      <c r="F335" s="3" t="s">
        <v>19</v>
      </c>
      <c r="G335" s="3" t="s">
        <v>1107</v>
      </c>
      <c r="H335" s="8" t="s">
        <v>1108</v>
      </c>
      <c r="I335" s="4" t="s">
        <v>1109</v>
      </c>
      <c r="J335" s="5" t="s">
        <v>20</v>
      </c>
      <c r="K335" s="6"/>
      <c r="L335" s="5"/>
      <c r="M335" s="5"/>
      <c r="N335" s="6"/>
      <c r="O335" s="7"/>
      <c r="P335" s="8" t="s">
        <v>21</v>
      </c>
      <c r="Q335" s="8" t="s">
        <v>22</v>
      </c>
    </row>
    <row r="336" customFormat="false" ht="15" hidden="false" customHeight="false" outlineLevel="0" collapsed="false">
      <c r="A336" s="2" t="n">
        <v>335</v>
      </c>
      <c r="B336" s="3" t="s">
        <v>1110</v>
      </c>
      <c r="C336" s="3" t="s">
        <v>120</v>
      </c>
      <c r="D336" s="4" t="s">
        <v>1111</v>
      </c>
      <c r="E336" s="3" t="s">
        <v>93</v>
      </c>
      <c r="F336" s="3" t="s">
        <v>19</v>
      </c>
      <c r="G336" s="3"/>
      <c r="H336" s="3"/>
      <c r="I336" s="4"/>
      <c r="J336" s="5" t="s">
        <v>20</v>
      </c>
      <c r="K336" s="6"/>
      <c r="L336" s="5"/>
      <c r="M336" s="5"/>
      <c r="N336" s="6"/>
      <c r="O336" s="7"/>
      <c r="P336" s="8" t="s">
        <v>21</v>
      </c>
      <c r="Q336" s="8" t="s">
        <v>22</v>
      </c>
    </row>
    <row r="337" customFormat="false" ht="15" hidden="false" customHeight="false" outlineLevel="0" collapsed="false">
      <c r="A337" s="2" t="n">
        <v>336</v>
      </c>
      <c r="B337" s="3" t="s">
        <v>1112</v>
      </c>
      <c r="C337" s="3" t="s">
        <v>38</v>
      </c>
      <c r="D337" s="4"/>
      <c r="E337" s="3"/>
      <c r="F337" s="3" t="s">
        <v>19</v>
      </c>
      <c r="G337" s="3" t="s">
        <v>1113</v>
      </c>
      <c r="H337" s="8" t="s">
        <v>1114</v>
      </c>
      <c r="I337" s="4" t="s">
        <v>1115</v>
      </c>
      <c r="J337" s="5" t="s">
        <v>20</v>
      </c>
      <c r="K337" s="6"/>
      <c r="L337" s="5"/>
      <c r="M337" s="5"/>
      <c r="N337" s="6"/>
      <c r="O337" s="7"/>
      <c r="P337" s="8" t="s">
        <v>21</v>
      </c>
      <c r="Q337" s="8" t="s">
        <v>22</v>
      </c>
    </row>
    <row r="338" customFormat="false" ht="15" hidden="false" customHeight="false" outlineLevel="0" collapsed="false">
      <c r="A338" s="2" t="n">
        <v>337</v>
      </c>
      <c r="B338" s="3" t="s">
        <v>1116</v>
      </c>
      <c r="C338" s="3" t="s">
        <v>120</v>
      </c>
      <c r="D338" s="4" t="s">
        <v>1117</v>
      </c>
      <c r="E338" s="3" t="s">
        <v>31</v>
      </c>
      <c r="F338" s="3" t="s">
        <v>19</v>
      </c>
      <c r="G338" s="3" t="s">
        <v>1118</v>
      </c>
      <c r="H338" s="8" t="s">
        <v>1119</v>
      </c>
      <c r="I338" s="4" t="s">
        <v>402</v>
      </c>
      <c r="J338" s="5" t="s">
        <v>20</v>
      </c>
      <c r="K338" s="6"/>
      <c r="L338" s="5"/>
      <c r="M338" s="5"/>
      <c r="N338" s="6"/>
      <c r="O338" s="7"/>
      <c r="P338" s="8" t="s">
        <v>21</v>
      </c>
      <c r="Q338" s="8" t="s">
        <v>22</v>
      </c>
    </row>
    <row r="339" customFormat="false" ht="15" hidden="false" customHeight="false" outlineLevel="0" collapsed="false">
      <c r="A339" s="2" t="n">
        <v>338</v>
      </c>
      <c r="B339" s="3" t="s">
        <v>1120</v>
      </c>
      <c r="C339" s="3" t="s">
        <v>1121</v>
      </c>
      <c r="D339" s="4"/>
      <c r="E339" s="3"/>
      <c r="F339" s="3" t="s">
        <v>19</v>
      </c>
      <c r="G339" s="3"/>
      <c r="H339" s="3"/>
      <c r="I339" s="4"/>
      <c r="J339" s="5" t="s">
        <v>20</v>
      </c>
      <c r="K339" s="6"/>
      <c r="L339" s="5"/>
      <c r="M339" s="5"/>
      <c r="N339" s="6"/>
      <c r="O339" s="7"/>
      <c r="P339" s="8" t="s">
        <v>21</v>
      </c>
      <c r="Q339" s="8" t="s">
        <v>22</v>
      </c>
    </row>
    <row r="340" customFormat="false" ht="15" hidden="false" customHeight="false" outlineLevel="0" collapsed="false">
      <c r="A340" s="2" t="n">
        <v>339</v>
      </c>
      <c r="B340" s="3" t="s">
        <v>1122</v>
      </c>
      <c r="C340" s="3" t="s">
        <v>89</v>
      </c>
      <c r="D340" s="4" t="s">
        <v>1123</v>
      </c>
      <c r="E340" s="3" t="s">
        <v>26</v>
      </c>
      <c r="F340" s="3" t="s">
        <v>19</v>
      </c>
      <c r="G340" s="3" t="s">
        <v>1124</v>
      </c>
      <c r="H340" s="3"/>
      <c r="I340" s="4"/>
      <c r="J340" s="5" t="s">
        <v>20</v>
      </c>
      <c r="K340" s="6"/>
      <c r="L340" s="5"/>
      <c r="M340" s="5"/>
      <c r="N340" s="6"/>
      <c r="O340" s="7"/>
      <c r="P340" s="8" t="s">
        <v>21</v>
      </c>
      <c r="Q340" s="8" t="s">
        <v>22</v>
      </c>
    </row>
    <row r="341" customFormat="false" ht="15" hidden="false" customHeight="false" outlineLevel="0" collapsed="false">
      <c r="A341" s="2" t="n">
        <v>340</v>
      </c>
      <c r="B341" s="3" t="s">
        <v>1125</v>
      </c>
      <c r="C341" s="3"/>
      <c r="D341" s="4"/>
      <c r="E341" s="3"/>
      <c r="F341" s="3" t="s">
        <v>19</v>
      </c>
      <c r="G341" s="3"/>
      <c r="H341" s="8" t="s">
        <v>1126</v>
      </c>
      <c r="I341" s="4" t="s">
        <v>1127</v>
      </c>
      <c r="J341" s="5" t="s">
        <v>20</v>
      </c>
      <c r="K341" s="6"/>
      <c r="L341" s="5"/>
      <c r="M341" s="5"/>
      <c r="N341" s="6"/>
      <c r="O341" s="7"/>
      <c r="P341" s="8" t="s">
        <v>21</v>
      </c>
      <c r="Q341" s="8" t="s">
        <v>22</v>
      </c>
    </row>
    <row r="342" customFormat="false" ht="15" hidden="false" customHeight="false" outlineLevel="0" collapsed="false">
      <c r="A342" s="2" t="n">
        <v>341</v>
      </c>
      <c r="B342" s="3" t="s">
        <v>1128</v>
      </c>
      <c r="C342" s="3" t="s">
        <v>1129</v>
      </c>
      <c r="D342" s="4" t="s">
        <v>1130</v>
      </c>
      <c r="E342" s="3" t="s">
        <v>93</v>
      </c>
      <c r="F342" s="3" t="s">
        <v>19</v>
      </c>
      <c r="G342" s="3"/>
      <c r="H342" s="3"/>
      <c r="I342" s="4" t="s">
        <v>1131</v>
      </c>
      <c r="J342" s="5" t="s">
        <v>20</v>
      </c>
      <c r="K342" s="6"/>
      <c r="L342" s="5"/>
      <c r="M342" s="5"/>
      <c r="N342" s="6"/>
      <c r="O342" s="7"/>
      <c r="P342" s="8" t="s">
        <v>21</v>
      </c>
      <c r="Q342" s="8" t="s">
        <v>22</v>
      </c>
    </row>
    <row r="343" customFormat="false" ht="23.85" hidden="false" customHeight="false" outlineLevel="0" collapsed="false">
      <c r="A343" s="2" t="n">
        <v>342</v>
      </c>
      <c r="B343" s="3" t="s">
        <v>1132</v>
      </c>
      <c r="C343" s="3" t="s">
        <v>120</v>
      </c>
      <c r="D343" s="4"/>
      <c r="E343" s="3"/>
      <c r="F343" s="3" t="s">
        <v>19</v>
      </c>
      <c r="G343" s="3" t="s">
        <v>1133</v>
      </c>
      <c r="H343" s="8" t="s">
        <v>1134</v>
      </c>
      <c r="I343" s="4" t="s">
        <v>1135</v>
      </c>
      <c r="J343" s="5" t="s">
        <v>20</v>
      </c>
      <c r="K343" s="6"/>
      <c r="L343" s="5"/>
      <c r="M343" s="5"/>
      <c r="N343" s="6"/>
      <c r="O343" s="7"/>
      <c r="P343" s="8" t="s">
        <v>21</v>
      </c>
      <c r="Q343" s="8" t="s">
        <v>22</v>
      </c>
    </row>
    <row r="344" customFormat="false" ht="15" hidden="false" customHeight="false" outlineLevel="0" collapsed="false">
      <c r="A344" s="2" t="n">
        <v>343</v>
      </c>
      <c r="B344" s="3" t="s">
        <v>1136</v>
      </c>
      <c r="C344" s="3" t="s">
        <v>24</v>
      </c>
      <c r="D344" s="4" t="s">
        <v>1137</v>
      </c>
      <c r="E344" s="3" t="s">
        <v>93</v>
      </c>
      <c r="F344" s="3" t="s">
        <v>19</v>
      </c>
      <c r="G344" s="3" t="s">
        <v>1138</v>
      </c>
      <c r="H344" s="8" t="s">
        <v>1139</v>
      </c>
      <c r="I344" s="4" t="s">
        <v>1140</v>
      </c>
      <c r="J344" s="5" t="s">
        <v>20</v>
      </c>
      <c r="K344" s="6"/>
      <c r="L344" s="5"/>
      <c r="M344" s="5"/>
      <c r="N344" s="6"/>
      <c r="O344" s="7"/>
      <c r="P344" s="8" t="s">
        <v>21</v>
      </c>
      <c r="Q344" s="8" t="s">
        <v>22</v>
      </c>
    </row>
    <row r="345" customFormat="false" ht="15" hidden="false" customHeight="false" outlineLevel="0" collapsed="false">
      <c r="A345" s="2" t="n">
        <v>344</v>
      </c>
      <c r="B345" s="3" t="s">
        <v>1141</v>
      </c>
      <c r="C345" s="3" t="s">
        <v>326</v>
      </c>
      <c r="D345" s="4" t="s">
        <v>1142</v>
      </c>
      <c r="E345" s="3" t="s">
        <v>26</v>
      </c>
      <c r="F345" s="3" t="s">
        <v>19</v>
      </c>
      <c r="G345" s="3" t="s">
        <v>1143</v>
      </c>
      <c r="H345" s="8" t="s">
        <v>1144</v>
      </c>
      <c r="I345" s="4" t="s">
        <v>1145</v>
      </c>
      <c r="J345" s="5" t="s">
        <v>20</v>
      </c>
      <c r="K345" s="6"/>
      <c r="L345" s="5"/>
      <c r="M345" s="5"/>
      <c r="N345" s="6"/>
      <c r="O345" s="7"/>
      <c r="P345" s="8" t="s">
        <v>21</v>
      </c>
      <c r="Q345" s="8" t="s">
        <v>22</v>
      </c>
    </row>
    <row r="346" customFormat="false" ht="15" hidden="false" customHeight="false" outlineLevel="0" collapsed="false">
      <c r="A346" s="2" t="n">
        <v>345</v>
      </c>
      <c r="B346" s="3" t="s">
        <v>1146</v>
      </c>
      <c r="C346" s="3"/>
      <c r="D346" s="4"/>
      <c r="E346" s="3"/>
      <c r="F346" s="3" t="s">
        <v>19</v>
      </c>
      <c r="G346" s="3" t="s">
        <v>1147</v>
      </c>
      <c r="H346" s="8" t="s">
        <v>1148</v>
      </c>
      <c r="I346" s="4" t="s">
        <v>1149</v>
      </c>
      <c r="J346" s="5" t="s">
        <v>20</v>
      </c>
      <c r="K346" s="6"/>
      <c r="L346" s="5"/>
      <c r="M346" s="5"/>
      <c r="N346" s="6"/>
      <c r="O346" s="7"/>
      <c r="P346" s="8" t="s">
        <v>21</v>
      </c>
      <c r="Q346" s="8" t="s">
        <v>22</v>
      </c>
    </row>
    <row r="347" customFormat="false" ht="15" hidden="false" customHeight="false" outlineLevel="0" collapsed="false">
      <c r="A347" s="2" t="n">
        <v>346</v>
      </c>
      <c r="B347" s="3" t="s">
        <v>1150</v>
      </c>
      <c r="C347" s="3" t="s">
        <v>120</v>
      </c>
      <c r="D347" s="4"/>
      <c r="E347" s="3"/>
      <c r="F347" s="3" t="s">
        <v>19</v>
      </c>
      <c r="G347" s="3"/>
      <c r="H347" s="3"/>
      <c r="I347" s="4"/>
      <c r="J347" s="5" t="s">
        <v>20</v>
      </c>
      <c r="K347" s="6"/>
      <c r="L347" s="5"/>
      <c r="M347" s="5"/>
      <c r="N347" s="6"/>
      <c r="O347" s="7"/>
      <c r="P347" s="8" t="s">
        <v>21</v>
      </c>
      <c r="Q347" s="8" t="s">
        <v>22</v>
      </c>
    </row>
    <row r="348" customFormat="false" ht="15" hidden="false" customHeight="false" outlineLevel="0" collapsed="false">
      <c r="A348" s="2" t="n">
        <v>347</v>
      </c>
      <c r="B348" s="3" t="s">
        <v>1151</v>
      </c>
      <c r="C348" s="3" t="s">
        <v>116</v>
      </c>
      <c r="D348" s="4"/>
      <c r="E348" s="3"/>
      <c r="F348" s="3" t="s">
        <v>19</v>
      </c>
      <c r="G348" s="3"/>
      <c r="H348" s="3"/>
      <c r="I348" s="4"/>
      <c r="J348" s="5" t="s">
        <v>20</v>
      </c>
      <c r="K348" s="6"/>
      <c r="L348" s="5"/>
      <c r="M348" s="5"/>
      <c r="N348" s="6"/>
      <c r="O348" s="7"/>
      <c r="P348" s="8" t="s">
        <v>21</v>
      </c>
      <c r="Q348" s="8" t="s">
        <v>22</v>
      </c>
    </row>
    <row r="349" customFormat="false" ht="15" hidden="false" customHeight="false" outlineLevel="0" collapsed="false">
      <c r="A349" s="2" t="n">
        <v>348</v>
      </c>
      <c r="B349" s="3" t="s">
        <v>1152</v>
      </c>
      <c r="C349" s="3" t="s">
        <v>169</v>
      </c>
      <c r="D349" s="4"/>
      <c r="E349" s="3"/>
      <c r="F349" s="3" t="s">
        <v>19</v>
      </c>
      <c r="G349" s="3"/>
      <c r="H349" s="8" t="s">
        <v>1153</v>
      </c>
      <c r="I349" s="4"/>
      <c r="J349" s="5" t="s">
        <v>20</v>
      </c>
      <c r="K349" s="6"/>
      <c r="L349" s="5"/>
      <c r="M349" s="5"/>
      <c r="N349" s="6"/>
      <c r="O349" s="7"/>
      <c r="P349" s="8" t="s">
        <v>21</v>
      </c>
      <c r="Q349" s="8" t="s">
        <v>22</v>
      </c>
    </row>
    <row r="350" customFormat="false" ht="23.85" hidden="false" customHeight="false" outlineLevel="0" collapsed="false">
      <c r="A350" s="2" t="n">
        <v>349</v>
      </c>
      <c r="B350" s="3" t="s">
        <v>1154</v>
      </c>
      <c r="C350" s="3"/>
      <c r="D350" s="4"/>
      <c r="E350" s="3"/>
      <c r="F350" s="3" t="s">
        <v>19</v>
      </c>
      <c r="G350" s="3" t="s">
        <v>1155</v>
      </c>
      <c r="H350" s="3"/>
      <c r="I350" s="4" t="s">
        <v>1156</v>
      </c>
      <c r="J350" s="5" t="s">
        <v>20</v>
      </c>
      <c r="K350" s="6"/>
      <c r="L350" s="5"/>
      <c r="M350" s="5"/>
      <c r="N350" s="6"/>
      <c r="O350" s="7"/>
      <c r="P350" s="8" t="s">
        <v>21</v>
      </c>
      <c r="Q350" s="8" t="s">
        <v>22</v>
      </c>
    </row>
    <row r="351" customFormat="false" ht="15" hidden="false" customHeight="false" outlineLevel="0" collapsed="false">
      <c r="A351" s="2" t="n">
        <v>350</v>
      </c>
      <c r="B351" s="3" t="s">
        <v>1157</v>
      </c>
      <c r="C351" s="3"/>
      <c r="D351" s="4" t="s">
        <v>1158</v>
      </c>
      <c r="E351" s="3"/>
      <c r="F351" s="3" t="s">
        <v>19</v>
      </c>
      <c r="G351" s="3"/>
      <c r="H351" s="8" t="s">
        <v>1159</v>
      </c>
      <c r="I351" s="4"/>
      <c r="J351" s="5" t="s">
        <v>20</v>
      </c>
      <c r="K351" s="6"/>
      <c r="L351" s="5"/>
      <c r="M351" s="5"/>
      <c r="N351" s="6"/>
      <c r="O351" s="7"/>
      <c r="P351" s="8" t="s">
        <v>21</v>
      </c>
      <c r="Q351" s="8" t="s">
        <v>22</v>
      </c>
    </row>
    <row r="352" customFormat="false" ht="15" hidden="false" customHeight="false" outlineLevel="0" collapsed="false">
      <c r="A352" s="2" t="n">
        <v>351</v>
      </c>
      <c r="B352" s="3" t="s">
        <v>1160</v>
      </c>
      <c r="C352" s="3" t="s">
        <v>91</v>
      </c>
      <c r="D352" s="4"/>
      <c r="E352" s="3"/>
      <c r="F352" s="3" t="s">
        <v>19</v>
      </c>
      <c r="G352" s="3"/>
      <c r="H352" s="8" t="s">
        <v>1161</v>
      </c>
      <c r="I352" s="4"/>
      <c r="J352" s="5" t="s">
        <v>20</v>
      </c>
      <c r="K352" s="6"/>
      <c r="L352" s="5"/>
      <c r="M352" s="5"/>
      <c r="N352" s="6"/>
      <c r="O352" s="7"/>
      <c r="P352" s="8" t="s">
        <v>21</v>
      </c>
      <c r="Q352" s="8" t="s">
        <v>22</v>
      </c>
    </row>
    <row r="353" customFormat="false" ht="15" hidden="false" customHeight="false" outlineLevel="0" collapsed="false">
      <c r="A353" s="2" t="n">
        <v>352</v>
      </c>
      <c r="B353" s="3" t="s">
        <v>1162</v>
      </c>
      <c r="C353" s="3" t="s">
        <v>135</v>
      </c>
      <c r="D353" s="4"/>
      <c r="E353" s="3"/>
      <c r="F353" s="3" t="s">
        <v>19</v>
      </c>
      <c r="G353" s="3" t="s">
        <v>1163</v>
      </c>
      <c r="H353" s="8" t="s">
        <v>1164</v>
      </c>
      <c r="I353" s="4" t="s">
        <v>1165</v>
      </c>
      <c r="J353" s="5" t="s">
        <v>20</v>
      </c>
      <c r="K353" s="6"/>
      <c r="L353" s="5"/>
      <c r="M353" s="5"/>
      <c r="N353" s="6"/>
      <c r="O353" s="7"/>
      <c r="P353" s="8" t="s">
        <v>21</v>
      </c>
      <c r="Q353" s="8" t="s">
        <v>22</v>
      </c>
    </row>
    <row r="354" customFormat="false" ht="15" hidden="false" customHeight="false" outlineLevel="0" collapsed="false">
      <c r="A354" s="2" t="n">
        <v>353</v>
      </c>
      <c r="B354" s="3" t="s">
        <v>1166</v>
      </c>
      <c r="C354" s="3" t="s">
        <v>1167</v>
      </c>
      <c r="D354" s="4"/>
      <c r="E354" s="3"/>
      <c r="F354" s="3" t="s">
        <v>19</v>
      </c>
      <c r="G354" s="3" t="s">
        <v>1168</v>
      </c>
      <c r="H354" s="8" t="s">
        <v>1169</v>
      </c>
      <c r="I354" s="4" t="s">
        <v>1170</v>
      </c>
      <c r="J354" s="5" t="s">
        <v>20</v>
      </c>
      <c r="K354" s="6"/>
      <c r="L354" s="5"/>
      <c r="M354" s="5"/>
      <c r="N354" s="6"/>
      <c r="O354" s="7"/>
      <c r="P354" s="8" t="s">
        <v>21</v>
      </c>
      <c r="Q354" s="8" t="s">
        <v>22</v>
      </c>
    </row>
    <row r="355" customFormat="false" ht="15" hidden="false" customHeight="false" outlineLevel="0" collapsed="false">
      <c r="A355" s="2" t="n">
        <v>354</v>
      </c>
      <c r="B355" s="3" t="s">
        <v>1166</v>
      </c>
      <c r="C355" s="3"/>
      <c r="D355" s="4"/>
      <c r="E355" s="3"/>
      <c r="F355" s="3" t="s">
        <v>19</v>
      </c>
      <c r="G355" s="3" t="s">
        <v>1171</v>
      </c>
      <c r="H355" s="8" t="s">
        <v>1172</v>
      </c>
      <c r="I355" s="4" t="s">
        <v>1173</v>
      </c>
      <c r="J355" s="5" t="s">
        <v>20</v>
      </c>
      <c r="K355" s="6"/>
      <c r="L355" s="5"/>
      <c r="M355" s="5"/>
      <c r="N355" s="6"/>
      <c r="O355" s="7"/>
      <c r="P355" s="8" t="s">
        <v>21</v>
      </c>
      <c r="Q355" s="8" t="s">
        <v>22</v>
      </c>
    </row>
    <row r="356" customFormat="false" ht="15" hidden="false" customHeight="false" outlineLevel="0" collapsed="false">
      <c r="A356" s="2" t="n">
        <v>355</v>
      </c>
      <c r="B356" s="3" t="s">
        <v>1174</v>
      </c>
      <c r="C356" s="3"/>
      <c r="D356" s="4"/>
      <c r="E356" s="3"/>
      <c r="F356" s="3" t="s">
        <v>19</v>
      </c>
      <c r="G356" s="3" t="s">
        <v>1175</v>
      </c>
      <c r="H356" s="8" t="s">
        <v>1176</v>
      </c>
      <c r="I356" s="4"/>
      <c r="J356" s="5" t="s">
        <v>20</v>
      </c>
      <c r="K356" s="6"/>
      <c r="L356" s="5"/>
      <c r="M356" s="5"/>
      <c r="N356" s="6"/>
      <c r="O356" s="7"/>
      <c r="P356" s="8" t="s">
        <v>21</v>
      </c>
      <c r="Q356" s="8" t="s">
        <v>22</v>
      </c>
    </row>
    <row r="357" customFormat="false" ht="15" hidden="false" customHeight="false" outlineLevel="0" collapsed="false">
      <c r="A357" s="2" t="n">
        <v>356</v>
      </c>
      <c r="B357" s="3" t="s">
        <v>1177</v>
      </c>
      <c r="C357" s="3"/>
      <c r="D357" s="4"/>
      <c r="E357" s="3"/>
      <c r="F357" s="3" t="s">
        <v>19</v>
      </c>
      <c r="G357" s="3"/>
      <c r="H357" s="3"/>
      <c r="I357" s="4"/>
      <c r="J357" s="5" t="s">
        <v>20</v>
      </c>
      <c r="K357" s="6"/>
      <c r="L357" s="5"/>
      <c r="M357" s="5"/>
      <c r="N357" s="6"/>
      <c r="O357" s="7"/>
      <c r="P357" s="8" t="s">
        <v>21</v>
      </c>
      <c r="Q357" s="8" t="s">
        <v>22</v>
      </c>
    </row>
    <row r="358" customFormat="false" ht="15" hidden="false" customHeight="false" outlineLevel="0" collapsed="false">
      <c r="A358" s="2" t="n">
        <v>357</v>
      </c>
      <c r="B358" s="3" t="s">
        <v>1178</v>
      </c>
      <c r="C358" s="3" t="s">
        <v>62</v>
      </c>
      <c r="D358" s="4"/>
      <c r="E358" s="3"/>
      <c r="F358" s="3" t="s">
        <v>19</v>
      </c>
      <c r="G358" s="3" t="s">
        <v>1179</v>
      </c>
      <c r="H358" s="8" t="s">
        <v>1180</v>
      </c>
      <c r="I358" s="4" t="s">
        <v>1181</v>
      </c>
      <c r="J358" s="5" t="s">
        <v>20</v>
      </c>
      <c r="K358" s="6"/>
      <c r="L358" s="5"/>
      <c r="M358" s="5"/>
      <c r="N358" s="6"/>
      <c r="O358" s="7"/>
      <c r="P358" s="8" t="s">
        <v>21</v>
      </c>
      <c r="Q358" s="8" t="s">
        <v>22</v>
      </c>
    </row>
    <row r="359" customFormat="false" ht="15" hidden="false" customHeight="false" outlineLevel="0" collapsed="false">
      <c r="A359" s="2" t="n">
        <v>358</v>
      </c>
      <c r="B359" s="3" t="s">
        <v>1182</v>
      </c>
      <c r="C359" s="3" t="s">
        <v>38</v>
      </c>
      <c r="D359" s="4"/>
      <c r="E359" s="3"/>
      <c r="F359" s="3" t="s">
        <v>19</v>
      </c>
      <c r="G359" s="3"/>
      <c r="H359" s="3"/>
      <c r="I359" s="4"/>
      <c r="J359" s="5" t="s">
        <v>20</v>
      </c>
      <c r="K359" s="6"/>
      <c r="L359" s="5"/>
      <c r="M359" s="5"/>
      <c r="N359" s="6"/>
      <c r="O359" s="7"/>
      <c r="P359" s="8" t="s">
        <v>21</v>
      </c>
      <c r="Q359" s="8" t="s">
        <v>22</v>
      </c>
    </row>
    <row r="360" customFormat="false" ht="15" hidden="false" customHeight="false" outlineLevel="0" collapsed="false">
      <c r="A360" s="2" t="n">
        <v>359</v>
      </c>
      <c r="B360" s="3" t="s">
        <v>1183</v>
      </c>
      <c r="C360" s="3"/>
      <c r="D360" s="4"/>
      <c r="E360" s="3"/>
      <c r="F360" s="3" t="s">
        <v>19</v>
      </c>
      <c r="G360" s="3"/>
      <c r="H360" s="3"/>
      <c r="I360" s="4" t="s">
        <v>608</v>
      </c>
      <c r="J360" s="5" t="s">
        <v>20</v>
      </c>
      <c r="K360" s="6"/>
      <c r="L360" s="5"/>
      <c r="M360" s="5"/>
      <c r="N360" s="6"/>
      <c r="O360" s="7"/>
      <c r="P360" s="8" t="s">
        <v>21</v>
      </c>
      <c r="Q360" s="8" t="s">
        <v>22</v>
      </c>
    </row>
    <row r="361" customFormat="false" ht="15" hidden="false" customHeight="false" outlineLevel="0" collapsed="false">
      <c r="A361" s="2" t="n">
        <v>360</v>
      </c>
      <c r="B361" s="3" t="s">
        <v>1184</v>
      </c>
      <c r="C361" s="3" t="s">
        <v>1185</v>
      </c>
      <c r="D361" s="4" t="s">
        <v>1186</v>
      </c>
      <c r="E361" s="3" t="s">
        <v>148</v>
      </c>
      <c r="F361" s="3" t="s">
        <v>19</v>
      </c>
      <c r="G361" s="3" t="s">
        <v>1187</v>
      </c>
      <c r="H361" s="8" t="s">
        <v>1188</v>
      </c>
      <c r="I361" s="4" t="s">
        <v>1189</v>
      </c>
      <c r="J361" s="5" t="s">
        <v>20</v>
      </c>
      <c r="K361" s="6"/>
      <c r="L361" s="5"/>
      <c r="M361" s="5"/>
      <c r="N361" s="6"/>
      <c r="O361" s="7"/>
      <c r="P361" s="8" t="s">
        <v>21</v>
      </c>
      <c r="Q361" s="8" t="s">
        <v>22</v>
      </c>
    </row>
    <row r="362" customFormat="false" ht="23.85" hidden="false" customHeight="false" outlineLevel="0" collapsed="false">
      <c r="A362" s="2" t="n">
        <v>361</v>
      </c>
      <c r="B362" s="3" t="s">
        <v>1190</v>
      </c>
      <c r="C362" s="3" t="s">
        <v>116</v>
      </c>
      <c r="D362" s="4"/>
      <c r="E362" s="3"/>
      <c r="F362" s="3" t="s">
        <v>19</v>
      </c>
      <c r="G362" s="3" t="s">
        <v>1191</v>
      </c>
      <c r="H362" s="3"/>
      <c r="I362" s="4" t="s">
        <v>1192</v>
      </c>
      <c r="J362" s="5" t="s">
        <v>20</v>
      </c>
      <c r="K362" s="6"/>
      <c r="L362" s="5"/>
      <c r="M362" s="5"/>
      <c r="N362" s="6"/>
      <c r="O362" s="7"/>
      <c r="P362" s="8" t="s">
        <v>21</v>
      </c>
      <c r="Q362" s="8" t="s">
        <v>22</v>
      </c>
    </row>
    <row r="363" customFormat="false" ht="15" hidden="false" customHeight="false" outlineLevel="0" collapsed="false">
      <c r="A363" s="2" t="n">
        <v>362</v>
      </c>
      <c r="B363" s="3" t="s">
        <v>1193</v>
      </c>
      <c r="C363" s="3" t="s">
        <v>120</v>
      </c>
      <c r="D363" s="4"/>
      <c r="E363" s="3"/>
      <c r="F363" s="3" t="s">
        <v>19</v>
      </c>
      <c r="G363" s="3" t="s">
        <v>1194</v>
      </c>
      <c r="H363" s="8" t="s">
        <v>1195</v>
      </c>
      <c r="I363" s="4"/>
      <c r="J363" s="5" t="s">
        <v>20</v>
      </c>
      <c r="K363" s="6"/>
      <c r="L363" s="5"/>
      <c r="M363" s="5"/>
      <c r="N363" s="6"/>
      <c r="O363" s="7"/>
      <c r="P363" s="8" t="s">
        <v>21</v>
      </c>
      <c r="Q363" s="8" t="s">
        <v>22</v>
      </c>
    </row>
    <row r="364" customFormat="false" ht="15" hidden="false" customHeight="false" outlineLevel="0" collapsed="false">
      <c r="A364" s="2" t="n">
        <v>363</v>
      </c>
      <c r="B364" s="3" t="s">
        <v>1196</v>
      </c>
      <c r="C364" s="3"/>
      <c r="D364" s="4"/>
      <c r="E364" s="3"/>
      <c r="F364" s="3" t="s">
        <v>19</v>
      </c>
      <c r="G364" s="3"/>
      <c r="H364" s="3"/>
      <c r="I364" s="4"/>
      <c r="J364" s="5" t="s">
        <v>20</v>
      </c>
      <c r="K364" s="6"/>
      <c r="L364" s="5"/>
      <c r="M364" s="5"/>
      <c r="N364" s="6"/>
      <c r="O364" s="7"/>
      <c r="P364" s="8" t="s">
        <v>21</v>
      </c>
      <c r="Q364" s="8" t="s">
        <v>22</v>
      </c>
    </row>
    <row r="365" customFormat="false" ht="15" hidden="false" customHeight="false" outlineLevel="0" collapsed="false">
      <c r="A365" s="2" t="n">
        <v>364</v>
      </c>
      <c r="B365" s="3" t="s">
        <v>1197</v>
      </c>
      <c r="C365" s="3"/>
      <c r="D365" s="4" t="s">
        <v>1198</v>
      </c>
      <c r="E365" s="3" t="s">
        <v>31</v>
      </c>
      <c r="F365" s="3" t="s">
        <v>19</v>
      </c>
      <c r="G365" s="3"/>
      <c r="H365" s="3"/>
      <c r="I365" s="4"/>
      <c r="J365" s="5" t="s">
        <v>20</v>
      </c>
      <c r="K365" s="6"/>
      <c r="L365" s="5"/>
      <c r="M365" s="5"/>
      <c r="N365" s="6"/>
      <c r="O365" s="7"/>
      <c r="P365" s="8" t="s">
        <v>21</v>
      </c>
      <c r="Q365" s="8" t="s">
        <v>22</v>
      </c>
    </row>
    <row r="366" customFormat="false" ht="15" hidden="false" customHeight="false" outlineLevel="0" collapsed="false">
      <c r="A366" s="2" t="n">
        <v>365</v>
      </c>
      <c r="B366" s="3" t="s">
        <v>1199</v>
      </c>
      <c r="C366" s="3" t="s">
        <v>34</v>
      </c>
      <c r="D366" s="4" t="s">
        <v>1200</v>
      </c>
      <c r="E366" s="3"/>
      <c r="F366" s="3" t="s">
        <v>19</v>
      </c>
      <c r="G366" s="3" t="s">
        <v>1201</v>
      </c>
      <c r="H366" s="8" t="s">
        <v>1202</v>
      </c>
      <c r="I366" s="4" t="s">
        <v>1203</v>
      </c>
      <c r="J366" s="5" t="s">
        <v>20</v>
      </c>
      <c r="K366" s="6"/>
      <c r="L366" s="5"/>
      <c r="M366" s="5"/>
      <c r="N366" s="6"/>
      <c r="O366" s="7"/>
      <c r="P366" s="8" t="s">
        <v>21</v>
      </c>
      <c r="Q366" s="8" t="s">
        <v>22</v>
      </c>
    </row>
    <row r="367" customFormat="false" ht="15" hidden="false" customHeight="false" outlineLevel="0" collapsed="false">
      <c r="A367" s="2" t="n">
        <v>366</v>
      </c>
      <c r="B367" s="3" t="s">
        <v>1204</v>
      </c>
      <c r="C367" s="3"/>
      <c r="D367" s="4"/>
      <c r="E367" s="3"/>
      <c r="F367" s="3" t="s">
        <v>19</v>
      </c>
      <c r="G367" s="3"/>
      <c r="H367" s="3"/>
      <c r="I367" s="4"/>
      <c r="J367" s="5" t="s">
        <v>20</v>
      </c>
      <c r="K367" s="6"/>
      <c r="L367" s="5"/>
      <c r="M367" s="5"/>
      <c r="N367" s="6"/>
      <c r="O367" s="7"/>
      <c r="P367" s="8" t="s">
        <v>21</v>
      </c>
      <c r="Q367" s="8" t="s">
        <v>22</v>
      </c>
    </row>
    <row r="368" customFormat="false" ht="15" hidden="false" customHeight="false" outlineLevel="0" collapsed="false">
      <c r="A368" s="2" t="n">
        <v>367</v>
      </c>
      <c r="B368" s="3" t="s">
        <v>1205</v>
      </c>
      <c r="C368" s="3" t="s">
        <v>120</v>
      </c>
      <c r="D368" s="4"/>
      <c r="E368" s="3"/>
      <c r="F368" s="3" t="s">
        <v>19</v>
      </c>
      <c r="G368" s="3" t="s">
        <v>1206</v>
      </c>
      <c r="H368" s="8" t="s">
        <v>1207</v>
      </c>
      <c r="I368" s="4" t="s">
        <v>1208</v>
      </c>
      <c r="J368" s="5" t="s">
        <v>20</v>
      </c>
      <c r="K368" s="6"/>
      <c r="L368" s="5"/>
      <c r="M368" s="5"/>
      <c r="N368" s="6"/>
      <c r="O368" s="7"/>
      <c r="P368" s="8" t="s">
        <v>21</v>
      </c>
      <c r="Q368" s="8" t="s">
        <v>22</v>
      </c>
    </row>
    <row r="369" customFormat="false" ht="15" hidden="false" customHeight="false" outlineLevel="0" collapsed="false">
      <c r="A369" s="2" t="n">
        <v>368</v>
      </c>
      <c r="B369" s="3" t="s">
        <v>1209</v>
      </c>
      <c r="C369" s="3" t="s">
        <v>394</v>
      </c>
      <c r="D369" s="4"/>
      <c r="E369" s="3"/>
      <c r="F369" s="3" t="s">
        <v>19</v>
      </c>
      <c r="G369" s="3" t="s">
        <v>1210</v>
      </c>
      <c r="H369" s="8" t="s">
        <v>1211</v>
      </c>
      <c r="I369" s="4" t="s">
        <v>1212</v>
      </c>
      <c r="J369" s="5" t="s">
        <v>20</v>
      </c>
      <c r="K369" s="6"/>
      <c r="L369" s="5"/>
      <c r="M369" s="5"/>
      <c r="N369" s="6"/>
      <c r="O369" s="7"/>
      <c r="P369" s="8" t="s">
        <v>21</v>
      </c>
      <c r="Q369" s="8" t="s">
        <v>22</v>
      </c>
    </row>
    <row r="370" customFormat="false" ht="15" hidden="false" customHeight="false" outlineLevel="0" collapsed="false">
      <c r="A370" s="2" t="n">
        <v>369</v>
      </c>
      <c r="B370" s="3" t="s">
        <v>1213</v>
      </c>
      <c r="C370" s="3"/>
      <c r="D370" s="4" t="s">
        <v>1214</v>
      </c>
      <c r="E370" s="3" t="s">
        <v>57</v>
      </c>
      <c r="F370" s="3" t="s">
        <v>19</v>
      </c>
      <c r="G370" s="3" t="s">
        <v>1215</v>
      </c>
      <c r="H370" s="8" t="s">
        <v>1216</v>
      </c>
      <c r="I370" s="4"/>
      <c r="J370" s="5" t="s">
        <v>20</v>
      </c>
      <c r="K370" s="6"/>
      <c r="L370" s="5"/>
      <c r="M370" s="5"/>
      <c r="N370" s="6"/>
      <c r="O370" s="7"/>
      <c r="P370" s="8" t="s">
        <v>21</v>
      </c>
      <c r="Q370" s="8" t="s">
        <v>22</v>
      </c>
    </row>
    <row r="371" customFormat="false" ht="15" hidden="false" customHeight="false" outlineLevel="0" collapsed="false">
      <c r="A371" s="2" t="n">
        <v>370</v>
      </c>
      <c r="B371" s="3" t="s">
        <v>1217</v>
      </c>
      <c r="C371" s="3" t="s">
        <v>153</v>
      </c>
      <c r="D371" s="4"/>
      <c r="E371" s="3"/>
      <c r="F371" s="3" t="s">
        <v>19</v>
      </c>
      <c r="G371" s="3" t="s">
        <v>1218</v>
      </c>
      <c r="H371" s="3"/>
      <c r="I371" s="4" t="s">
        <v>275</v>
      </c>
      <c r="J371" s="5" t="s">
        <v>20</v>
      </c>
      <c r="K371" s="6"/>
      <c r="L371" s="5"/>
      <c r="M371" s="5"/>
      <c r="N371" s="6"/>
      <c r="O371" s="7"/>
      <c r="P371" s="8" t="s">
        <v>21</v>
      </c>
      <c r="Q371" s="8" t="s">
        <v>22</v>
      </c>
    </row>
    <row r="372" customFormat="false" ht="15" hidden="false" customHeight="false" outlineLevel="0" collapsed="false">
      <c r="A372" s="2" t="n">
        <v>371</v>
      </c>
      <c r="B372" s="3" t="s">
        <v>1219</v>
      </c>
      <c r="C372" s="3" t="s">
        <v>120</v>
      </c>
      <c r="D372" s="4" t="s">
        <v>1220</v>
      </c>
      <c r="E372" s="3" t="s">
        <v>579</v>
      </c>
      <c r="F372" s="3" t="s">
        <v>19</v>
      </c>
      <c r="G372" s="3" t="s">
        <v>1221</v>
      </c>
      <c r="H372" s="8" t="s">
        <v>1222</v>
      </c>
      <c r="I372" s="4" t="s">
        <v>1223</v>
      </c>
      <c r="J372" s="5" t="s">
        <v>20</v>
      </c>
      <c r="K372" s="6"/>
      <c r="L372" s="5"/>
      <c r="M372" s="5"/>
      <c r="N372" s="6"/>
      <c r="O372" s="7"/>
      <c r="P372" s="8" t="s">
        <v>21</v>
      </c>
      <c r="Q372" s="8" t="s">
        <v>22</v>
      </c>
    </row>
    <row r="373" customFormat="false" ht="23.85" hidden="false" customHeight="false" outlineLevel="0" collapsed="false">
      <c r="A373" s="2" t="n">
        <v>372</v>
      </c>
      <c r="B373" s="3" t="s">
        <v>1224</v>
      </c>
      <c r="C373" s="3" t="s">
        <v>120</v>
      </c>
      <c r="D373" s="4"/>
      <c r="E373" s="3"/>
      <c r="F373" s="3" t="s">
        <v>19</v>
      </c>
      <c r="G373" s="3" t="s">
        <v>1225</v>
      </c>
      <c r="H373" s="3"/>
      <c r="I373" s="4" t="s">
        <v>1226</v>
      </c>
      <c r="J373" s="5" t="s">
        <v>20</v>
      </c>
      <c r="K373" s="6"/>
      <c r="L373" s="5"/>
      <c r="M373" s="5"/>
      <c r="N373" s="6"/>
      <c r="O373" s="7"/>
      <c r="P373" s="8" t="s">
        <v>21</v>
      </c>
      <c r="Q373" s="8" t="s">
        <v>22</v>
      </c>
    </row>
    <row r="374" customFormat="false" ht="15" hidden="false" customHeight="false" outlineLevel="0" collapsed="false">
      <c r="A374" s="2" t="n">
        <v>373</v>
      </c>
      <c r="B374" s="3" t="s">
        <v>1227</v>
      </c>
      <c r="C374" s="3"/>
      <c r="D374" s="4" t="s">
        <v>1228</v>
      </c>
      <c r="E374" s="3"/>
      <c r="F374" s="3" t="s">
        <v>19</v>
      </c>
      <c r="G374" s="3" t="s">
        <v>1229</v>
      </c>
      <c r="H374" s="8" t="s">
        <v>1230</v>
      </c>
      <c r="I374" s="4"/>
      <c r="J374" s="5" t="s">
        <v>20</v>
      </c>
      <c r="K374" s="6"/>
      <c r="L374" s="5"/>
      <c r="M374" s="5"/>
      <c r="N374" s="6"/>
      <c r="O374" s="7"/>
      <c r="P374" s="8" t="s">
        <v>21</v>
      </c>
      <c r="Q374" s="8" t="s">
        <v>22</v>
      </c>
    </row>
    <row r="375" customFormat="false" ht="15" hidden="false" customHeight="false" outlineLevel="0" collapsed="false">
      <c r="A375" s="2" t="n">
        <v>374</v>
      </c>
      <c r="B375" s="3" t="s">
        <v>1231</v>
      </c>
      <c r="C375" s="3"/>
      <c r="D375" s="4" t="s">
        <v>1232</v>
      </c>
      <c r="E375" s="3" t="s">
        <v>579</v>
      </c>
      <c r="F375" s="3" t="s">
        <v>19</v>
      </c>
      <c r="G375" s="3" t="s">
        <v>1233</v>
      </c>
      <c r="H375" s="8" t="s">
        <v>1234</v>
      </c>
      <c r="I375" s="4" t="s">
        <v>1235</v>
      </c>
      <c r="J375" s="5" t="s">
        <v>20</v>
      </c>
      <c r="K375" s="6"/>
      <c r="L375" s="5"/>
      <c r="M375" s="5"/>
      <c r="N375" s="6"/>
      <c r="O375" s="7"/>
      <c r="P375" s="8" t="s">
        <v>21</v>
      </c>
      <c r="Q375" s="8" t="s">
        <v>22</v>
      </c>
    </row>
    <row r="376" customFormat="false" ht="15" hidden="false" customHeight="false" outlineLevel="0" collapsed="false">
      <c r="A376" s="2" t="n">
        <v>375</v>
      </c>
      <c r="B376" s="3" t="s">
        <v>1236</v>
      </c>
      <c r="C376" s="3" t="s">
        <v>1237</v>
      </c>
      <c r="D376" s="4"/>
      <c r="E376" s="3"/>
      <c r="F376" s="3" t="s">
        <v>19</v>
      </c>
      <c r="G376" s="3" t="s">
        <v>1238</v>
      </c>
      <c r="H376" s="8" t="s">
        <v>1239</v>
      </c>
      <c r="I376" s="4" t="s">
        <v>1240</v>
      </c>
      <c r="J376" s="5" t="s">
        <v>20</v>
      </c>
      <c r="K376" s="6"/>
      <c r="L376" s="5"/>
      <c r="M376" s="5"/>
      <c r="N376" s="6"/>
      <c r="O376" s="7"/>
      <c r="P376" s="8" t="s">
        <v>21</v>
      </c>
      <c r="Q376" s="8" t="s">
        <v>22</v>
      </c>
    </row>
    <row r="377" customFormat="false" ht="23.85" hidden="false" customHeight="false" outlineLevel="0" collapsed="false">
      <c r="A377" s="2" t="n">
        <v>376</v>
      </c>
      <c r="B377" s="3" t="s">
        <v>1241</v>
      </c>
      <c r="C377" s="3" t="s">
        <v>217</v>
      </c>
      <c r="D377" s="4" t="s">
        <v>1242</v>
      </c>
      <c r="E377" s="3"/>
      <c r="F377" s="3" t="s">
        <v>19</v>
      </c>
      <c r="G377" s="3" t="s">
        <v>1243</v>
      </c>
      <c r="H377" s="8" t="s">
        <v>1244</v>
      </c>
      <c r="I377" s="4" t="s">
        <v>1245</v>
      </c>
      <c r="J377" s="5" t="s">
        <v>20</v>
      </c>
      <c r="K377" s="6"/>
      <c r="L377" s="5"/>
      <c r="M377" s="5"/>
      <c r="N377" s="6"/>
      <c r="O377" s="7"/>
      <c r="P377" s="8" t="s">
        <v>21</v>
      </c>
      <c r="Q377" s="8" t="s">
        <v>22</v>
      </c>
    </row>
    <row r="378" customFormat="false" ht="23.85" hidden="false" customHeight="false" outlineLevel="0" collapsed="false">
      <c r="A378" s="2" t="n">
        <v>377</v>
      </c>
      <c r="B378" s="3" t="s">
        <v>1246</v>
      </c>
      <c r="C378" s="3" t="s">
        <v>126</v>
      </c>
      <c r="D378" s="4"/>
      <c r="E378" s="3"/>
      <c r="F378" s="3" t="s">
        <v>19</v>
      </c>
      <c r="G378" s="3" t="s">
        <v>1247</v>
      </c>
      <c r="H378" s="8" t="s">
        <v>1248</v>
      </c>
      <c r="I378" s="4" t="s">
        <v>1249</v>
      </c>
      <c r="J378" s="5" t="s">
        <v>20</v>
      </c>
      <c r="K378" s="6"/>
      <c r="L378" s="5"/>
      <c r="M378" s="5"/>
      <c r="N378" s="6"/>
      <c r="O378" s="7"/>
      <c r="P378" s="8" t="s">
        <v>21</v>
      </c>
      <c r="Q378" s="8" t="s">
        <v>22</v>
      </c>
    </row>
    <row r="379" customFormat="false" ht="15" hidden="false" customHeight="false" outlineLevel="0" collapsed="false">
      <c r="A379" s="2" t="n">
        <v>378</v>
      </c>
      <c r="B379" s="3" t="s">
        <v>1250</v>
      </c>
      <c r="C379" s="3" t="s">
        <v>430</v>
      </c>
      <c r="D379" s="4"/>
      <c r="E379" s="3"/>
      <c r="F379" s="3" t="s">
        <v>19</v>
      </c>
      <c r="G379" s="3"/>
      <c r="H379" s="3"/>
      <c r="I379" s="4"/>
      <c r="J379" s="5" t="s">
        <v>20</v>
      </c>
      <c r="K379" s="6"/>
      <c r="L379" s="5"/>
      <c r="M379" s="5"/>
      <c r="N379" s="6"/>
      <c r="O379" s="7"/>
      <c r="P379" s="8" t="s">
        <v>21</v>
      </c>
      <c r="Q379" s="8" t="s">
        <v>22</v>
      </c>
    </row>
    <row r="380" customFormat="false" ht="23.85" hidden="false" customHeight="false" outlineLevel="0" collapsed="false">
      <c r="A380" s="2" t="n">
        <v>379</v>
      </c>
      <c r="B380" s="3" t="s">
        <v>1251</v>
      </c>
      <c r="C380" s="3" t="s">
        <v>1252</v>
      </c>
      <c r="D380" s="4" t="s">
        <v>1253</v>
      </c>
      <c r="E380" s="3"/>
      <c r="F380" s="3" t="s">
        <v>19</v>
      </c>
      <c r="G380" s="3" t="s">
        <v>1254</v>
      </c>
      <c r="H380" s="8" t="s">
        <v>1255</v>
      </c>
      <c r="I380" s="4" t="s">
        <v>1256</v>
      </c>
      <c r="J380" s="5" t="s">
        <v>20</v>
      </c>
      <c r="K380" s="6"/>
      <c r="L380" s="5"/>
      <c r="M380" s="5"/>
      <c r="N380" s="6"/>
      <c r="O380" s="7"/>
      <c r="P380" s="8" t="s">
        <v>21</v>
      </c>
      <c r="Q380" s="8" t="s">
        <v>22</v>
      </c>
    </row>
    <row r="381" customFormat="false" ht="15" hidden="false" customHeight="false" outlineLevel="0" collapsed="false">
      <c r="A381" s="2" t="n">
        <v>380</v>
      </c>
      <c r="B381" s="3" t="s">
        <v>1257</v>
      </c>
      <c r="C381" s="3"/>
      <c r="D381" s="4" t="s">
        <v>1258</v>
      </c>
      <c r="E381" s="3" t="s">
        <v>93</v>
      </c>
      <c r="F381" s="3" t="s">
        <v>19</v>
      </c>
      <c r="G381" s="3"/>
      <c r="H381" s="3"/>
      <c r="I381" s="4" t="s">
        <v>208</v>
      </c>
      <c r="J381" s="5" t="s">
        <v>20</v>
      </c>
      <c r="K381" s="6"/>
      <c r="L381" s="5"/>
      <c r="M381" s="5"/>
      <c r="N381" s="6"/>
      <c r="O381" s="7"/>
      <c r="P381" s="8" t="s">
        <v>21</v>
      </c>
      <c r="Q381" s="8" t="s">
        <v>22</v>
      </c>
    </row>
    <row r="382" customFormat="false" ht="15" hidden="false" customHeight="false" outlineLevel="0" collapsed="false">
      <c r="A382" s="2" t="n">
        <v>381</v>
      </c>
      <c r="B382" s="3" t="s">
        <v>1259</v>
      </c>
      <c r="C382" s="3" t="s">
        <v>24</v>
      </c>
      <c r="D382" s="4" t="s">
        <v>1260</v>
      </c>
      <c r="E382" s="3"/>
      <c r="F382" s="3" t="s">
        <v>19</v>
      </c>
      <c r="G382" s="3" t="s">
        <v>1261</v>
      </c>
      <c r="H382" s="8" t="s">
        <v>1262</v>
      </c>
      <c r="I382" s="4" t="s">
        <v>1263</v>
      </c>
      <c r="J382" s="5" t="s">
        <v>20</v>
      </c>
      <c r="K382" s="6"/>
      <c r="L382" s="5"/>
      <c r="M382" s="5"/>
      <c r="N382" s="6"/>
      <c r="O382" s="7"/>
      <c r="P382" s="8" t="s">
        <v>21</v>
      </c>
      <c r="Q382" s="8" t="s">
        <v>22</v>
      </c>
    </row>
    <row r="383" customFormat="false" ht="15" hidden="false" customHeight="false" outlineLevel="0" collapsed="false">
      <c r="A383" s="2" t="n">
        <v>382</v>
      </c>
      <c r="B383" s="3" t="s">
        <v>1264</v>
      </c>
      <c r="C383" s="3" t="s">
        <v>120</v>
      </c>
      <c r="D383" s="4" t="s">
        <v>1265</v>
      </c>
      <c r="E383" s="3" t="s">
        <v>93</v>
      </c>
      <c r="F383" s="3" t="s">
        <v>19</v>
      </c>
      <c r="G383" s="3" t="s">
        <v>1266</v>
      </c>
      <c r="H383" s="8" t="s">
        <v>1267</v>
      </c>
      <c r="I383" s="4" t="s">
        <v>1268</v>
      </c>
      <c r="J383" s="5" t="s">
        <v>20</v>
      </c>
      <c r="K383" s="6"/>
      <c r="L383" s="5"/>
      <c r="M383" s="5"/>
      <c r="N383" s="6"/>
      <c r="O383" s="7"/>
      <c r="P383" s="8" t="s">
        <v>21</v>
      </c>
      <c r="Q383" s="8" t="s">
        <v>22</v>
      </c>
    </row>
    <row r="384" customFormat="false" ht="23.85" hidden="false" customHeight="false" outlineLevel="0" collapsed="false">
      <c r="A384" s="2" t="n">
        <v>383</v>
      </c>
      <c r="B384" s="3" t="s">
        <v>1269</v>
      </c>
      <c r="C384" s="3" t="s">
        <v>24</v>
      </c>
      <c r="D384" s="4"/>
      <c r="E384" s="3"/>
      <c r="F384" s="3" t="s">
        <v>19</v>
      </c>
      <c r="G384" s="3" t="s">
        <v>1270</v>
      </c>
      <c r="H384" s="8" t="s">
        <v>1271</v>
      </c>
      <c r="I384" s="4" t="s">
        <v>1272</v>
      </c>
      <c r="J384" s="5" t="s">
        <v>20</v>
      </c>
      <c r="K384" s="6"/>
      <c r="L384" s="5"/>
      <c r="M384" s="5"/>
      <c r="N384" s="6"/>
      <c r="O384" s="7"/>
      <c r="P384" s="8" t="s">
        <v>21</v>
      </c>
      <c r="Q384" s="8" t="s">
        <v>22</v>
      </c>
    </row>
    <row r="385" customFormat="false" ht="15" hidden="false" customHeight="false" outlineLevel="0" collapsed="false">
      <c r="A385" s="2" t="n">
        <v>384</v>
      </c>
      <c r="B385" s="3" t="s">
        <v>1273</v>
      </c>
      <c r="C385" s="3" t="s">
        <v>1274</v>
      </c>
      <c r="D385" s="4" t="s">
        <v>1275</v>
      </c>
      <c r="E385" s="3" t="s">
        <v>26</v>
      </c>
      <c r="F385" s="3" t="s">
        <v>19</v>
      </c>
      <c r="G385" s="3" t="s">
        <v>1276</v>
      </c>
      <c r="H385" s="3"/>
      <c r="I385" s="4"/>
      <c r="J385" s="5" t="s">
        <v>20</v>
      </c>
      <c r="K385" s="6"/>
      <c r="L385" s="5"/>
      <c r="M385" s="5"/>
      <c r="N385" s="6"/>
      <c r="O385" s="7"/>
      <c r="P385" s="8" t="s">
        <v>21</v>
      </c>
      <c r="Q385" s="8" t="s">
        <v>22</v>
      </c>
    </row>
    <row r="386" customFormat="false" ht="15" hidden="false" customHeight="false" outlineLevel="0" collapsed="false">
      <c r="A386" s="2" t="n">
        <v>385</v>
      </c>
      <c r="B386" s="3" t="s">
        <v>1277</v>
      </c>
      <c r="C386" s="3" t="s">
        <v>601</v>
      </c>
      <c r="D386" s="4"/>
      <c r="E386" s="3"/>
      <c r="F386" s="3" t="s">
        <v>19</v>
      </c>
      <c r="G386" s="3" t="s">
        <v>1278</v>
      </c>
      <c r="H386" s="8" t="s">
        <v>1279</v>
      </c>
      <c r="I386" s="4" t="s">
        <v>1280</v>
      </c>
      <c r="J386" s="5" t="s">
        <v>20</v>
      </c>
      <c r="K386" s="6"/>
      <c r="L386" s="5"/>
      <c r="M386" s="5"/>
      <c r="N386" s="6"/>
      <c r="O386" s="7"/>
      <c r="P386" s="8" t="s">
        <v>21</v>
      </c>
      <c r="Q386" s="8" t="s">
        <v>22</v>
      </c>
    </row>
    <row r="387" customFormat="false" ht="15" hidden="false" customHeight="false" outlineLevel="0" collapsed="false">
      <c r="A387" s="2" t="n">
        <v>386</v>
      </c>
      <c r="B387" s="3" t="s">
        <v>1281</v>
      </c>
      <c r="C387" s="3" t="s">
        <v>217</v>
      </c>
      <c r="D387" s="4"/>
      <c r="E387" s="3"/>
      <c r="F387" s="3" t="s">
        <v>19</v>
      </c>
      <c r="G387" s="3" t="s">
        <v>1282</v>
      </c>
      <c r="H387" s="8" t="s">
        <v>1283</v>
      </c>
      <c r="I387" s="4" t="s">
        <v>1284</v>
      </c>
      <c r="J387" s="5" t="s">
        <v>20</v>
      </c>
      <c r="K387" s="6"/>
      <c r="L387" s="5"/>
      <c r="M387" s="5"/>
      <c r="N387" s="6"/>
      <c r="O387" s="7"/>
      <c r="P387" s="8" t="s">
        <v>21</v>
      </c>
      <c r="Q387" s="8" t="s">
        <v>22</v>
      </c>
    </row>
    <row r="388" customFormat="false" ht="15" hidden="false" customHeight="false" outlineLevel="0" collapsed="false">
      <c r="A388" s="2" t="n">
        <v>387</v>
      </c>
      <c r="B388" s="3" t="s">
        <v>1285</v>
      </c>
      <c r="C388" s="3" t="s">
        <v>24</v>
      </c>
      <c r="D388" s="4"/>
      <c r="E388" s="3"/>
      <c r="F388" s="3" t="s">
        <v>19</v>
      </c>
      <c r="G388" s="3"/>
      <c r="H388" s="3"/>
      <c r="I388" s="4"/>
      <c r="J388" s="5" t="s">
        <v>20</v>
      </c>
      <c r="K388" s="6"/>
      <c r="L388" s="5"/>
      <c r="M388" s="5"/>
      <c r="N388" s="6"/>
      <c r="O388" s="7"/>
      <c r="P388" s="8" t="s">
        <v>21</v>
      </c>
      <c r="Q388" s="8" t="s">
        <v>22</v>
      </c>
    </row>
    <row r="389" customFormat="false" ht="15" hidden="false" customHeight="false" outlineLevel="0" collapsed="false">
      <c r="A389" s="2" t="n">
        <v>388</v>
      </c>
      <c r="B389" s="3" t="s">
        <v>1286</v>
      </c>
      <c r="C389" s="3" t="s">
        <v>34</v>
      </c>
      <c r="D389" s="4"/>
      <c r="E389" s="3"/>
      <c r="F389" s="3" t="s">
        <v>19</v>
      </c>
      <c r="G389" s="3" t="s">
        <v>1287</v>
      </c>
      <c r="H389" s="8" t="s">
        <v>1288</v>
      </c>
      <c r="I389" s="4" t="s">
        <v>1289</v>
      </c>
      <c r="J389" s="5" t="s">
        <v>20</v>
      </c>
      <c r="K389" s="6"/>
      <c r="L389" s="5"/>
      <c r="M389" s="5"/>
      <c r="N389" s="6"/>
      <c r="O389" s="7"/>
      <c r="P389" s="8" t="s">
        <v>21</v>
      </c>
      <c r="Q389" s="8" t="s">
        <v>22</v>
      </c>
    </row>
    <row r="390" customFormat="false" ht="15" hidden="false" customHeight="false" outlineLevel="0" collapsed="false">
      <c r="A390" s="2" t="n">
        <v>389</v>
      </c>
      <c r="B390" s="3" t="s">
        <v>1290</v>
      </c>
      <c r="C390" s="3"/>
      <c r="D390" s="4"/>
      <c r="E390" s="3"/>
      <c r="F390" s="3" t="s">
        <v>19</v>
      </c>
      <c r="G390" s="3" t="s">
        <v>1291</v>
      </c>
      <c r="H390" s="8" t="s">
        <v>1292</v>
      </c>
      <c r="I390" s="4" t="s">
        <v>1293</v>
      </c>
      <c r="J390" s="5" t="s">
        <v>20</v>
      </c>
      <c r="K390" s="6"/>
      <c r="L390" s="5"/>
      <c r="M390" s="5"/>
      <c r="N390" s="6"/>
      <c r="O390" s="7"/>
      <c r="P390" s="8" t="s">
        <v>21</v>
      </c>
      <c r="Q390" s="8" t="s">
        <v>22</v>
      </c>
    </row>
    <row r="391" customFormat="false" ht="15" hidden="false" customHeight="false" outlineLevel="0" collapsed="false">
      <c r="A391" s="2" t="n">
        <v>390</v>
      </c>
      <c r="B391" s="3" t="s">
        <v>1294</v>
      </c>
      <c r="C391" s="3" t="s">
        <v>533</v>
      </c>
      <c r="D391" s="4" t="s">
        <v>1295</v>
      </c>
      <c r="E391" s="3" t="s">
        <v>148</v>
      </c>
      <c r="F391" s="3" t="s">
        <v>19</v>
      </c>
      <c r="G391" s="3"/>
      <c r="H391" s="3"/>
      <c r="I391" s="4" t="s">
        <v>1296</v>
      </c>
      <c r="J391" s="5" t="s">
        <v>20</v>
      </c>
      <c r="K391" s="6"/>
      <c r="L391" s="5"/>
      <c r="M391" s="5"/>
      <c r="N391" s="6"/>
      <c r="O391" s="7"/>
      <c r="P391" s="8" t="s">
        <v>21</v>
      </c>
      <c r="Q391" s="8" t="s">
        <v>22</v>
      </c>
    </row>
    <row r="392" customFormat="false" ht="15" hidden="false" customHeight="false" outlineLevel="0" collapsed="false">
      <c r="A392" s="2" t="n">
        <v>391</v>
      </c>
      <c r="B392" s="3" t="s">
        <v>1297</v>
      </c>
      <c r="C392" s="3"/>
      <c r="D392" s="4"/>
      <c r="E392" s="3"/>
      <c r="F392" s="3" t="s">
        <v>19</v>
      </c>
      <c r="G392" s="3" t="s">
        <v>1298</v>
      </c>
      <c r="H392" s="8" t="s">
        <v>1299</v>
      </c>
      <c r="I392" s="4"/>
      <c r="J392" s="5" t="s">
        <v>20</v>
      </c>
      <c r="K392" s="6"/>
      <c r="L392" s="5"/>
      <c r="M392" s="5"/>
      <c r="N392" s="6"/>
      <c r="O392" s="7"/>
      <c r="P392" s="8" t="s">
        <v>21</v>
      </c>
      <c r="Q392" s="8" t="s">
        <v>22</v>
      </c>
    </row>
    <row r="393" customFormat="false" ht="15" hidden="false" customHeight="false" outlineLevel="0" collapsed="false">
      <c r="A393" s="2" t="n">
        <v>392</v>
      </c>
      <c r="B393" s="3" t="s">
        <v>1300</v>
      </c>
      <c r="C393" s="3" t="s">
        <v>1301</v>
      </c>
      <c r="D393" s="4"/>
      <c r="E393" s="3"/>
      <c r="F393" s="3" t="s">
        <v>19</v>
      </c>
      <c r="G393" s="3" t="s">
        <v>1302</v>
      </c>
      <c r="H393" s="8" t="s">
        <v>1303</v>
      </c>
      <c r="I393" s="4" t="s">
        <v>1304</v>
      </c>
      <c r="J393" s="5" t="s">
        <v>20</v>
      </c>
      <c r="K393" s="6"/>
      <c r="L393" s="5"/>
      <c r="M393" s="5"/>
      <c r="N393" s="6"/>
      <c r="O393" s="7"/>
      <c r="P393" s="8" t="s">
        <v>21</v>
      </c>
      <c r="Q393" s="8" t="s">
        <v>22</v>
      </c>
    </row>
    <row r="394" customFormat="false" ht="15" hidden="false" customHeight="false" outlineLevel="0" collapsed="false">
      <c r="A394" s="2" t="n">
        <v>393</v>
      </c>
      <c r="B394" s="3" t="s">
        <v>1305</v>
      </c>
      <c r="C394" s="3" t="s">
        <v>1306</v>
      </c>
      <c r="D394" s="4" t="s">
        <v>1307</v>
      </c>
      <c r="E394" s="3" t="s">
        <v>93</v>
      </c>
      <c r="F394" s="3" t="s">
        <v>19</v>
      </c>
      <c r="G394" s="3" t="s">
        <v>1308</v>
      </c>
      <c r="H394" s="3"/>
      <c r="I394" s="4" t="s">
        <v>1309</v>
      </c>
      <c r="J394" s="5" t="s">
        <v>20</v>
      </c>
      <c r="K394" s="6"/>
      <c r="L394" s="5"/>
      <c r="M394" s="5"/>
      <c r="N394" s="6"/>
      <c r="O394" s="7"/>
      <c r="P394" s="8" t="s">
        <v>21</v>
      </c>
      <c r="Q394" s="8" t="s">
        <v>22</v>
      </c>
    </row>
    <row r="395" customFormat="false" ht="15" hidden="false" customHeight="false" outlineLevel="0" collapsed="false">
      <c r="A395" s="2" t="n">
        <v>394</v>
      </c>
      <c r="B395" s="3" t="s">
        <v>1310</v>
      </c>
      <c r="C395" s="3" t="s">
        <v>1311</v>
      </c>
      <c r="D395" s="4"/>
      <c r="E395" s="3"/>
      <c r="F395" s="3" t="s">
        <v>19</v>
      </c>
      <c r="G395" s="3" t="s">
        <v>1312</v>
      </c>
      <c r="H395" s="8" t="s">
        <v>1313</v>
      </c>
      <c r="I395" s="4"/>
      <c r="J395" s="5" t="s">
        <v>20</v>
      </c>
      <c r="K395" s="6"/>
      <c r="L395" s="5"/>
      <c r="M395" s="5"/>
      <c r="N395" s="6"/>
      <c r="O395" s="7"/>
      <c r="P395" s="8" t="s">
        <v>21</v>
      </c>
      <c r="Q395" s="8" t="s">
        <v>22</v>
      </c>
    </row>
    <row r="396" customFormat="false" ht="15" hidden="false" customHeight="false" outlineLevel="0" collapsed="false">
      <c r="A396" s="2" t="n">
        <v>395</v>
      </c>
      <c r="B396" s="3" t="s">
        <v>1314</v>
      </c>
      <c r="C396" s="3" t="s">
        <v>34</v>
      </c>
      <c r="D396" s="4"/>
      <c r="E396" s="3"/>
      <c r="F396" s="3" t="s">
        <v>19</v>
      </c>
      <c r="G396" s="3" t="s">
        <v>1315</v>
      </c>
      <c r="H396" s="8" t="s">
        <v>1316</v>
      </c>
      <c r="I396" s="4" t="s">
        <v>1317</v>
      </c>
      <c r="J396" s="5" t="s">
        <v>20</v>
      </c>
      <c r="K396" s="6"/>
      <c r="L396" s="5"/>
      <c r="M396" s="5"/>
      <c r="N396" s="6"/>
      <c r="O396" s="7"/>
      <c r="P396" s="8" t="s">
        <v>21</v>
      </c>
      <c r="Q396" s="8" t="s">
        <v>22</v>
      </c>
    </row>
    <row r="397" customFormat="false" ht="15" hidden="false" customHeight="false" outlineLevel="0" collapsed="false">
      <c r="A397" s="2" t="n">
        <v>396</v>
      </c>
      <c r="B397" s="3" t="s">
        <v>1318</v>
      </c>
      <c r="C397" s="3" t="s">
        <v>89</v>
      </c>
      <c r="D397" s="4"/>
      <c r="E397" s="3"/>
      <c r="F397" s="3" t="s">
        <v>19</v>
      </c>
      <c r="G397" s="3"/>
      <c r="H397" s="3"/>
      <c r="I397" s="4" t="s">
        <v>1319</v>
      </c>
      <c r="J397" s="5" t="s">
        <v>20</v>
      </c>
      <c r="K397" s="6"/>
      <c r="L397" s="5"/>
      <c r="M397" s="5"/>
      <c r="N397" s="6"/>
      <c r="O397" s="7"/>
      <c r="P397" s="8" t="s">
        <v>21</v>
      </c>
      <c r="Q397" s="8" t="s">
        <v>22</v>
      </c>
    </row>
    <row r="398" customFormat="false" ht="15" hidden="false" customHeight="false" outlineLevel="0" collapsed="false">
      <c r="A398" s="2" t="n">
        <v>397</v>
      </c>
      <c r="B398" s="3" t="s">
        <v>1320</v>
      </c>
      <c r="C398" s="3" t="s">
        <v>126</v>
      </c>
      <c r="D398" s="4" t="s">
        <v>1321</v>
      </c>
      <c r="E398" s="3" t="s">
        <v>579</v>
      </c>
      <c r="F398" s="3" t="s">
        <v>19</v>
      </c>
      <c r="G398" s="3" t="s">
        <v>1322</v>
      </c>
      <c r="H398" s="8" t="s">
        <v>1323</v>
      </c>
      <c r="I398" s="4" t="s">
        <v>1324</v>
      </c>
      <c r="J398" s="5" t="s">
        <v>20</v>
      </c>
      <c r="K398" s="6"/>
      <c r="L398" s="5"/>
      <c r="M398" s="5"/>
      <c r="N398" s="6"/>
      <c r="O398" s="7"/>
      <c r="P398" s="8" t="s">
        <v>21</v>
      </c>
      <c r="Q398" s="8" t="s">
        <v>22</v>
      </c>
    </row>
    <row r="399" customFormat="false" ht="15" hidden="false" customHeight="false" outlineLevel="0" collapsed="false">
      <c r="A399" s="2" t="n">
        <v>398</v>
      </c>
      <c r="B399" s="3" t="s">
        <v>1325</v>
      </c>
      <c r="C399" s="3"/>
      <c r="D399" s="4"/>
      <c r="E399" s="3"/>
      <c r="F399" s="3" t="s">
        <v>19</v>
      </c>
      <c r="G399" s="3"/>
      <c r="H399" s="3"/>
      <c r="I399" s="4"/>
      <c r="J399" s="5" t="s">
        <v>20</v>
      </c>
      <c r="K399" s="6"/>
      <c r="L399" s="5"/>
      <c r="M399" s="5"/>
      <c r="N399" s="6"/>
      <c r="O399" s="7"/>
      <c r="P399" s="8" t="s">
        <v>21</v>
      </c>
      <c r="Q399" s="8" t="s">
        <v>22</v>
      </c>
    </row>
    <row r="400" customFormat="false" ht="15" hidden="false" customHeight="false" outlineLevel="0" collapsed="false">
      <c r="A400" s="2" t="n">
        <v>399</v>
      </c>
      <c r="B400" s="3" t="s">
        <v>1326</v>
      </c>
      <c r="C400" s="3" t="s">
        <v>126</v>
      </c>
      <c r="D400" s="4"/>
      <c r="E400" s="3"/>
      <c r="F400" s="3" t="s">
        <v>19</v>
      </c>
      <c r="G400" s="3"/>
      <c r="H400" s="8" t="s">
        <v>1327</v>
      </c>
      <c r="I400" s="4" t="s">
        <v>1328</v>
      </c>
      <c r="J400" s="5" t="s">
        <v>20</v>
      </c>
      <c r="K400" s="6"/>
      <c r="L400" s="5"/>
      <c r="M400" s="5"/>
      <c r="N400" s="6"/>
      <c r="O400" s="7"/>
      <c r="P400" s="8" t="s">
        <v>21</v>
      </c>
      <c r="Q400" s="8" t="s">
        <v>22</v>
      </c>
    </row>
    <row r="401" customFormat="false" ht="15" hidden="false" customHeight="false" outlineLevel="0" collapsed="false">
      <c r="A401" s="2" t="n">
        <v>400</v>
      </c>
      <c r="B401" s="3" t="s">
        <v>1329</v>
      </c>
      <c r="C401" s="3"/>
      <c r="D401" s="4"/>
      <c r="E401" s="3"/>
      <c r="F401" s="3" t="s">
        <v>19</v>
      </c>
      <c r="G401" s="3" t="s">
        <v>1330</v>
      </c>
      <c r="H401" s="8" t="s">
        <v>1331</v>
      </c>
      <c r="I401" s="4" t="s">
        <v>521</v>
      </c>
      <c r="J401" s="5" t="s">
        <v>20</v>
      </c>
      <c r="K401" s="6"/>
      <c r="L401" s="5"/>
      <c r="M401" s="5"/>
      <c r="N401" s="6"/>
      <c r="O401" s="7"/>
      <c r="P401" s="8" t="s">
        <v>21</v>
      </c>
      <c r="Q401" s="8" t="s">
        <v>22</v>
      </c>
    </row>
    <row r="402" customFormat="false" ht="15" hidden="false" customHeight="false" outlineLevel="0" collapsed="false">
      <c r="A402" s="2" t="n">
        <v>401</v>
      </c>
      <c r="B402" s="3" t="s">
        <v>1332</v>
      </c>
      <c r="C402" s="3" t="s">
        <v>126</v>
      </c>
      <c r="D402" s="4" t="s">
        <v>1333</v>
      </c>
      <c r="E402" s="3" t="s">
        <v>31</v>
      </c>
      <c r="F402" s="3" t="s">
        <v>19</v>
      </c>
      <c r="G402" s="3" t="s">
        <v>1334</v>
      </c>
      <c r="H402" s="8" t="s">
        <v>1335</v>
      </c>
      <c r="I402" s="4" t="s">
        <v>1336</v>
      </c>
      <c r="J402" s="5" t="s">
        <v>20</v>
      </c>
      <c r="K402" s="6"/>
      <c r="L402" s="5"/>
      <c r="M402" s="5"/>
      <c r="N402" s="6"/>
      <c r="O402" s="7"/>
      <c r="P402" s="8" t="s">
        <v>21</v>
      </c>
      <c r="Q402" s="8" t="s">
        <v>22</v>
      </c>
    </row>
    <row r="403" customFormat="false" ht="15" hidden="false" customHeight="false" outlineLevel="0" collapsed="false">
      <c r="A403" s="2" t="n">
        <v>402</v>
      </c>
      <c r="B403" s="3" t="s">
        <v>1337</v>
      </c>
      <c r="C403" s="3" t="s">
        <v>1338</v>
      </c>
      <c r="D403" s="4"/>
      <c r="E403" s="3"/>
      <c r="F403" s="3" t="s">
        <v>19</v>
      </c>
      <c r="G403" s="3" t="s">
        <v>1339</v>
      </c>
      <c r="H403" s="8" t="s">
        <v>1340</v>
      </c>
      <c r="I403" s="4" t="s">
        <v>1317</v>
      </c>
      <c r="J403" s="5" t="s">
        <v>20</v>
      </c>
      <c r="K403" s="6"/>
      <c r="L403" s="5"/>
      <c r="M403" s="5"/>
      <c r="N403" s="6"/>
      <c r="O403" s="7"/>
      <c r="P403" s="8" t="s">
        <v>21</v>
      </c>
      <c r="Q403" s="8" t="s">
        <v>22</v>
      </c>
    </row>
    <row r="404" customFormat="false" ht="15" hidden="false" customHeight="false" outlineLevel="0" collapsed="false">
      <c r="A404" s="2" t="n">
        <v>403</v>
      </c>
      <c r="B404" s="3" t="s">
        <v>1341</v>
      </c>
      <c r="C404" s="3" t="s">
        <v>1342</v>
      </c>
      <c r="D404" s="4"/>
      <c r="E404" s="3"/>
      <c r="F404" s="3" t="s">
        <v>19</v>
      </c>
      <c r="G404" s="3" t="s">
        <v>1343</v>
      </c>
      <c r="H404" s="8" t="s">
        <v>1344</v>
      </c>
      <c r="I404" s="4" t="s">
        <v>1345</v>
      </c>
      <c r="J404" s="5" t="s">
        <v>20</v>
      </c>
      <c r="K404" s="6"/>
      <c r="L404" s="5"/>
      <c r="M404" s="5"/>
      <c r="N404" s="6"/>
      <c r="O404" s="7"/>
      <c r="P404" s="8" t="s">
        <v>21</v>
      </c>
      <c r="Q404" s="8" t="s">
        <v>22</v>
      </c>
    </row>
    <row r="405" customFormat="false" ht="15" hidden="false" customHeight="false" outlineLevel="0" collapsed="false">
      <c r="A405" s="2" t="n">
        <v>404</v>
      </c>
      <c r="B405" s="3" t="s">
        <v>1346</v>
      </c>
      <c r="C405" s="3"/>
      <c r="D405" s="4"/>
      <c r="E405" s="3"/>
      <c r="F405" s="3" t="s">
        <v>19</v>
      </c>
      <c r="G405" s="3"/>
      <c r="H405" s="3"/>
      <c r="I405" s="4" t="s">
        <v>1347</v>
      </c>
      <c r="J405" s="5" t="s">
        <v>20</v>
      </c>
      <c r="K405" s="6"/>
      <c r="L405" s="5"/>
      <c r="M405" s="5"/>
      <c r="N405" s="6"/>
      <c r="O405" s="7"/>
      <c r="P405" s="8" t="s">
        <v>21</v>
      </c>
      <c r="Q405" s="8" t="s">
        <v>22</v>
      </c>
    </row>
    <row r="406" customFormat="false" ht="15" hidden="false" customHeight="false" outlineLevel="0" collapsed="false">
      <c r="A406" s="2" t="n">
        <v>405</v>
      </c>
      <c r="B406" s="3" t="s">
        <v>1346</v>
      </c>
      <c r="C406" s="3"/>
      <c r="D406" s="4"/>
      <c r="E406" s="3"/>
      <c r="F406" s="3" t="s">
        <v>19</v>
      </c>
      <c r="G406" s="3"/>
      <c r="H406" s="3"/>
      <c r="I406" s="4"/>
      <c r="J406" s="5" t="s">
        <v>20</v>
      </c>
      <c r="K406" s="6"/>
      <c r="L406" s="5"/>
      <c r="M406" s="5"/>
      <c r="N406" s="6"/>
      <c r="O406" s="7"/>
      <c r="P406" s="8" t="s">
        <v>21</v>
      </c>
      <c r="Q406" s="8" t="s">
        <v>22</v>
      </c>
    </row>
    <row r="407" customFormat="false" ht="15" hidden="false" customHeight="false" outlineLevel="0" collapsed="false">
      <c r="A407" s="2" t="n">
        <v>406</v>
      </c>
      <c r="B407" s="3" t="s">
        <v>1348</v>
      </c>
      <c r="C407" s="3" t="s">
        <v>126</v>
      </c>
      <c r="D407" s="4"/>
      <c r="E407" s="3"/>
      <c r="F407" s="3" t="s">
        <v>19</v>
      </c>
      <c r="G407" s="3" t="s">
        <v>1349</v>
      </c>
      <c r="H407" s="8" t="s">
        <v>1350</v>
      </c>
      <c r="I407" s="4" t="s">
        <v>1351</v>
      </c>
      <c r="J407" s="5" t="s">
        <v>20</v>
      </c>
      <c r="K407" s="6"/>
      <c r="L407" s="5"/>
      <c r="M407" s="5"/>
      <c r="N407" s="6"/>
      <c r="O407" s="7"/>
      <c r="P407" s="8" t="s">
        <v>21</v>
      </c>
      <c r="Q407" s="8" t="s">
        <v>22</v>
      </c>
    </row>
    <row r="408" customFormat="false" ht="15" hidden="false" customHeight="false" outlineLevel="0" collapsed="false">
      <c r="A408" s="2" t="n">
        <v>407</v>
      </c>
      <c r="B408" s="3" t="s">
        <v>1352</v>
      </c>
      <c r="C408" s="3"/>
      <c r="D408" s="4"/>
      <c r="E408" s="3"/>
      <c r="F408" s="3" t="s">
        <v>19</v>
      </c>
      <c r="G408" s="3"/>
      <c r="H408" s="3"/>
      <c r="I408" s="4"/>
      <c r="J408" s="5" t="s">
        <v>20</v>
      </c>
      <c r="K408" s="6"/>
      <c r="L408" s="5"/>
      <c r="M408" s="5"/>
      <c r="N408" s="6"/>
      <c r="O408" s="7"/>
      <c r="P408" s="8" t="s">
        <v>21</v>
      </c>
      <c r="Q408" s="8" t="s">
        <v>22</v>
      </c>
    </row>
    <row r="409" customFormat="false" ht="15" hidden="false" customHeight="false" outlineLevel="0" collapsed="false">
      <c r="A409" s="2" t="n">
        <v>408</v>
      </c>
      <c r="B409" s="3" t="s">
        <v>1353</v>
      </c>
      <c r="C409" s="3" t="s">
        <v>1354</v>
      </c>
      <c r="D409" s="4"/>
      <c r="E409" s="3"/>
      <c r="F409" s="3" t="s">
        <v>19</v>
      </c>
      <c r="G409" s="3" t="s">
        <v>1355</v>
      </c>
      <c r="H409" s="3"/>
      <c r="I409" s="4"/>
      <c r="J409" s="5" t="s">
        <v>20</v>
      </c>
      <c r="K409" s="6"/>
      <c r="L409" s="5"/>
      <c r="M409" s="5"/>
      <c r="N409" s="6"/>
      <c r="O409" s="7"/>
      <c r="P409" s="8" t="s">
        <v>21</v>
      </c>
      <c r="Q409" s="8" t="s">
        <v>22</v>
      </c>
    </row>
    <row r="410" customFormat="false" ht="15" hidden="false" customHeight="false" outlineLevel="0" collapsed="false">
      <c r="A410" s="2" t="n">
        <v>409</v>
      </c>
      <c r="B410" s="3" t="s">
        <v>1356</v>
      </c>
      <c r="C410" s="3" t="s">
        <v>91</v>
      </c>
      <c r="D410" s="4"/>
      <c r="E410" s="3"/>
      <c r="F410" s="3" t="s">
        <v>19</v>
      </c>
      <c r="G410" s="3"/>
      <c r="H410" s="8" t="s">
        <v>1357</v>
      </c>
      <c r="I410" s="4"/>
      <c r="J410" s="5" t="s">
        <v>20</v>
      </c>
      <c r="K410" s="6"/>
      <c r="L410" s="5"/>
      <c r="M410" s="5"/>
      <c r="N410" s="6"/>
      <c r="O410" s="7"/>
      <c r="P410" s="8" t="s">
        <v>21</v>
      </c>
      <c r="Q410" s="8" t="s">
        <v>22</v>
      </c>
    </row>
    <row r="411" customFormat="false" ht="15" hidden="false" customHeight="false" outlineLevel="0" collapsed="false">
      <c r="A411" s="2" t="n">
        <v>410</v>
      </c>
      <c r="B411" s="3" t="s">
        <v>1358</v>
      </c>
      <c r="C411" s="3" t="s">
        <v>71</v>
      </c>
      <c r="D411" s="4"/>
      <c r="E411" s="3"/>
      <c r="F411" s="3" t="s">
        <v>19</v>
      </c>
      <c r="G411" s="3"/>
      <c r="H411" s="8" t="s">
        <v>1359</v>
      </c>
      <c r="I411" s="4"/>
      <c r="J411" s="5" t="s">
        <v>20</v>
      </c>
      <c r="K411" s="6"/>
      <c r="L411" s="5"/>
      <c r="M411" s="5"/>
      <c r="N411" s="6"/>
      <c r="O411" s="7"/>
      <c r="P411" s="8" t="s">
        <v>21</v>
      </c>
      <c r="Q411" s="8" t="s">
        <v>22</v>
      </c>
    </row>
    <row r="412" customFormat="false" ht="15" hidden="false" customHeight="false" outlineLevel="0" collapsed="false">
      <c r="A412" s="2" t="n">
        <v>411</v>
      </c>
      <c r="B412" s="3" t="s">
        <v>1360</v>
      </c>
      <c r="C412" s="3" t="s">
        <v>1361</v>
      </c>
      <c r="D412" s="4" t="s">
        <v>1362</v>
      </c>
      <c r="E412" s="3" t="s">
        <v>579</v>
      </c>
      <c r="F412" s="3" t="s">
        <v>19</v>
      </c>
      <c r="G412" s="3" t="s">
        <v>1363</v>
      </c>
      <c r="H412" s="3"/>
      <c r="I412" s="4" t="s">
        <v>1364</v>
      </c>
      <c r="J412" s="5" t="s">
        <v>20</v>
      </c>
      <c r="K412" s="6"/>
      <c r="L412" s="5"/>
      <c r="M412" s="5"/>
      <c r="N412" s="6"/>
      <c r="O412" s="7"/>
      <c r="P412" s="8" t="s">
        <v>21</v>
      </c>
      <c r="Q412" s="8" t="s">
        <v>22</v>
      </c>
    </row>
    <row r="413" customFormat="false" ht="15" hidden="false" customHeight="false" outlineLevel="0" collapsed="false">
      <c r="A413" s="2" t="n">
        <v>412</v>
      </c>
      <c r="B413" s="3" t="s">
        <v>1365</v>
      </c>
      <c r="C413" s="3" t="s">
        <v>34</v>
      </c>
      <c r="D413" s="4" t="s">
        <v>1366</v>
      </c>
      <c r="E413" s="3" t="s">
        <v>93</v>
      </c>
      <c r="F413" s="3" t="s">
        <v>19</v>
      </c>
      <c r="G413" s="3"/>
      <c r="H413" s="3"/>
      <c r="I413" s="4" t="s">
        <v>1367</v>
      </c>
      <c r="J413" s="5" t="s">
        <v>20</v>
      </c>
      <c r="K413" s="6"/>
      <c r="L413" s="5"/>
      <c r="M413" s="5"/>
      <c r="N413" s="6"/>
      <c r="O413" s="7"/>
      <c r="P413" s="8" t="s">
        <v>21</v>
      </c>
      <c r="Q413" s="8" t="s">
        <v>22</v>
      </c>
    </row>
    <row r="414" customFormat="false" ht="15" hidden="false" customHeight="false" outlineLevel="0" collapsed="false">
      <c r="A414" s="2" t="n">
        <v>413</v>
      </c>
      <c r="B414" s="3" t="s">
        <v>1368</v>
      </c>
      <c r="C414" s="3"/>
      <c r="D414" s="4" t="s">
        <v>1369</v>
      </c>
      <c r="E414" s="3" t="s">
        <v>26</v>
      </c>
      <c r="F414" s="3" t="s">
        <v>19</v>
      </c>
      <c r="G414" s="3" t="s">
        <v>1370</v>
      </c>
      <c r="H414" s="8" t="s">
        <v>1371</v>
      </c>
      <c r="I414" s="4"/>
      <c r="J414" s="5" t="s">
        <v>20</v>
      </c>
      <c r="K414" s="6"/>
      <c r="L414" s="5"/>
      <c r="M414" s="5"/>
      <c r="N414" s="6"/>
      <c r="O414" s="7"/>
      <c r="P414" s="8" t="s">
        <v>21</v>
      </c>
      <c r="Q414" s="8" t="s">
        <v>22</v>
      </c>
    </row>
    <row r="415" customFormat="false" ht="15" hidden="false" customHeight="false" outlineLevel="0" collapsed="false">
      <c r="A415" s="2" t="n">
        <v>414</v>
      </c>
      <c r="B415" s="3" t="s">
        <v>1372</v>
      </c>
      <c r="C415" s="3" t="s">
        <v>1373</v>
      </c>
      <c r="D415" s="4"/>
      <c r="E415" s="3"/>
      <c r="F415" s="3" t="s">
        <v>19</v>
      </c>
      <c r="G415" s="3" t="s">
        <v>1374</v>
      </c>
      <c r="H415" s="3"/>
      <c r="I415" s="4"/>
      <c r="J415" s="5" t="s">
        <v>20</v>
      </c>
      <c r="K415" s="6"/>
      <c r="L415" s="5"/>
      <c r="M415" s="5"/>
      <c r="N415" s="6"/>
      <c r="O415" s="7"/>
      <c r="P415" s="8" t="s">
        <v>21</v>
      </c>
      <c r="Q415" s="8" t="s">
        <v>22</v>
      </c>
    </row>
    <row r="416" customFormat="false" ht="15" hidden="false" customHeight="false" outlineLevel="0" collapsed="false">
      <c r="A416" s="2" t="n">
        <v>415</v>
      </c>
      <c r="B416" s="3" t="s">
        <v>1375</v>
      </c>
      <c r="C416" s="3" t="s">
        <v>120</v>
      </c>
      <c r="D416" s="4" t="s">
        <v>1376</v>
      </c>
      <c r="E416" s="3"/>
      <c r="F416" s="3" t="s">
        <v>19</v>
      </c>
      <c r="G416" s="3" t="s">
        <v>1377</v>
      </c>
      <c r="H416" s="3"/>
      <c r="I416" s="4" t="s">
        <v>1378</v>
      </c>
      <c r="J416" s="5" t="s">
        <v>20</v>
      </c>
      <c r="K416" s="6"/>
      <c r="L416" s="5"/>
      <c r="M416" s="5"/>
      <c r="N416" s="6"/>
      <c r="O416" s="7"/>
      <c r="P416" s="8" t="s">
        <v>21</v>
      </c>
      <c r="Q416" s="8" t="s">
        <v>22</v>
      </c>
    </row>
    <row r="417" customFormat="false" ht="15" hidden="false" customHeight="false" outlineLevel="0" collapsed="false">
      <c r="A417" s="2" t="n">
        <v>416</v>
      </c>
      <c r="B417" s="3" t="s">
        <v>1379</v>
      </c>
      <c r="C417" s="3" t="s">
        <v>601</v>
      </c>
      <c r="D417" s="4"/>
      <c r="E417" s="3"/>
      <c r="F417" s="3" t="s">
        <v>19</v>
      </c>
      <c r="G417" s="3" t="s">
        <v>1380</v>
      </c>
      <c r="H417" s="3"/>
      <c r="I417" s="4" t="s">
        <v>1381</v>
      </c>
      <c r="J417" s="5" t="s">
        <v>20</v>
      </c>
      <c r="K417" s="6"/>
      <c r="L417" s="5"/>
      <c r="M417" s="5"/>
      <c r="N417" s="6"/>
      <c r="O417" s="7"/>
      <c r="P417" s="8" t="s">
        <v>21</v>
      </c>
      <c r="Q417" s="8" t="s">
        <v>22</v>
      </c>
    </row>
    <row r="418" customFormat="false" ht="15" hidden="false" customHeight="false" outlineLevel="0" collapsed="false">
      <c r="A418" s="2" t="n">
        <v>417</v>
      </c>
      <c r="B418" s="3" t="s">
        <v>1382</v>
      </c>
      <c r="C418" s="3" t="s">
        <v>116</v>
      </c>
      <c r="D418" s="4" t="s">
        <v>1383</v>
      </c>
      <c r="E418" s="3" t="s">
        <v>31</v>
      </c>
      <c r="F418" s="3" t="s">
        <v>19</v>
      </c>
      <c r="G418" s="3" t="s">
        <v>1384</v>
      </c>
      <c r="H418" s="8" t="s">
        <v>1385</v>
      </c>
      <c r="I418" s="4" t="s">
        <v>1386</v>
      </c>
      <c r="J418" s="5" t="s">
        <v>20</v>
      </c>
      <c r="K418" s="6"/>
      <c r="L418" s="5"/>
      <c r="M418" s="5"/>
      <c r="N418" s="6"/>
      <c r="O418" s="7"/>
      <c r="P418" s="8" t="s">
        <v>21</v>
      </c>
      <c r="Q418" s="8" t="s">
        <v>22</v>
      </c>
    </row>
    <row r="419" customFormat="false" ht="15" hidden="false" customHeight="false" outlineLevel="0" collapsed="false">
      <c r="A419" s="2" t="n">
        <v>418</v>
      </c>
      <c r="B419" s="3" t="s">
        <v>1387</v>
      </c>
      <c r="C419" s="3"/>
      <c r="D419" s="4"/>
      <c r="E419" s="3"/>
      <c r="F419" s="3" t="s">
        <v>19</v>
      </c>
      <c r="G419" s="3" t="s">
        <v>1388</v>
      </c>
      <c r="H419" s="3"/>
      <c r="I419" s="4" t="s">
        <v>1389</v>
      </c>
      <c r="J419" s="5" t="s">
        <v>20</v>
      </c>
      <c r="K419" s="6"/>
      <c r="L419" s="5"/>
      <c r="M419" s="5"/>
      <c r="N419" s="6"/>
      <c r="O419" s="7"/>
      <c r="P419" s="8" t="s">
        <v>21</v>
      </c>
      <c r="Q419" s="8" t="s">
        <v>22</v>
      </c>
    </row>
    <row r="420" customFormat="false" ht="15" hidden="false" customHeight="false" outlineLevel="0" collapsed="false">
      <c r="A420" s="2" t="n">
        <v>419</v>
      </c>
      <c r="B420" s="3" t="s">
        <v>1390</v>
      </c>
      <c r="C420" s="3" t="s">
        <v>1391</v>
      </c>
      <c r="D420" s="4" t="s">
        <v>1392</v>
      </c>
      <c r="E420" s="3" t="s">
        <v>579</v>
      </c>
      <c r="F420" s="3" t="s">
        <v>19</v>
      </c>
      <c r="G420" s="3" t="s">
        <v>1393</v>
      </c>
      <c r="H420" s="8" t="s">
        <v>1394</v>
      </c>
      <c r="I420" s="4" t="s">
        <v>1395</v>
      </c>
      <c r="J420" s="5" t="s">
        <v>20</v>
      </c>
      <c r="K420" s="6"/>
      <c r="L420" s="5"/>
      <c r="M420" s="5"/>
      <c r="N420" s="6"/>
      <c r="O420" s="7"/>
      <c r="P420" s="8" t="s">
        <v>21</v>
      </c>
      <c r="Q420" s="8" t="s">
        <v>22</v>
      </c>
    </row>
    <row r="421" customFormat="false" ht="15" hidden="false" customHeight="false" outlineLevel="0" collapsed="false">
      <c r="A421" s="2" t="n">
        <v>420</v>
      </c>
      <c r="B421" s="3" t="s">
        <v>1396</v>
      </c>
      <c r="C421" s="3" t="s">
        <v>1397</v>
      </c>
      <c r="D421" s="4"/>
      <c r="E421" s="3"/>
      <c r="F421" s="3" t="s">
        <v>19</v>
      </c>
      <c r="G421" s="3" t="s">
        <v>1398</v>
      </c>
      <c r="H421" s="8" t="s">
        <v>1399</v>
      </c>
      <c r="I421" s="4" t="s">
        <v>1400</v>
      </c>
      <c r="J421" s="5" t="s">
        <v>20</v>
      </c>
      <c r="K421" s="6"/>
      <c r="L421" s="5"/>
      <c r="M421" s="5"/>
      <c r="N421" s="6"/>
      <c r="O421" s="7"/>
      <c r="P421" s="8" t="s">
        <v>21</v>
      </c>
      <c r="Q421" s="8" t="s">
        <v>22</v>
      </c>
    </row>
    <row r="422" customFormat="false" ht="15" hidden="false" customHeight="false" outlineLevel="0" collapsed="false">
      <c r="A422" s="2" t="n">
        <v>421</v>
      </c>
      <c r="B422" s="3" t="s">
        <v>1401</v>
      </c>
      <c r="C422" s="3" t="s">
        <v>1402</v>
      </c>
      <c r="D422" s="4" t="s">
        <v>1403</v>
      </c>
      <c r="E422" s="3" t="s">
        <v>579</v>
      </c>
      <c r="F422" s="3" t="s">
        <v>19</v>
      </c>
      <c r="G422" s="3" t="s">
        <v>1404</v>
      </c>
      <c r="H422" s="8" t="s">
        <v>1405</v>
      </c>
      <c r="I422" s="4" t="s">
        <v>1406</v>
      </c>
      <c r="J422" s="5" t="s">
        <v>20</v>
      </c>
      <c r="K422" s="6"/>
      <c r="L422" s="5"/>
      <c r="M422" s="5"/>
      <c r="N422" s="6"/>
      <c r="O422" s="7"/>
      <c r="P422" s="8" t="s">
        <v>21</v>
      </c>
      <c r="Q422" s="8" t="s">
        <v>22</v>
      </c>
    </row>
    <row r="423" customFormat="false" ht="15" hidden="false" customHeight="false" outlineLevel="0" collapsed="false">
      <c r="A423" s="2" t="n">
        <v>422</v>
      </c>
      <c r="B423" s="3" t="s">
        <v>1407</v>
      </c>
      <c r="C423" s="3" t="s">
        <v>34</v>
      </c>
      <c r="D423" s="4" t="s">
        <v>1408</v>
      </c>
      <c r="E423" s="3" t="s">
        <v>93</v>
      </c>
      <c r="F423" s="3" t="s">
        <v>19</v>
      </c>
      <c r="G423" s="3"/>
      <c r="H423" s="8" t="s">
        <v>1409</v>
      </c>
      <c r="I423" s="4" t="s">
        <v>1410</v>
      </c>
      <c r="J423" s="5" t="s">
        <v>20</v>
      </c>
      <c r="K423" s="6"/>
      <c r="L423" s="5"/>
      <c r="M423" s="5"/>
      <c r="N423" s="6"/>
      <c r="O423" s="7"/>
      <c r="P423" s="8" t="s">
        <v>21</v>
      </c>
      <c r="Q423" s="8" t="s">
        <v>22</v>
      </c>
    </row>
    <row r="424" customFormat="false" ht="15" hidden="false" customHeight="false" outlineLevel="0" collapsed="false">
      <c r="A424" s="2" t="n">
        <v>423</v>
      </c>
      <c r="B424" s="3" t="s">
        <v>1411</v>
      </c>
      <c r="C424" s="3" t="s">
        <v>120</v>
      </c>
      <c r="D424" s="4"/>
      <c r="E424" s="3"/>
      <c r="F424" s="3" t="s">
        <v>19</v>
      </c>
      <c r="G424" s="3" t="s">
        <v>1412</v>
      </c>
      <c r="H424" s="3"/>
      <c r="I424" s="4"/>
      <c r="J424" s="5" t="s">
        <v>20</v>
      </c>
      <c r="K424" s="6"/>
      <c r="L424" s="5"/>
      <c r="M424" s="5"/>
      <c r="N424" s="6"/>
      <c r="O424" s="7"/>
      <c r="P424" s="8" t="s">
        <v>21</v>
      </c>
      <c r="Q424" s="8" t="s">
        <v>22</v>
      </c>
    </row>
    <row r="425" customFormat="false" ht="15" hidden="false" customHeight="false" outlineLevel="0" collapsed="false">
      <c r="A425" s="2" t="n">
        <v>424</v>
      </c>
      <c r="B425" s="3" t="s">
        <v>1413</v>
      </c>
      <c r="C425" s="3" t="s">
        <v>38</v>
      </c>
      <c r="D425" s="4"/>
      <c r="E425" s="3"/>
      <c r="F425" s="3" t="s">
        <v>19</v>
      </c>
      <c r="G425" s="3"/>
      <c r="H425" s="3"/>
      <c r="I425" s="4" t="s">
        <v>1414</v>
      </c>
      <c r="J425" s="5" t="s">
        <v>20</v>
      </c>
      <c r="K425" s="6"/>
      <c r="L425" s="5"/>
      <c r="M425" s="5"/>
      <c r="N425" s="6"/>
      <c r="O425" s="7"/>
      <c r="P425" s="8" t="s">
        <v>21</v>
      </c>
      <c r="Q425" s="8" t="s">
        <v>22</v>
      </c>
    </row>
    <row r="426" customFormat="false" ht="15" hidden="false" customHeight="false" outlineLevel="0" collapsed="false">
      <c r="A426" s="2" t="n">
        <v>425</v>
      </c>
      <c r="B426" s="3" t="s">
        <v>1415</v>
      </c>
      <c r="C426" s="3" t="s">
        <v>181</v>
      </c>
      <c r="D426" s="4"/>
      <c r="E426" s="3"/>
      <c r="F426" s="3" t="s">
        <v>19</v>
      </c>
      <c r="G426" s="3" t="s">
        <v>1416</v>
      </c>
      <c r="H426" s="8" t="s">
        <v>1417</v>
      </c>
      <c r="I426" s="4"/>
      <c r="J426" s="5" t="s">
        <v>20</v>
      </c>
      <c r="K426" s="6"/>
      <c r="L426" s="5"/>
      <c r="M426" s="5"/>
      <c r="N426" s="6"/>
      <c r="O426" s="7"/>
      <c r="P426" s="8" t="s">
        <v>21</v>
      </c>
      <c r="Q426" s="8" t="s">
        <v>22</v>
      </c>
    </row>
    <row r="427" customFormat="false" ht="23.85" hidden="false" customHeight="false" outlineLevel="0" collapsed="false">
      <c r="A427" s="2" t="n">
        <v>426</v>
      </c>
      <c r="B427" s="3" t="s">
        <v>1418</v>
      </c>
      <c r="C427" s="3" t="s">
        <v>601</v>
      </c>
      <c r="D427" s="4"/>
      <c r="E427" s="3"/>
      <c r="F427" s="3" t="s">
        <v>19</v>
      </c>
      <c r="G427" s="3" t="s">
        <v>1419</v>
      </c>
      <c r="H427" s="8" t="s">
        <v>1420</v>
      </c>
      <c r="I427" s="4" t="s">
        <v>1421</v>
      </c>
      <c r="J427" s="5" t="s">
        <v>20</v>
      </c>
      <c r="K427" s="6"/>
      <c r="L427" s="5"/>
      <c r="M427" s="5"/>
      <c r="N427" s="6"/>
      <c r="O427" s="7"/>
      <c r="P427" s="8" t="s">
        <v>21</v>
      </c>
      <c r="Q427" s="8" t="s">
        <v>22</v>
      </c>
    </row>
    <row r="428" customFormat="false" ht="15" hidden="false" customHeight="false" outlineLevel="0" collapsed="false">
      <c r="A428" s="2" t="n">
        <v>427</v>
      </c>
      <c r="B428" s="3" t="s">
        <v>1422</v>
      </c>
      <c r="C428" s="3"/>
      <c r="D428" s="4"/>
      <c r="E428" s="3"/>
      <c r="F428" s="3" t="s">
        <v>19</v>
      </c>
      <c r="G428" s="3"/>
      <c r="H428" s="3"/>
      <c r="I428" s="4" t="s">
        <v>1423</v>
      </c>
      <c r="J428" s="5" t="s">
        <v>20</v>
      </c>
      <c r="K428" s="6"/>
      <c r="L428" s="5"/>
      <c r="M428" s="5"/>
      <c r="N428" s="6"/>
      <c r="O428" s="7"/>
      <c r="P428" s="8" t="s">
        <v>21</v>
      </c>
      <c r="Q428" s="8" t="s">
        <v>22</v>
      </c>
    </row>
    <row r="429" customFormat="false" ht="15" hidden="false" customHeight="false" outlineLevel="0" collapsed="false">
      <c r="A429" s="2" t="n">
        <v>428</v>
      </c>
      <c r="B429" s="3" t="s">
        <v>1424</v>
      </c>
      <c r="C429" s="3"/>
      <c r="D429" s="4"/>
      <c r="E429" s="3"/>
      <c r="F429" s="3" t="s">
        <v>19</v>
      </c>
      <c r="G429" s="3" t="s">
        <v>1425</v>
      </c>
      <c r="H429" s="8" t="s">
        <v>1426</v>
      </c>
      <c r="I429" s="4" t="s">
        <v>1427</v>
      </c>
      <c r="J429" s="5" t="s">
        <v>20</v>
      </c>
      <c r="K429" s="6"/>
      <c r="L429" s="5"/>
      <c r="M429" s="5"/>
      <c r="N429" s="6"/>
      <c r="O429" s="7"/>
      <c r="P429" s="8" t="s">
        <v>21</v>
      </c>
      <c r="Q429" s="8" t="s">
        <v>22</v>
      </c>
    </row>
    <row r="430" customFormat="false" ht="15" hidden="false" customHeight="false" outlineLevel="0" collapsed="false">
      <c r="A430" s="2" t="n">
        <v>429</v>
      </c>
      <c r="B430" s="3" t="s">
        <v>1428</v>
      </c>
      <c r="C430" s="3"/>
      <c r="D430" s="4" t="s">
        <v>1429</v>
      </c>
      <c r="E430" s="3" t="s">
        <v>579</v>
      </c>
      <c r="F430" s="3" t="s">
        <v>19</v>
      </c>
      <c r="G430" s="3" t="s">
        <v>1430</v>
      </c>
      <c r="H430" s="8" t="s">
        <v>1431</v>
      </c>
      <c r="I430" s="4"/>
      <c r="J430" s="5" t="s">
        <v>20</v>
      </c>
      <c r="K430" s="6"/>
      <c r="L430" s="5"/>
      <c r="M430" s="5"/>
      <c r="N430" s="6"/>
      <c r="O430" s="7"/>
      <c r="P430" s="8" t="s">
        <v>21</v>
      </c>
      <c r="Q430" s="8" t="s">
        <v>22</v>
      </c>
    </row>
    <row r="431" customFormat="false" ht="15" hidden="false" customHeight="false" outlineLevel="0" collapsed="false">
      <c r="A431" s="2" t="n">
        <v>430</v>
      </c>
      <c r="B431" s="3" t="s">
        <v>1432</v>
      </c>
      <c r="C431" s="3"/>
      <c r="D431" s="4"/>
      <c r="E431" s="3"/>
      <c r="F431" s="3" t="s">
        <v>19</v>
      </c>
      <c r="G431" s="3"/>
      <c r="H431" s="3"/>
      <c r="I431" s="4" t="s">
        <v>1433</v>
      </c>
      <c r="J431" s="5" t="s">
        <v>20</v>
      </c>
      <c r="K431" s="6"/>
      <c r="L431" s="5"/>
      <c r="M431" s="5"/>
      <c r="N431" s="6"/>
      <c r="O431" s="7"/>
      <c r="P431" s="8" t="s">
        <v>21</v>
      </c>
      <c r="Q431" s="8" t="s">
        <v>22</v>
      </c>
    </row>
    <row r="432" customFormat="false" ht="35.05" hidden="false" customHeight="false" outlineLevel="0" collapsed="false">
      <c r="A432" s="2" t="n">
        <v>431</v>
      </c>
      <c r="B432" s="3" t="s">
        <v>1434</v>
      </c>
      <c r="C432" s="3"/>
      <c r="D432" s="4"/>
      <c r="E432" s="3"/>
      <c r="F432" s="3" t="s">
        <v>19</v>
      </c>
      <c r="G432" s="3"/>
      <c r="H432" s="3"/>
      <c r="I432" s="4" t="s">
        <v>1435</v>
      </c>
      <c r="J432" s="5" t="s">
        <v>20</v>
      </c>
      <c r="K432" s="6"/>
      <c r="L432" s="5"/>
      <c r="M432" s="5"/>
      <c r="N432" s="6"/>
      <c r="O432" s="7"/>
      <c r="P432" s="8" t="s">
        <v>21</v>
      </c>
      <c r="Q432" s="8" t="s">
        <v>22</v>
      </c>
    </row>
    <row r="433" customFormat="false" ht="15" hidden="false" customHeight="false" outlineLevel="0" collapsed="false">
      <c r="A433" s="2" t="n">
        <v>432</v>
      </c>
      <c r="B433" s="3" t="s">
        <v>1436</v>
      </c>
      <c r="C433" s="3" t="s">
        <v>711</v>
      </c>
      <c r="D433" s="4" t="s">
        <v>1437</v>
      </c>
      <c r="E433" s="3"/>
      <c r="F433" s="3" t="s">
        <v>19</v>
      </c>
      <c r="G433" s="3" t="s">
        <v>1438</v>
      </c>
      <c r="H433" s="8" t="s">
        <v>1439</v>
      </c>
      <c r="I433" s="4" t="s">
        <v>1440</v>
      </c>
      <c r="J433" s="5" t="s">
        <v>20</v>
      </c>
      <c r="K433" s="6"/>
      <c r="L433" s="5"/>
      <c r="M433" s="5"/>
      <c r="N433" s="6"/>
      <c r="O433" s="7"/>
      <c r="P433" s="8" t="s">
        <v>21</v>
      </c>
      <c r="Q433" s="8" t="s">
        <v>22</v>
      </c>
    </row>
    <row r="434" customFormat="false" ht="23.85" hidden="false" customHeight="false" outlineLevel="0" collapsed="false">
      <c r="A434" s="2" t="n">
        <v>433</v>
      </c>
      <c r="B434" s="3" t="s">
        <v>1441</v>
      </c>
      <c r="C434" s="3" t="s">
        <v>38</v>
      </c>
      <c r="D434" s="4"/>
      <c r="E434" s="3"/>
      <c r="F434" s="3" t="s">
        <v>19</v>
      </c>
      <c r="G434" s="3" t="s">
        <v>1442</v>
      </c>
      <c r="H434" s="8" t="s">
        <v>1443</v>
      </c>
      <c r="I434" s="4" t="s">
        <v>1444</v>
      </c>
      <c r="J434" s="5" t="s">
        <v>20</v>
      </c>
      <c r="K434" s="6"/>
      <c r="L434" s="5"/>
      <c r="M434" s="5"/>
      <c r="N434" s="6"/>
      <c r="O434" s="7"/>
      <c r="P434" s="8" t="s">
        <v>21</v>
      </c>
      <c r="Q434" s="8" t="s">
        <v>22</v>
      </c>
    </row>
    <row r="435" customFormat="false" ht="15" hidden="false" customHeight="false" outlineLevel="0" collapsed="false">
      <c r="A435" s="2" t="n">
        <v>434</v>
      </c>
      <c r="B435" s="3" t="s">
        <v>1445</v>
      </c>
      <c r="C435" s="3"/>
      <c r="D435" s="4"/>
      <c r="E435" s="3"/>
      <c r="F435" s="3" t="s">
        <v>19</v>
      </c>
      <c r="G435" s="3"/>
      <c r="H435" s="3"/>
      <c r="I435" s="4"/>
      <c r="J435" s="5" t="s">
        <v>20</v>
      </c>
      <c r="K435" s="6"/>
      <c r="L435" s="5"/>
      <c r="M435" s="5"/>
      <c r="N435" s="6"/>
      <c r="O435" s="7"/>
      <c r="P435" s="8" t="s">
        <v>21</v>
      </c>
      <c r="Q435" s="8" t="s">
        <v>22</v>
      </c>
    </row>
    <row r="436" customFormat="false" ht="15" hidden="false" customHeight="false" outlineLevel="0" collapsed="false">
      <c r="A436" s="2" t="n">
        <v>435</v>
      </c>
      <c r="B436" s="3" t="s">
        <v>1446</v>
      </c>
      <c r="C436" s="3" t="s">
        <v>120</v>
      </c>
      <c r="D436" s="4" t="s">
        <v>1447</v>
      </c>
      <c r="E436" s="3" t="s">
        <v>148</v>
      </c>
      <c r="F436" s="3" t="s">
        <v>19</v>
      </c>
      <c r="G436" s="3" t="s">
        <v>1448</v>
      </c>
      <c r="H436" s="8" t="s">
        <v>1449</v>
      </c>
      <c r="I436" s="4" t="s">
        <v>1450</v>
      </c>
      <c r="J436" s="5" t="s">
        <v>20</v>
      </c>
      <c r="K436" s="6"/>
      <c r="L436" s="5"/>
      <c r="M436" s="5"/>
      <c r="N436" s="6"/>
      <c r="O436" s="7"/>
      <c r="P436" s="8" t="s">
        <v>21</v>
      </c>
      <c r="Q436" s="8" t="s">
        <v>22</v>
      </c>
    </row>
    <row r="437" customFormat="false" ht="15" hidden="false" customHeight="false" outlineLevel="0" collapsed="false">
      <c r="A437" s="2" t="n">
        <v>436</v>
      </c>
      <c r="B437" s="3" t="s">
        <v>1451</v>
      </c>
      <c r="C437" s="3" t="s">
        <v>120</v>
      </c>
      <c r="D437" s="4"/>
      <c r="E437" s="3"/>
      <c r="F437" s="3" t="s">
        <v>19</v>
      </c>
      <c r="G437" s="3" t="s">
        <v>1452</v>
      </c>
      <c r="H437" s="3"/>
      <c r="I437" s="4" t="s">
        <v>590</v>
      </c>
      <c r="J437" s="5" t="s">
        <v>20</v>
      </c>
      <c r="K437" s="6"/>
      <c r="L437" s="5"/>
      <c r="M437" s="5"/>
      <c r="N437" s="6"/>
      <c r="O437" s="7"/>
      <c r="P437" s="8" t="s">
        <v>21</v>
      </c>
      <c r="Q437" s="8" t="s">
        <v>22</v>
      </c>
    </row>
    <row r="438" customFormat="false" ht="15" hidden="false" customHeight="false" outlineLevel="0" collapsed="false">
      <c r="A438" s="2" t="n">
        <v>437</v>
      </c>
      <c r="B438" s="3" t="s">
        <v>1453</v>
      </c>
      <c r="C438" s="3"/>
      <c r="D438" s="4"/>
      <c r="E438" s="3"/>
      <c r="F438" s="3" t="s">
        <v>19</v>
      </c>
      <c r="G438" s="3"/>
      <c r="H438" s="3"/>
      <c r="I438" s="4"/>
      <c r="J438" s="5" t="s">
        <v>20</v>
      </c>
      <c r="K438" s="6"/>
      <c r="L438" s="5"/>
      <c r="M438" s="5"/>
      <c r="N438" s="6"/>
      <c r="O438" s="7"/>
      <c r="P438" s="8" t="s">
        <v>21</v>
      </c>
      <c r="Q438" s="8" t="s">
        <v>22</v>
      </c>
    </row>
    <row r="439" customFormat="false" ht="15" hidden="false" customHeight="false" outlineLevel="0" collapsed="false">
      <c r="A439" s="2" t="n">
        <v>438</v>
      </c>
      <c r="B439" s="3" t="s">
        <v>1454</v>
      </c>
      <c r="C439" s="3"/>
      <c r="D439" s="4"/>
      <c r="E439" s="3"/>
      <c r="F439" s="3" t="s">
        <v>19</v>
      </c>
      <c r="G439" s="3"/>
      <c r="H439" s="3"/>
      <c r="I439" s="4"/>
      <c r="J439" s="5" t="s">
        <v>20</v>
      </c>
      <c r="K439" s="6"/>
      <c r="L439" s="5"/>
      <c r="M439" s="5"/>
      <c r="N439" s="6"/>
      <c r="O439" s="7"/>
      <c r="P439" s="8" t="s">
        <v>21</v>
      </c>
      <c r="Q439" s="8" t="s">
        <v>22</v>
      </c>
    </row>
    <row r="440" customFormat="false" ht="23.85" hidden="false" customHeight="false" outlineLevel="0" collapsed="false">
      <c r="A440" s="2" t="n">
        <v>439</v>
      </c>
      <c r="B440" s="3" t="s">
        <v>1455</v>
      </c>
      <c r="C440" s="3" t="s">
        <v>326</v>
      </c>
      <c r="D440" s="4"/>
      <c r="E440" s="3"/>
      <c r="F440" s="3" t="s">
        <v>19</v>
      </c>
      <c r="G440" s="3"/>
      <c r="H440" s="3"/>
      <c r="I440" s="4" t="s">
        <v>1456</v>
      </c>
      <c r="J440" s="5" t="s">
        <v>20</v>
      </c>
      <c r="K440" s="6"/>
      <c r="L440" s="5"/>
      <c r="M440" s="5"/>
      <c r="N440" s="6"/>
      <c r="O440" s="7"/>
      <c r="P440" s="8" t="s">
        <v>21</v>
      </c>
      <c r="Q440" s="8" t="s">
        <v>22</v>
      </c>
    </row>
    <row r="441" customFormat="false" ht="15" hidden="false" customHeight="false" outlineLevel="0" collapsed="false">
      <c r="A441" s="2" t="n">
        <v>440</v>
      </c>
      <c r="B441" s="3" t="s">
        <v>1457</v>
      </c>
      <c r="C441" s="3" t="s">
        <v>1458</v>
      </c>
      <c r="D441" s="4"/>
      <c r="E441" s="3"/>
      <c r="F441" s="3" t="s">
        <v>19</v>
      </c>
      <c r="G441" s="3" t="s">
        <v>1459</v>
      </c>
      <c r="H441" s="8" t="s">
        <v>1460</v>
      </c>
      <c r="I441" s="4" t="s">
        <v>1461</v>
      </c>
      <c r="J441" s="5" t="s">
        <v>20</v>
      </c>
      <c r="K441" s="6"/>
      <c r="L441" s="5"/>
      <c r="M441" s="5"/>
      <c r="N441" s="6"/>
      <c r="O441" s="7"/>
      <c r="P441" s="8" t="s">
        <v>21</v>
      </c>
      <c r="Q441" s="8" t="s">
        <v>22</v>
      </c>
    </row>
    <row r="442" customFormat="false" ht="15" hidden="false" customHeight="false" outlineLevel="0" collapsed="false">
      <c r="A442" s="2" t="n">
        <v>441</v>
      </c>
      <c r="B442" s="3" t="s">
        <v>1462</v>
      </c>
      <c r="C442" s="3" t="s">
        <v>1463</v>
      </c>
      <c r="D442" s="4" t="s">
        <v>1464</v>
      </c>
      <c r="E442" s="3"/>
      <c r="F442" s="3" t="s">
        <v>19</v>
      </c>
      <c r="G442" s="3" t="s">
        <v>1465</v>
      </c>
      <c r="H442" s="3"/>
      <c r="I442" s="4" t="s">
        <v>1466</v>
      </c>
      <c r="J442" s="5" t="s">
        <v>20</v>
      </c>
      <c r="K442" s="6"/>
      <c r="L442" s="5"/>
      <c r="M442" s="5"/>
      <c r="N442" s="6"/>
      <c r="O442" s="7"/>
      <c r="P442" s="8" t="s">
        <v>21</v>
      </c>
      <c r="Q442" s="8" t="s">
        <v>22</v>
      </c>
    </row>
    <row r="443" customFormat="false" ht="23.85" hidden="false" customHeight="false" outlineLevel="0" collapsed="false">
      <c r="A443" s="2" t="n">
        <v>442</v>
      </c>
      <c r="B443" s="3" t="s">
        <v>1467</v>
      </c>
      <c r="C443" s="3"/>
      <c r="D443" s="4"/>
      <c r="E443" s="3"/>
      <c r="F443" s="3" t="s">
        <v>19</v>
      </c>
      <c r="G443" s="3"/>
      <c r="H443" s="3"/>
      <c r="I443" s="4" t="s">
        <v>1468</v>
      </c>
      <c r="J443" s="5" t="s">
        <v>20</v>
      </c>
      <c r="K443" s="6"/>
      <c r="L443" s="5"/>
      <c r="M443" s="5"/>
      <c r="N443" s="6"/>
      <c r="O443" s="7"/>
      <c r="P443" s="8" t="s">
        <v>21</v>
      </c>
      <c r="Q443" s="8" t="s">
        <v>22</v>
      </c>
    </row>
    <row r="444" customFormat="false" ht="23.85" hidden="false" customHeight="false" outlineLevel="0" collapsed="false">
      <c r="A444" s="2" t="n">
        <v>443</v>
      </c>
      <c r="B444" s="3" t="s">
        <v>1469</v>
      </c>
      <c r="C444" s="3"/>
      <c r="D444" s="4"/>
      <c r="E444" s="3"/>
      <c r="F444" s="3" t="s">
        <v>19</v>
      </c>
      <c r="G444" s="3" t="s">
        <v>1470</v>
      </c>
      <c r="H444" s="8" t="s">
        <v>1471</v>
      </c>
      <c r="I444" s="4" t="s">
        <v>1472</v>
      </c>
      <c r="J444" s="5" t="s">
        <v>20</v>
      </c>
      <c r="K444" s="6"/>
      <c r="L444" s="5"/>
      <c r="M444" s="5"/>
      <c r="N444" s="6"/>
      <c r="O444" s="7"/>
      <c r="P444" s="8" t="s">
        <v>21</v>
      </c>
      <c r="Q444" s="8" t="s">
        <v>22</v>
      </c>
    </row>
    <row r="445" customFormat="false" ht="23.85" hidden="false" customHeight="false" outlineLevel="0" collapsed="false">
      <c r="A445" s="2" t="n">
        <v>444</v>
      </c>
      <c r="B445" s="3" t="s">
        <v>1473</v>
      </c>
      <c r="C445" s="3" t="s">
        <v>120</v>
      </c>
      <c r="D445" s="4"/>
      <c r="E445" s="3"/>
      <c r="F445" s="3" t="s">
        <v>19</v>
      </c>
      <c r="G445" s="3" t="s">
        <v>1474</v>
      </c>
      <c r="H445" s="8" t="s">
        <v>1475</v>
      </c>
      <c r="I445" s="4" t="s">
        <v>1476</v>
      </c>
      <c r="J445" s="5" t="s">
        <v>20</v>
      </c>
      <c r="K445" s="6"/>
      <c r="L445" s="5"/>
      <c r="M445" s="5"/>
      <c r="N445" s="6"/>
      <c r="O445" s="7"/>
      <c r="P445" s="8" t="s">
        <v>21</v>
      </c>
      <c r="Q445" s="8" t="s">
        <v>22</v>
      </c>
    </row>
    <row r="446" customFormat="false" ht="15" hidden="false" customHeight="false" outlineLevel="0" collapsed="false">
      <c r="A446" s="2" t="n">
        <v>445</v>
      </c>
      <c r="B446" s="3" t="s">
        <v>1477</v>
      </c>
      <c r="C446" s="3" t="s">
        <v>24</v>
      </c>
      <c r="D446" s="4"/>
      <c r="E446" s="3"/>
      <c r="F446" s="3" t="s">
        <v>19</v>
      </c>
      <c r="G446" s="3" t="s">
        <v>1478</v>
      </c>
      <c r="H446" s="3"/>
      <c r="I446" s="4"/>
      <c r="J446" s="5" t="s">
        <v>20</v>
      </c>
      <c r="K446" s="6"/>
      <c r="L446" s="5"/>
      <c r="M446" s="5"/>
      <c r="N446" s="6"/>
      <c r="O446" s="7"/>
      <c r="P446" s="8" t="s">
        <v>21</v>
      </c>
      <c r="Q446" s="8" t="s">
        <v>22</v>
      </c>
    </row>
    <row r="447" customFormat="false" ht="15" hidden="false" customHeight="false" outlineLevel="0" collapsed="false">
      <c r="A447" s="2" t="n">
        <v>446</v>
      </c>
      <c r="B447" s="3" t="s">
        <v>1479</v>
      </c>
      <c r="C447" s="3" t="s">
        <v>24</v>
      </c>
      <c r="D447" s="4"/>
      <c r="E447" s="3"/>
      <c r="F447" s="3" t="s">
        <v>19</v>
      </c>
      <c r="G447" s="3" t="s">
        <v>1480</v>
      </c>
      <c r="H447" s="8" t="s">
        <v>1481</v>
      </c>
      <c r="I447" s="4" t="s">
        <v>1482</v>
      </c>
      <c r="J447" s="5" t="s">
        <v>20</v>
      </c>
      <c r="K447" s="6"/>
      <c r="L447" s="5"/>
      <c r="M447" s="5"/>
      <c r="N447" s="6"/>
      <c r="O447" s="7"/>
      <c r="P447" s="8" t="s">
        <v>21</v>
      </c>
      <c r="Q447" s="8" t="s">
        <v>22</v>
      </c>
    </row>
    <row r="448" customFormat="false" ht="15" hidden="false" customHeight="false" outlineLevel="0" collapsed="false">
      <c r="A448" s="2" t="n">
        <v>447</v>
      </c>
      <c r="B448" s="3" t="s">
        <v>1483</v>
      </c>
      <c r="C448" s="3" t="s">
        <v>64</v>
      </c>
      <c r="D448" s="4"/>
      <c r="E448" s="3"/>
      <c r="F448" s="3" t="s">
        <v>19</v>
      </c>
      <c r="G448" s="3" t="s">
        <v>1484</v>
      </c>
      <c r="H448" s="8" t="s">
        <v>1485</v>
      </c>
      <c r="I448" s="4" t="s">
        <v>1486</v>
      </c>
      <c r="J448" s="5" t="s">
        <v>20</v>
      </c>
      <c r="K448" s="6"/>
      <c r="L448" s="5"/>
      <c r="M448" s="5"/>
      <c r="N448" s="6"/>
      <c r="O448" s="7"/>
      <c r="P448" s="8" t="s">
        <v>21</v>
      </c>
      <c r="Q448" s="8" t="s">
        <v>22</v>
      </c>
    </row>
    <row r="449" customFormat="false" ht="15" hidden="false" customHeight="false" outlineLevel="0" collapsed="false">
      <c r="A449" s="2" t="n">
        <v>448</v>
      </c>
      <c r="B449" s="3" t="s">
        <v>1487</v>
      </c>
      <c r="C449" s="3"/>
      <c r="D449" s="4" t="s">
        <v>1488</v>
      </c>
      <c r="E449" s="3" t="s">
        <v>57</v>
      </c>
      <c r="F449" s="3" t="s">
        <v>19</v>
      </c>
      <c r="G449" s="3" t="s">
        <v>1489</v>
      </c>
      <c r="H449" s="8" t="s">
        <v>1490</v>
      </c>
      <c r="I449" s="4"/>
      <c r="J449" s="5" t="s">
        <v>20</v>
      </c>
      <c r="K449" s="6"/>
      <c r="L449" s="5"/>
      <c r="M449" s="5"/>
      <c r="N449" s="6"/>
      <c r="O449" s="7"/>
      <c r="P449" s="8" t="s">
        <v>21</v>
      </c>
      <c r="Q449" s="8" t="s">
        <v>22</v>
      </c>
    </row>
    <row r="450" customFormat="false" ht="15" hidden="false" customHeight="false" outlineLevel="0" collapsed="false">
      <c r="A450" s="2" t="n">
        <v>449</v>
      </c>
      <c r="B450" s="3" t="s">
        <v>1491</v>
      </c>
      <c r="C450" s="3"/>
      <c r="D450" s="4" t="s">
        <v>1492</v>
      </c>
      <c r="E450" s="3" t="s">
        <v>148</v>
      </c>
      <c r="F450" s="3" t="s">
        <v>19</v>
      </c>
      <c r="G450" s="3" t="s">
        <v>1493</v>
      </c>
      <c r="H450" s="3"/>
      <c r="I450" s="4" t="s">
        <v>1494</v>
      </c>
      <c r="J450" s="5" t="s">
        <v>20</v>
      </c>
      <c r="K450" s="6"/>
      <c r="L450" s="5"/>
      <c r="M450" s="5"/>
      <c r="N450" s="6"/>
      <c r="O450" s="7"/>
      <c r="P450" s="8" t="s">
        <v>21</v>
      </c>
      <c r="Q450" s="8" t="s">
        <v>22</v>
      </c>
    </row>
    <row r="451" customFormat="false" ht="15" hidden="false" customHeight="false" outlineLevel="0" collapsed="false">
      <c r="A451" s="2" t="n">
        <v>450</v>
      </c>
      <c r="B451" s="3" t="s">
        <v>1495</v>
      </c>
      <c r="C451" s="3"/>
      <c r="D451" s="4"/>
      <c r="E451" s="3"/>
      <c r="F451" s="3" t="s">
        <v>19</v>
      </c>
      <c r="G451" s="3" t="s">
        <v>1496</v>
      </c>
      <c r="H451" s="8" t="s">
        <v>1497</v>
      </c>
      <c r="I451" s="4" t="s">
        <v>1498</v>
      </c>
      <c r="J451" s="5" t="s">
        <v>20</v>
      </c>
      <c r="K451" s="6"/>
      <c r="L451" s="5"/>
      <c r="M451" s="5"/>
      <c r="N451" s="6"/>
      <c r="O451" s="7"/>
      <c r="P451" s="8" t="s">
        <v>21</v>
      </c>
      <c r="Q451" s="8" t="s">
        <v>22</v>
      </c>
    </row>
    <row r="452" customFormat="false" ht="15" hidden="false" customHeight="false" outlineLevel="0" collapsed="false">
      <c r="A452" s="2" t="n">
        <v>451</v>
      </c>
      <c r="B452" s="3" t="s">
        <v>1499</v>
      </c>
      <c r="C452" s="3"/>
      <c r="D452" s="4" t="s">
        <v>1500</v>
      </c>
      <c r="E452" s="3" t="s">
        <v>93</v>
      </c>
      <c r="F452" s="3" t="s">
        <v>19</v>
      </c>
      <c r="G452" s="3"/>
      <c r="H452" s="8" t="s">
        <v>1501</v>
      </c>
      <c r="I452" s="4" t="s">
        <v>1502</v>
      </c>
      <c r="J452" s="5" t="s">
        <v>20</v>
      </c>
      <c r="K452" s="6"/>
      <c r="L452" s="5"/>
      <c r="M452" s="5"/>
      <c r="N452" s="6"/>
      <c r="O452" s="7"/>
      <c r="P452" s="8" t="s">
        <v>21</v>
      </c>
      <c r="Q452" s="8" t="s">
        <v>22</v>
      </c>
    </row>
    <row r="453" customFormat="false" ht="15" hidden="false" customHeight="false" outlineLevel="0" collapsed="false">
      <c r="A453" s="2" t="n">
        <v>452</v>
      </c>
      <c r="B453" s="3" t="s">
        <v>1503</v>
      </c>
      <c r="C453" s="3"/>
      <c r="D453" s="4" t="s">
        <v>1504</v>
      </c>
      <c r="E453" s="3" t="s">
        <v>579</v>
      </c>
      <c r="F453" s="3" t="s">
        <v>19</v>
      </c>
      <c r="G453" s="3" t="s">
        <v>1505</v>
      </c>
      <c r="H453" s="3"/>
      <c r="I453" s="4"/>
      <c r="J453" s="5" t="s">
        <v>20</v>
      </c>
      <c r="K453" s="6"/>
      <c r="L453" s="5"/>
      <c r="M453" s="5"/>
      <c r="N453" s="6"/>
      <c r="O453" s="7"/>
      <c r="P453" s="8" t="s">
        <v>21</v>
      </c>
      <c r="Q453" s="8" t="s">
        <v>22</v>
      </c>
    </row>
    <row r="454" customFormat="false" ht="15" hidden="false" customHeight="false" outlineLevel="0" collapsed="false">
      <c r="A454" s="2" t="n">
        <v>453</v>
      </c>
      <c r="B454" s="3" t="s">
        <v>1506</v>
      </c>
      <c r="C454" s="3" t="s">
        <v>120</v>
      </c>
      <c r="D454" s="4"/>
      <c r="E454" s="3"/>
      <c r="F454" s="3" t="s">
        <v>19</v>
      </c>
      <c r="G454" s="3" t="s">
        <v>1507</v>
      </c>
      <c r="H454" s="3"/>
      <c r="I454" s="4"/>
      <c r="J454" s="5" t="s">
        <v>20</v>
      </c>
      <c r="K454" s="6"/>
      <c r="L454" s="5"/>
      <c r="M454" s="5"/>
      <c r="N454" s="6"/>
      <c r="O454" s="7"/>
      <c r="P454" s="8" t="s">
        <v>21</v>
      </c>
      <c r="Q454" s="8" t="s">
        <v>22</v>
      </c>
    </row>
    <row r="455" customFormat="false" ht="15" hidden="false" customHeight="false" outlineLevel="0" collapsed="false">
      <c r="A455" s="2" t="n">
        <v>454</v>
      </c>
      <c r="B455" s="3" t="s">
        <v>1508</v>
      </c>
      <c r="C455" s="3"/>
      <c r="D455" s="4"/>
      <c r="E455" s="3"/>
      <c r="F455" s="3" t="s">
        <v>19</v>
      </c>
      <c r="G455" s="3"/>
      <c r="H455" s="3"/>
      <c r="I455" s="4" t="s">
        <v>1509</v>
      </c>
      <c r="J455" s="5" t="s">
        <v>20</v>
      </c>
      <c r="K455" s="6"/>
      <c r="L455" s="5"/>
      <c r="M455" s="5"/>
      <c r="N455" s="6"/>
      <c r="O455" s="7"/>
      <c r="P455" s="8" t="s">
        <v>21</v>
      </c>
      <c r="Q455" s="8" t="s">
        <v>22</v>
      </c>
    </row>
    <row r="456" customFormat="false" ht="15" hidden="false" customHeight="false" outlineLevel="0" collapsed="false">
      <c r="A456" s="2" t="n">
        <v>455</v>
      </c>
      <c r="B456" s="3" t="s">
        <v>1510</v>
      </c>
      <c r="C456" s="3" t="s">
        <v>153</v>
      </c>
      <c r="D456" s="4"/>
      <c r="E456" s="3"/>
      <c r="F456" s="3" t="s">
        <v>19</v>
      </c>
      <c r="G456" s="3"/>
      <c r="H456" s="3"/>
      <c r="I456" s="4"/>
      <c r="J456" s="5" t="s">
        <v>20</v>
      </c>
      <c r="K456" s="6"/>
      <c r="L456" s="5"/>
      <c r="M456" s="5"/>
      <c r="N456" s="6"/>
      <c r="O456" s="7"/>
      <c r="P456" s="8" t="s">
        <v>21</v>
      </c>
      <c r="Q456" s="8" t="s">
        <v>22</v>
      </c>
    </row>
    <row r="457" customFormat="false" ht="15" hidden="false" customHeight="false" outlineLevel="0" collapsed="false">
      <c r="A457" s="2" t="n">
        <v>456</v>
      </c>
      <c r="B457" s="3" t="s">
        <v>1510</v>
      </c>
      <c r="C457" s="3" t="s">
        <v>1511</v>
      </c>
      <c r="D457" s="4"/>
      <c r="E457" s="3"/>
      <c r="F457" s="3" t="s">
        <v>19</v>
      </c>
      <c r="G457" s="3" t="s">
        <v>1512</v>
      </c>
      <c r="H457" s="8" t="s">
        <v>1513</v>
      </c>
      <c r="I457" s="4" t="s">
        <v>780</v>
      </c>
      <c r="J457" s="5" t="s">
        <v>20</v>
      </c>
      <c r="K457" s="6"/>
      <c r="L457" s="5"/>
      <c r="M457" s="5"/>
      <c r="N457" s="6"/>
      <c r="O457" s="7"/>
      <c r="P457" s="8" t="s">
        <v>21</v>
      </c>
      <c r="Q457" s="8" t="s">
        <v>22</v>
      </c>
    </row>
    <row r="458" customFormat="false" ht="15" hidden="false" customHeight="false" outlineLevel="0" collapsed="false">
      <c r="A458" s="2" t="n">
        <v>457</v>
      </c>
      <c r="B458" s="3" t="s">
        <v>1514</v>
      </c>
      <c r="C458" s="3" t="s">
        <v>1515</v>
      </c>
      <c r="D458" s="4"/>
      <c r="E458" s="3"/>
      <c r="F458" s="3" t="s">
        <v>19</v>
      </c>
      <c r="G458" s="3" t="s">
        <v>1516</v>
      </c>
      <c r="H458" s="8" t="s">
        <v>1517</v>
      </c>
      <c r="I458" s="4"/>
      <c r="J458" s="5" t="s">
        <v>20</v>
      </c>
      <c r="K458" s="6"/>
      <c r="L458" s="5"/>
      <c r="M458" s="5"/>
      <c r="N458" s="6"/>
      <c r="O458" s="7"/>
      <c r="P458" s="8" t="s">
        <v>21</v>
      </c>
      <c r="Q458" s="8" t="s">
        <v>22</v>
      </c>
    </row>
    <row r="459" customFormat="false" ht="15" hidden="false" customHeight="false" outlineLevel="0" collapsed="false">
      <c r="A459" s="2" t="n">
        <v>458</v>
      </c>
      <c r="B459" s="3" t="s">
        <v>1518</v>
      </c>
      <c r="C459" s="3"/>
      <c r="D459" s="4" t="s">
        <v>1519</v>
      </c>
      <c r="E459" s="3" t="s">
        <v>57</v>
      </c>
      <c r="F459" s="3" t="s">
        <v>19</v>
      </c>
      <c r="G459" s="3"/>
      <c r="H459" s="8" t="s">
        <v>1520</v>
      </c>
      <c r="I459" s="4"/>
      <c r="J459" s="5" t="s">
        <v>20</v>
      </c>
      <c r="K459" s="6"/>
      <c r="L459" s="5"/>
      <c r="M459" s="5"/>
      <c r="N459" s="6"/>
      <c r="O459" s="7"/>
      <c r="P459" s="8" t="s">
        <v>21</v>
      </c>
      <c r="Q459" s="8" t="s">
        <v>22</v>
      </c>
    </row>
    <row r="460" customFormat="false" ht="15" hidden="false" customHeight="false" outlineLevel="0" collapsed="false">
      <c r="A460" s="2" t="n">
        <v>459</v>
      </c>
      <c r="B460" s="3" t="s">
        <v>1521</v>
      </c>
      <c r="C460" s="3"/>
      <c r="D460" s="4"/>
      <c r="E460" s="3"/>
      <c r="F460" s="3" t="s">
        <v>19</v>
      </c>
      <c r="G460" s="3"/>
      <c r="H460" s="3"/>
      <c r="I460" s="4" t="s">
        <v>339</v>
      </c>
      <c r="J460" s="5" t="s">
        <v>20</v>
      </c>
      <c r="K460" s="6"/>
      <c r="L460" s="5"/>
      <c r="M460" s="5"/>
      <c r="N460" s="6"/>
      <c r="O460" s="7"/>
      <c r="P460" s="8" t="s">
        <v>21</v>
      </c>
      <c r="Q460" s="8" t="s">
        <v>22</v>
      </c>
    </row>
    <row r="461" customFormat="false" ht="15" hidden="false" customHeight="false" outlineLevel="0" collapsed="false">
      <c r="A461" s="2" t="n">
        <v>460</v>
      </c>
      <c r="B461" s="3" t="s">
        <v>1522</v>
      </c>
      <c r="C461" s="3" t="s">
        <v>595</v>
      </c>
      <c r="D461" s="4" t="s">
        <v>1523</v>
      </c>
      <c r="E461" s="3" t="s">
        <v>93</v>
      </c>
      <c r="F461" s="3" t="s">
        <v>19</v>
      </c>
      <c r="G461" s="3" t="s">
        <v>1524</v>
      </c>
      <c r="H461" s="8" t="s">
        <v>1525</v>
      </c>
      <c r="I461" s="4" t="s">
        <v>1526</v>
      </c>
      <c r="J461" s="5" t="s">
        <v>20</v>
      </c>
      <c r="K461" s="6"/>
      <c r="L461" s="5"/>
      <c r="M461" s="5"/>
      <c r="N461" s="6"/>
      <c r="O461" s="7"/>
      <c r="P461" s="8" t="s">
        <v>21</v>
      </c>
      <c r="Q461" s="8" t="s">
        <v>22</v>
      </c>
    </row>
    <row r="462" customFormat="false" ht="15" hidden="false" customHeight="false" outlineLevel="0" collapsed="false">
      <c r="A462" s="2" t="n">
        <v>461</v>
      </c>
      <c r="B462" s="3" t="s">
        <v>1527</v>
      </c>
      <c r="C462" s="3" t="s">
        <v>601</v>
      </c>
      <c r="D462" s="4"/>
      <c r="E462" s="3"/>
      <c r="F462" s="3" t="s">
        <v>19</v>
      </c>
      <c r="G462" s="3" t="s">
        <v>1528</v>
      </c>
      <c r="H462" s="8" t="s">
        <v>1529</v>
      </c>
      <c r="I462" s="4" t="s">
        <v>1530</v>
      </c>
      <c r="J462" s="5" t="s">
        <v>20</v>
      </c>
      <c r="K462" s="6"/>
      <c r="L462" s="5"/>
      <c r="M462" s="5"/>
      <c r="N462" s="6"/>
      <c r="O462" s="7"/>
      <c r="P462" s="8" t="s">
        <v>21</v>
      </c>
      <c r="Q462" s="8" t="s">
        <v>22</v>
      </c>
    </row>
    <row r="463" customFormat="false" ht="15" hidden="false" customHeight="false" outlineLevel="0" collapsed="false">
      <c r="A463" s="2" t="n">
        <v>462</v>
      </c>
      <c r="B463" s="3" t="s">
        <v>1531</v>
      </c>
      <c r="C463" s="3" t="s">
        <v>120</v>
      </c>
      <c r="D463" s="4"/>
      <c r="E463" s="3"/>
      <c r="F463" s="3" t="s">
        <v>19</v>
      </c>
      <c r="G463" s="3" t="s">
        <v>1532</v>
      </c>
      <c r="H463" s="8" t="s">
        <v>1533</v>
      </c>
      <c r="I463" s="4" t="s">
        <v>455</v>
      </c>
      <c r="J463" s="5" t="s">
        <v>20</v>
      </c>
      <c r="K463" s="6"/>
      <c r="L463" s="5"/>
      <c r="M463" s="5"/>
      <c r="N463" s="6"/>
      <c r="O463" s="7"/>
      <c r="P463" s="8" t="s">
        <v>21</v>
      </c>
      <c r="Q463" s="8" t="s">
        <v>22</v>
      </c>
    </row>
    <row r="464" customFormat="false" ht="15" hidden="false" customHeight="false" outlineLevel="0" collapsed="false">
      <c r="A464" s="2" t="n">
        <v>463</v>
      </c>
      <c r="B464" s="3" t="s">
        <v>1534</v>
      </c>
      <c r="C464" s="3" t="s">
        <v>120</v>
      </c>
      <c r="D464" s="4"/>
      <c r="E464" s="3"/>
      <c r="F464" s="3" t="s">
        <v>19</v>
      </c>
      <c r="G464" s="3" t="s">
        <v>1535</v>
      </c>
      <c r="H464" s="3"/>
      <c r="I464" s="4" t="s">
        <v>1536</v>
      </c>
      <c r="J464" s="5" t="s">
        <v>20</v>
      </c>
      <c r="K464" s="6"/>
      <c r="L464" s="5"/>
      <c r="M464" s="5"/>
      <c r="N464" s="6"/>
      <c r="O464" s="7"/>
      <c r="P464" s="8" t="s">
        <v>21</v>
      </c>
      <c r="Q464" s="8" t="s">
        <v>22</v>
      </c>
    </row>
    <row r="465" customFormat="false" ht="15" hidden="false" customHeight="false" outlineLevel="0" collapsed="false">
      <c r="A465" s="2" t="n">
        <v>464</v>
      </c>
      <c r="B465" s="3" t="s">
        <v>1537</v>
      </c>
      <c r="C465" s="3"/>
      <c r="D465" s="4"/>
      <c r="E465" s="3"/>
      <c r="F465" s="3" t="s">
        <v>19</v>
      </c>
      <c r="G465" s="3"/>
      <c r="H465" s="3"/>
      <c r="I465" s="4"/>
      <c r="J465" s="5" t="s">
        <v>20</v>
      </c>
      <c r="K465" s="6"/>
      <c r="L465" s="5"/>
      <c r="M465" s="5"/>
      <c r="N465" s="6"/>
      <c r="O465" s="7"/>
      <c r="P465" s="8" t="s">
        <v>21</v>
      </c>
      <c r="Q465" s="8" t="s">
        <v>22</v>
      </c>
    </row>
    <row r="466" customFormat="false" ht="15" hidden="false" customHeight="false" outlineLevel="0" collapsed="false">
      <c r="A466" s="2" t="n">
        <v>465</v>
      </c>
      <c r="B466" s="3" t="s">
        <v>1538</v>
      </c>
      <c r="C466" s="3" t="s">
        <v>1539</v>
      </c>
      <c r="D466" s="4"/>
      <c r="E466" s="3"/>
      <c r="F466" s="3" t="s">
        <v>19</v>
      </c>
      <c r="G466" s="3" t="s">
        <v>1540</v>
      </c>
      <c r="H466" s="8" t="s">
        <v>1541</v>
      </c>
      <c r="I466" s="4" t="s">
        <v>1542</v>
      </c>
      <c r="J466" s="5" t="s">
        <v>20</v>
      </c>
      <c r="K466" s="6"/>
      <c r="L466" s="5"/>
      <c r="M466" s="5"/>
      <c r="N466" s="6"/>
      <c r="O466" s="7"/>
      <c r="P466" s="8" t="s">
        <v>21</v>
      </c>
      <c r="Q466" s="8" t="s">
        <v>22</v>
      </c>
    </row>
    <row r="467" customFormat="false" ht="15" hidden="false" customHeight="false" outlineLevel="0" collapsed="false">
      <c r="A467" s="2" t="n">
        <v>466</v>
      </c>
      <c r="B467" s="3" t="s">
        <v>1543</v>
      </c>
      <c r="C467" s="3" t="s">
        <v>126</v>
      </c>
      <c r="D467" s="4"/>
      <c r="E467" s="3"/>
      <c r="F467" s="3" t="s">
        <v>19</v>
      </c>
      <c r="G467" s="3" t="s">
        <v>1544</v>
      </c>
      <c r="H467" s="3"/>
      <c r="I467" s="4" t="s">
        <v>1545</v>
      </c>
      <c r="J467" s="5" t="s">
        <v>20</v>
      </c>
      <c r="K467" s="6"/>
      <c r="L467" s="5"/>
      <c r="M467" s="5"/>
      <c r="N467" s="6"/>
      <c r="O467" s="7"/>
      <c r="P467" s="8" t="s">
        <v>21</v>
      </c>
      <c r="Q467" s="8" t="s">
        <v>22</v>
      </c>
    </row>
    <row r="468" customFormat="false" ht="15" hidden="false" customHeight="false" outlineLevel="0" collapsed="false">
      <c r="A468" s="2" t="n">
        <v>467</v>
      </c>
      <c r="B468" s="3" t="s">
        <v>1546</v>
      </c>
      <c r="C468" s="3"/>
      <c r="D468" s="4"/>
      <c r="E468" s="3"/>
      <c r="F468" s="3" t="s">
        <v>19</v>
      </c>
      <c r="G468" s="3" t="s">
        <v>886</v>
      </c>
      <c r="H468" s="8" t="s">
        <v>1547</v>
      </c>
      <c r="I468" s="4"/>
      <c r="J468" s="5" t="s">
        <v>20</v>
      </c>
      <c r="K468" s="6"/>
      <c r="L468" s="5"/>
      <c r="M468" s="5"/>
      <c r="N468" s="6"/>
      <c r="O468" s="7"/>
      <c r="P468" s="8" t="s">
        <v>21</v>
      </c>
      <c r="Q468" s="8" t="s">
        <v>22</v>
      </c>
    </row>
    <row r="469" customFormat="false" ht="15" hidden="false" customHeight="false" outlineLevel="0" collapsed="false">
      <c r="A469" s="2" t="n">
        <v>468</v>
      </c>
      <c r="B469" s="3" t="s">
        <v>1548</v>
      </c>
      <c r="C469" s="3"/>
      <c r="D469" s="4"/>
      <c r="E469" s="3"/>
      <c r="F469" s="3" t="s">
        <v>19</v>
      </c>
      <c r="G469" s="3" t="s">
        <v>1549</v>
      </c>
      <c r="H469" s="8" t="s">
        <v>1550</v>
      </c>
      <c r="I469" s="4" t="s">
        <v>1367</v>
      </c>
      <c r="J469" s="5" t="s">
        <v>20</v>
      </c>
      <c r="K469" s="6"/>
      <c r="L469" s="5"/>
      <c r="M469" s="5"/>
      <c r="N469" s="6"/>
      <c r="O469" s="7"/>
      <c r="P469" s="8" t="s">
        <v>21</v>
      </c>
      <c r="Q469" s="8" t="s">
        <v>22</v>
      </c>
    </row>
    <row r="470" customFormat="false" ht="15" hidden="false" customHeight="false" outlineLevel="0" collapsed="false">
      <c r="A470" s="2" t="n">
        <v>469</v>
      </c>
      <c r="B470" s="3" t="s">
        <v>1551</v>
      </c>
      <c r="C470" s="3" t="s">
        <v>1552</v>
      </c>
      <c r="D470" s="4"/>
      <c r="E470" s="3"/>
      <c r="F470" s="3" t="s">
        <v>19</v>
      </c>
      <c r="G470" s="3" t="s">
        <v>1553</v>
      </c>
      <c r="H470" s="8" t="s">
        <v>1554</v>
      </c>
      <c r="I470" s="4" t="s">
        <v>1555</v>
      </c>
      <c r="J470" s="5" t="s">
        <v>20</v>
      </c>
      <c r="K470" s="6"/>
      <c r="L470" s="5"/>
      <c r="M470" s="5"/>
      <c r="N470" s="6"/>
      <c r="O470" s="7"/>
      <c r="P470" s="8" t="s">
        <v>21</v>
      </c>
      <c r="Q470" s="8" t="s">
        <v>22</v>
      </c>
    </row>
    <row r="471" customFormat="false" ht="15" hidden="false" customHeight="false" outlineLevel="0" collapsed="false">
      <c r="A471" s="2" t="n">
        <v>470</v>
      </c>
      <c r="B471" s="3" t="s">
        <v>1556</v>
      </c>
      <c r="C471" s="3" t="s">
        <v>1557</v>
      </c>
      <c r="D471" s="4"/>
      <c r="E471" s="3"/>
      <c r="F471" s="3" t="s">
        <v>19</v>
      </c>
      <c r="G471" s="3" t="s">
        <v>1558</v>
      </c>
      <c r="H471" s="8" t="s">
        <v>1559</v>
      </c>
      <c r="I471" s="4" t="s">
        <v>1560</v>
      </c>
      <c r="J471" s="5" t="s">
        <v>20</v>
      </c>
      <c r="K471" s="6"/>
      <c r="L471" s="5"/>
      <c r="M471" s="5"/>
      <c r="N471" s="6"/>
      <c r="O471" s="7"/>
      <c r="P471" s="8" t="s">
        <v>21</v>
      </c>
      <c r="Q471" s="8" t="s">
        <v>22</v>
      </c>
    </row>
    <row r="472" customFormat="false" ht="15" hidden="false" customHeight="false" outlineLevel="0" collapsed="false">
      <c r="A472" s="2" t="n">
        <v>471</v>
      </c>
      <c r="B472" s="3" t="s">
        <v>1561</v>
      </c>
      <c r="C472" s="3" t="s">
        <v>1562</v>
      </c>
      <c r="D472" s="4" t="s">
        <v>1563</v>
      </c>
      <c r="E472" s="3" t="s">
        <v>93</v>
      </c>
      <c r="F472" s="3" t="s">
        <v>19</v>
      </c>
      <c r="G472" s="3" t="s">
        <v>1564</v>
      </c>
      <c r="H472" s="8" t="s">
        <v>1565</v>
      </c>
      <c r="I472" s="4"/>
      <c r="J472" s="5" t="s">
        <v>20</v>
      </c>
      <c r="K472" s="6"/>
      <c r="L472" s="5"/>
      <c r="M472" s="5"/>
      <c r="N472" s="6"/>
      <c r="O472" s="7"/>
      <c r="P472" s="8" t="s">
        <v>21</v>
      </c>
      <c r="Q472" s="8" t="s">
        <v>22</v>
      </c>
    </row>
    <row r="473" customFormat="false" ht="15" hidden="false" customHeight="false" outlineLevel="0" collapsed="false">
      <c r="A473" s="2" t="n">
        <v>472</v>
      </c>
      <c r="B473" s="3" t="s">
        <v>1566</v>
      </c>
      <c r="C473" s="3" t="s">
        <v>71</v>
      </c>
      <c r="D473" s="4"/>
      <c r="E473" s="3"/>
      <c r="F473" s="3" t="s">
        <v>19</v>
      </c>
      <c r="G473" s="3"/>
      <c r="H473" s="3"/>
      <c r="I473" s="4"/>
      <c r="J473" s="5" t="s">
        <v>20</v>
      </c>
      <c r="K473" s="6"/>
      <c r="L473" s="5"/>
      <c r="M473" s="5"/>
      <c r="N473" s="6"/>
      <c r="O473" s="7"/>
      <c r="P473" s="8" t="s">
        <v>21</v>
      </c>
      <c r="Q473" s="8" t="s">
        <v>22</v>
      </c>
    </row>
    <row r="474" customFormat="false" ht="15" hidden="false" customHeight="false" outlineLevel="0" collapsed="false">
      <c r="A474" s="2" t="n">
        <v>473</v>
      </c>
      <c r="B474" s="3" t="s">
        <v>1567</v>
      </c>
      <c r="C474" s="3" t="s">
        <v>126</v>
      </c>
      <c r="D474" s="4"/>
      <c r="E474" s="3"/>
      <c r="F474" s="3" t="s">
        <v>19</v>
      </c>
      <c r="G474" s="3" t="s">
        <v>1568</v>
      </c>
      <c r="H474" s="8" t="s">
        <v>1569</v>
      </c>
      <c r="I474" s="4"/>
      <c r="J474" s="5" t="s">
        <v>20</v>
      </c>
      <c r="K474" s="6"/>
      <c r="L474" s="5"/>
      <c r="M474" s="5"/>
      <c r="N474" s="6"/>
      <c r="O474" s="7"/>
      <c r="P474" s="8" t="s">
        <v>21</v>
      </c>
      <c r="Q474" s="8" t="s">
        <v>22</v>
      </c>
    </row>
    <row r="475" customFormat="false" ht="15" hidden="false" customHeight="false" outlineLevel="0" collapsed="false">
      <c r="A475" s="2" t="n">
        <v>474</v>
      </c>
      <c r="B475" s="3" t="s">
        <v>1570</v>
      </c>
      <c r="C475" s="3" t="s">
        <v>120</v>
      </c>
      <c r="D475" s="4" t="s">
        <v>1571</v>
      </c>
      <c r="E475" s="3"/>
      <c r="F475" s="3" t="s">
        <v>19</v>
      </c>
      <c r="G475" s="3"/>
      <c r="H475" s="3"/>
      <c r="I475" s="4" t="s">
        <v>1572</v>
      </c>
      <c r="J475" s="5" t="s">
        <v>20</v>
      </c>
      <c r="K475" s="6"/>
      <c r="L475" s="5"/>
      <c r="M475" s="5"/>
      <c r="N475" s="6"/>
      <c r="O475" s="7"/>
      <c r="P475" s="8" t="s">
        <v>21</v>
      </c>
      <c r="Q475" s="8" t="s">
        <v>22</v>
      </c>
    </row>
    <row r="476" customFormat="false" ht="15" hidden="false" customHeight="false" outlineLevel="0" collapsed="false">
      <c r="A476" s="2" t="n">
        <v>475</v>
      </c>
      <c r="B476" s="3" t="s">
        <v>1573</v>
      </c>
      <c r="C476" s="3"/>
      <c r="D476" s="4"/>
      <c r="E476" s="3"/>
      <c r="F476" s="3" t="s">
        <v>19</v>
      </c>
      <c r="G476" s="3"/>
      <c r="H476" s="3"/>
      <c r="I476" s="4"/>
      <c r="J476" s="5" t="s">
        <v>20</v>
      </c>
      <c r="K476" s="6"/>
      <c r="L476" s="5"/>
      <c r="M476" s="5"/>
      <c r="N476" s="6"/>
      <c r="O476" s="7"/>
      <c r="P476" s="8" t="s">
        <v>21</v>
      </c>
      <c r="Q476" s="8" t="s">
        <v>22</v>
      </c>
    </row>
    <row r="477" customFormat="false" ht="15" hidden="false" customHeight="false" outlineLevel="0" collapsed="false">
      <c r="A477" s="2" t="n">
        <v>476</v>
      </c>
      <c r="B477" s="3" t="s">
        <v>1574</v>
      </c>
      <c r="C477" s="3" t="s">
        <v>126</v>
      </c>
      <c r="D477" s="4"/>
      <c r="E477" s="3"/>
      <c r="F477" s="3" t="s">
        <v>19</v>
      </c>
      <c r="G477" s="3" t="s">
        <v>1575</v>
      </c>
      <c r="H477" s="8" t="s">
        <v>1576</v>
      </c>
      <c r="I477" s="4" t="s">
        <v>1577</v>
      </c>
      <c r="J477" s="5" t="s">
        <v>20</v>
      </c>
      <c r="K477" s="6"/>
      <c r="L477" s="5"/>
      <c r="M477" s="5"/>
      <c r="N477" s="6"/>
      <c r="O477" s="7"/>
      <c r="P477" s="8" t="s">
        <v>21</v>
      </c>
      <c r="Q477" s="8" t="s">
        <v>22</v>
      </c>
    </row>
    <row r="478" customFormat="false" ht="15" hidden="false" customHeight="false" outlineLevel="0" collapsed="false">
      <c r="A478" s="2" t="n">
        <v>477</v>
      </c>
      <c r="B478" s="3" t="s">
        <v>1578</v>
      </c>
      <c r="C478" s="3" t="s">
        <v>601</v>
      </c>
      <c r="D478" s="4"/>
      <c r="E478" s="3"/>
      <c r="F478" s="3" t="s">
        <v>19</v>
      </c>
      <c r="G478" s="3" t="s">
        <v>1579</v>
      </c>
      <c r="H478" s="8" t="s">
        <v>1580</v>
      </c>
      <c r="I478" s="4" t="s">
        <v>1581</v>
      </c>
      <c r="J478" s="5" t="s">
        <v>20</v>
      </c>
      <c r="K478" s="6"/>
      <c r="L478" s="5"/>
      <c r="M478" s="5"/>
      <c r="N478" s="6"/>
      <c r="O478" s="7"/>
      <c r="P478" s="8" t="s">
        <v>21</v>
      </c>
      <c r="Q478" s="8" t="s">
        <v>22</v>
      </c>
    </row>
    <row r="479" customFormat="false" ht="15" hidden="false" customHeight="false" outlineLevel="0" collapsed="false">
      <c r="A479" s="2" t="n">
        <v>478</v>
      </c>
      <c r="B479" s="3" t="s">
        <v>1582</v>
      </c>
      <c r="C479" s="3" t="s">
        <v>24</v>
      </c>
      <c r="D479" s="4"/>
      <c r="E479" s="3"/>
      <c r="F479" s="3" t="s">
        <v>19</v>
      </c>
      <c r="G479" s="3"/>
      <c r="H479" s="3"/>
      <c r="I479" s="4"/>
      <c r="J479" s="5" t="s">
        <v>20</v>
      </c>
      <c r="K479" s="6"/>
      <c r="L479" s="5"/>
      <c r="M479" s="5"/>
      <c r="N479" s="6"/>
      <c r="O479" s="7"/>
      <c r="P479" s="8" t="s">
        <v>21</v>
      </c>
      <c r="Q479" s="8" t="s">
        <v>22</v>
      </c>
    </row>
    <row r="480" customFormat="false" ht="15" hidden="false" customHeight="false" outlineLevel="0" collapsed="false">
      <c r="A480" s="2" t="n">
        <v>479</v>
      </c>
      <c r="B480" s="3" t="s">
        <v>1583</v>
      </c>
      <c r="C480" s="3"/>
      <c r="D480" s="4"/>
      <c r="E480" s="3"/>
      <c r="F480" s="3" t="s">
        <v>19</v>
      </c>
      <c r="G480" s="3" t="s">
        <v>1584</v>
      </c>
      <c r="H480" s="3"/>
      <c r="I480" s="4" t="s">
        <v>1585</v>
      </c>
      <c r="J480" s="5" t="s">
        <v>20</v>
      </c>
      <c r="K480" s="6"/>
      <c r="L480" s="5"/>
      <c r="M480" s="5"/>
      <c r="N480" s="6"/>
      <c r="O480" s="7"/>
      <c r="P480" s="8" t="s">
        <v>21</v>
      </c>
      <c r="Q480" s="8" t="s">
        <v>22</v>
      </c>
    </row>
    <row r="481" customFormat="false" ht="23.85" hidden="false" customHeight="false" outlineLevel="0" collapsed="false">
      <c r="A481" s="2" t="n">
        <v>480</v>
      </c>
      <c r="B481" s="3" t="s">
        <v>1586</v>
      </c>
      <c r="C481" s="3"/>
      <c r="D481" s="4"/>
      <c r="E481" s="3"/>
      <c r="F481" s="3" t="s">
        <v>19</v>
      </c>
      <c r="G481" s="3" t="s">
        <v>1587</v>
      </c>
      <c r="H481" s="8" t="s">
        <v>1588</v>
      </c>
      <c r="I481" s="4" t="s">
        <v>1589</v>
      </c>
      <c r="J481" s="5" t="s">
        <v>20</v>
      </c>
      <c r="K481" s="6"/>
      <c r="L481" s="5"/>
      <c r="M481" s="5"/>
      <c r="N481" s="6"/>
      <c r="O481" s="7"/>
      <c r="P481" s="8" t="s">
        <v>21</v>
      </c>
      <c r="Q481" s="8" t="s">
        <v>22</v>
      </c>
    </row>
    <row r="482" customFormat="false" ht="15" hidden="false" customHeight="false" outlineLevel="0" collapsed="false">
      <c r="A482" s="2" t="n">
        <v>481</v>
      </c>
      <c r="B482" s="3" t="s">
        <v>1590</v>
      </c>
      <c r="C482" s="3"/>
      <c r="D482" s="4"/>
      <c r="E482" s="3"/>
      <c r="F482" s="3" t="s">
        <v>19</v>
      </c>
      <c r="G482" s="3"/>
      <c r="H482" s="3"/>
      <c r="I482" s="4"/>
      <c r="J482" s="5" t="s">
        <v>20</v>
      </c>
      <c r="K482" s="6"/>
      <c r="L482" s="5"/>
      <c r="M482" s="5"/>
      <c r="N482" s="6"/>
      <c r="O482" s="7"/>
      <c r="P482" s="8" t="s">
        <v>21</v>
      </c>
      <c r="Q482" s="8" t="s">
        <v>22</v>
      </c>
    </row>
    <row r="483" customFormat="false" ht="15" hidden="false" customHeight="false" outlineLevel="0" collapsed="false">
      <c r="A483" s="2" t="n">
        <v>482</v>
      </c>
      <c r="B483" s="3" t="s">
        <v>1591</v>
      </c>
      <c r="C483" s="3"/>
      <c r="D483" s="4" t="s">
        <v>1592</v>
      </c>
      <c r="E483" s="3" t="s">
        <v>31</v>
      </c>
      <c r="F483" s="3" t="s">
        <v>19</v>
      </c>
      <c r="G483" s="3"/>
      <c r="H483" s="3"/>
      <c r="I483" s="4" t="s">
        <v>1593</v>
      </c>
      <c r="J483" s="5" t="s">
        <v>20</v>
      </c>
      <c r="K483" s="6"/>
      <c r="L483" s="5"/>
      <c r="M483" s="5"/>
      <c r="N483" s="6"/>
      <c r="O483" s="7"/>
      <c r="P483" s="8" t="s">
        <v>21</v>
      </c>
      <c r="Q483" s="8" t="s">
        <v>22</v>
      </c>
    </row>
    <row r="484" customFormat="false" ht="15" hidden="false" customHeight="false" outlineLevel="0" collapsed="false">
      <c r="A484" s="2" t="n">
        <v>483</v>
      </c>
      <c r="B484" s="3" t="s">
        <v>1594</v>
      </c>
      <c r="C484" s="3" t="s">
        <v>120</v>
      </c>
      <c r="D484" s="4" t="s">
        <v>1595</v>
      </c>
      <c r="E484" s="3"/>
      <c r="F484" s="3" t="s">
        <v>19</v>
      </c>
      <c r="G484" s="3" t="s">
        <v>1596</v>
      </c>
      <c r="H484" s="3"/>
      <c r="I484" s="4"/>
      <c r="J484" s="5" t="s">
        <v>20</v>
      </c>
      <c r="K484" s="6"/>
      <c r="L484" s="5"/>
      <c r="M484" s="5"/>
      <c r="N484" s="6"/>
      <c r="O484" s="7"/>
      <c r="P484" s="8" t="s">
        <v>21</v>
      </c>
      <c r="Q484" s="8" t="s">
        <v>22</v>
      </c>
    </row>
    <row r="485" customFormat="false" ht="23.85" hidden="false" customHeight="false" outlineLevel="0" collapsed="false">
      <c r="A485" s="2" t="n">
        <v>484</v>
      </c>
      <c r="B485" s="3" t="s">
        <v>1597</v>
      </c>
      <c r="C485" s="3" t="s">
        <v>120</v>
      </c>
      <c r="D485" s="4"/>
      <c r="E485" s="3"/>
      <c r="F485" s="3" t="s">
        <v>19</v>
      </c>
      <c r="G485" s="3" t="s">
        <v>1598</v>
      </c>
      <c r="H485" s="8" t="s">
        <v>1599</v>
      </c>
      <c r="I485" s="4" t="s">
        <v>1600</v>
      </c>
      <c r="J485" s="5" t="s">
        <v>20</v>
      </c>
      <c r="K485" s="6"/>
      <c r="L485" s="5"/>
      <c r="M485" s="5"/>
      <c r="N485" s="6"/>
      <c r="O485" s="7"/>
      <c r="P485" s="8" t="s">
        <v>21</v>
      </c>
      <c r="Q485" s="8" t="s">
        <v>22</v>
      </c>
    </row>
    <row r="486" customFormat="false" ht="15" hidden="false" customHeight="false" outlineLevel="0" collapsed="false">
      <c r="A486" s="2" t="n">
        <v>485</v>
      </c>
      <c r="B486" s="3" t="s">
        <v>1601</v>
      </c>
      <c r="C486" s="3" t="s">
        <v>62</v>
      </c>
      <c r="D486" s="4"/>
      <c r="E486" s="3"/>
      <c r="F486" s="3" t="s">
        <v>19</v>
      </c>
      <c r="G486" s="3"/>
      <c r="H486" s="3"/>
      <c r="I486" s="4" t="s">
        <v>1602</v>
      </c>
      <c r="J486" s="5" t="s">
        <v>20</v>
      </c>
      <c r="K486" s="6"/>
      <c r="L486" s="5"/>
      <c r="M486" s="5"/>
      <c r="N486" s="6"/>
      <c r="O486" s="7"/>
      <c r="P486" s="8" t="s">
        <v>21</v>
      </c>
      <c r="Q486" s="8" t="s">
        <v>22</v>
      </c>
    </row>
    <row r="487" customFormat="false" ht="15" hidden="false" customHeight="false" outlineLevel="0" collapsed="false">
      <c r="A487" s="2" t="n">
        <v>486</v>
      </c>
      <c r="B487" s="3" t="s">
        <v>1603</v>
      </c>
      <c r="C487" s="3" t="s">
        <v>1604</v>
      </c>
      <c r="D487" s="4"/>
      <c r="E487" s="3"/>
      <c r="F487" s="3" t="s">
        <v>19</v>
      </c>
      <c r="G487" s="3" t="s">
        <v>1605</v>
      </c>
      <c r="H487" s="8" t="s">
        <v>1606</v>
      </c>
      <c r="I487" s="4" t="s">
        <v>1607</v>
      </c>
      <c r="J487" s="5" t="s">
        <v>20</v>
      </c>
      <c r="K487" s="6"/>
      <c r="L487" s="5"/>
      <c r="M487" s="5"/>
      <c r="N487" s="6"/>
      <c r="O487" s="7"/>
      <c r="P487" s="8" t="s">
        <v>21</v>
      </c>
      <c r="Q487" s="8" t="s">
        <v>22</v>
      </c>
    </row>
    <row r="488" customFormat="false" ht="15" hidden="false" customHeight="false" outlineLevel="0" collapsed="false">
      <c r="A488" s="2" t="n">
        <v>487</v>
      </c>
      <c r="B488" s="3" t="s">
        <v>1608</v>
      </c>
      <c r="C488" s="3"/>
      <c r="D488" s="4" t="s">
        <v>1609</v>
      </c>
      <c r="E488" s="3" t="s">
        <v>93</v>
      </c>
      <c r="F488" s="3" t="s">
        <v>19</v>
      </c>
      <c r="G488" s="3" t="s">
        <v>1610</v>
      </c>
      <c r="H488" s="8" t="s">
        <v>1611</v>
      </c>
      <c r="I488" s="4" t="s">
        <v>1612</v>
      </c>
      <c r="J488" s="5" t="s">
        <v>20</v>
      </c>
      <c r="K488" s="6"/>
      <c r="L488" s="5"/>
      <c r="M488" s="5"/>
      <c r="N488" s="6"/>
      <c r="O488" s="7"/>
      <c r="P488" s="8" t="s">
        <v>21</v>
      </c>
      <c r="Q488" s="8" t="s">
        <v>22</v>
      </c>
    </row>
    <row r="489" customFormat="false" ht="23.85" hidden="false" customHeight="false" outlineLevel="0" collapsed="false">
      <c r="A489" s="2" t="n">
        <v>488</v>
      </c>
      <c r="B489" s="3" t="s">
        <v>1613</v>
      </c>
      <c r="C489" s="3" t="s">
        <v>1614</v>
      </c>
      <c r="D489" s="4" t="s">
        <v>1615</v>
      </c>
      <c r="E489" s="3" t="s">
        <v>579</v>
      </c>
      <c r="F489" s="3" t="s">
        <v>19</v>
      </c>
      <c r="G489" s="3" t="s">
        <v>1616</v>
      </c>
      <c r="H489" s="8" t="s">
        <v>1617</v>
      </c>
      <c r="I489" s="4" t="s">
        <v>1618</v>
      </c>
      <c r="J489" s="5" t="s">
        <v>20</v>
      </c>
      <c r="K489" s="6"/>
      <c r="L489" s="5"/>
      <c r="M489" s="5"/>
      <c r="N489" s="6"/>
      <c r="O489" s="7"/>
      <c r="P489" s="8" t="s">
        <v>21</v>
      </c>
      <c r="Q489" s="8" t="s">
        <v>22</v>
      </c>
    </row>
    <row r="490" customFormat="false" ht="15" hidden="false" customHeight="false" outlineLevel="0" collapsed="false">
      <c r="A490" s="2" t="n">
        <v>489</v>
      </c>
      <c r="B490" s="3" t="s">
        <v>1619</v>
      </c>
      <c r="C490" s="3"/>
      <c r="D490" s="4"/>
      <c r="E490" s="3"/>
      <c r="F490" s="3" t="s">
        <v>19</v>
      </c>
      <c r="G490" s="3"/>
      <c r="H490" s="3"/>
      <c r="I490" s="4"/>
      <c r="J490" s="5" t="s">
        <v>20</v>
      </c>
      <c r="K490" s="6"/>
      <c r="L490" s="5"/>
      <c r="M490" s="5"/>
      <c r="N490" s="6"/>
      <c r="O490" s="7"/>
      <c r="P490" s="8" t="s">
        <v>21</v>
      </c>
      <c r="Q490" s="8" t="s">
        <v>22</v>
      </c>
    </row>
    <row r="491" customFormat="false" ht="15" hidden="false" customHeight="false" outlineLevel="0" collapsed="false">
      <c r="A491" s="2" t="n">
        <v>490</v>
      </c>
      <c r="B491" s="3" t="s">
        <v>1620</v>
      </c>
      <c r="C491" s="3" t="s">
        <v>601</v>
      </c>
      <c r="D491" s="4" t="s">
        <v>1621</v>
      </c>
      <c r="E491" s="3"/>
      <c r="F491" s="3" t="s">
        <v>19</v>
      </c>
      <c r="G491" s="3" t="s">
        <v>1622</v>
      </c>
      <c r="H491" s="8" t="s">
        <v>1623</v>
      </c>
      <c r="I491" s="4" t="s">
        <v>846</v>
      </c>
      <c r="J491" s="5" t="s">
        <v>20</v>
      </c>
      <c r="K491" s="6"/>
      <c r="L491" s="5"/>
      <c r="M491" s="5"/>
      <c r="N491" s="6"/>
      <c r="O491" s="7"/>
      <c r="P491" s="8" t="s">
        <v>21</v>
      </c>
      <c r="Q491" s="8" t="s">
        <v>22</v>
      </c>
    </row>
    <row r="492" customFormat="false" ht="15" hidden="false" customHeight="false" outlineLevel="0" collapsed="false">
      <c r="A492" s="2" t="n">
        <v>491</v>
      </c>
      <c r="B492" s="3" t="s">
        <v>1624</v>
      </c>
      <c r="C492" s="3"/>
      <c r="D492" s="4"/>
      <c r="E492" s="3"/>
      <c r="F492" s="3" t="s">
        <v>19</v>
      </c>
      <c r="G492" s="3"/>
      <c r="H492" s="3"/>
      <c r="I492" s="4"/>
      <c r="J492" s="5" t="s">
        <v>20</v>
      </c>
      <c r="K492" s="6"/>
      <c r="L492" s="5"/>
      <c r="M492" s="5"/>
      <c r="N492" s="6"/>
      <c r="O492" s="7"/>
      <c r="P492" s="8" t="s">
        <v>21</v>
      </c>
      <c r="Q492" s="8" t="s">
        <v>22</v>
      </c>
    </row>
    <row r="493" customFormat="false" ht="15" hidden="false" customHeight="false" outlineLevel="0" collapsed="false">
      <c r="A493" s="2" t="n">
        <v>492</v>
      </c>
      <c r="B493" s="3" t="s">
        <v>1625</v>
      </c>
      <c r="C493" s="3" t="s">
        <v>109</v>
      </c>
      <c r="D493" s="4" t="s">
        <v>1626</v>
      </c>
      <c r="E493" s="3" t="s">
        <v>31</v>
      </c>
      <c r="F493" s="3" t="s">
        <v>19</v>
      </c>
      <c r="G493" s="3" t="s">
        <v>1627</v>
      </c>
      <c r="H493" s="8" t="s">
        <v>1628</v>
      </c>
      <c r="I493" s="4" t="s">
        <v>1629</v>
      </c>
      <c r="J493" s="5" t="s">
        <v>20</v>
      </c>
      <c r="K493" s="6"/>
      <c r="L493" s="5"/>
      <c r="M493" s="5"/>
      <c r="N493" s="6"/>
      <c r="O493" s="7"/>
      <c r="P493" s="8" t="s">
        <v>21</v>
      </c>
      <c r="Q493" s="8" t="s">
        <v>22</v>
      </c>
    </row>
    <row r="494" customFormat="false" ht="23.85" hidden="false" customHeight="false" outlineLevel="0" collapsed="false">
      <c r="A494" s="2" t="n">
        <v>493</v>
      </c>
      <c r="B494" s="3" t="s">
        <v>1630</v>
      </c>
      <c r="C494" s="3" t="s">
        <v>109</v>
      </c>
      <c r="D494" s="4" t="s">
        <v>1631</v>
      </c>
      <c r="E494" s="3" t="s">
        <v>148</v>
      </c>
      <c r="F494" s="3" t="s">
        <v>19</v>
      </c>
      <c r="G494" s="3" t="s">
        <v>1632</v>
      </c>
      <c r="H494" s="8" t="s">
        <v>1633</v>
      </c>
      <c r="I494" s="4" t="s">
        <v>1634</v>
      </c>
      <c r="J494" s="5" t="s">
        <v>20</v>
      </c>
      <c r="K494" s="6"/>
      <c r="L494" s="5"/>
      <c r="M494" s="5"/>
      <c r="N494" s="6"/>
      <c r="O494" s="7"/>
      <c r="P494" s="8" t="s">
        <v>21</v>
      </c>
      <c r="Q494" s="8" t="s">
        <v>22</v>
      </c>
    </row>
    <row r="495" customFormat="false" ht="15" hidden="false" customHeight="false" outlineLevel="0" collapsed="false">
      <c r="A495" s="2" t="n">
        <v>494</v>
      </c>
      <c r="B495" s="3" t="s">
        <v>1635</v>
      </c>
      <c r="C495" s="3" t="s">
        <v>601</v>
      </c>
      <c r="D495" s="4"/>
      <c r="E495" s="3"/>
      <c r="F495" s="3" t="s">
        <v>19</v>
      </c>
      <c r="G495" s="3"/>
      <c r="H495" s="8" t="s">
        <v>1636</v>
      </c>
      <c r="I495" s="4" t="s">
        <v>1637</v>
      </c>
      <c r="J495" s="5" t="s">
        <v>20</v>
      </c>
      <c r="K495" s="6"/>
      <c r="L495" s="5"/>
      <c r="M495" s="5"/>
      <c r="N495" s="6"/>
      <c r="O495" s="7"/>
      <c r="P495" s="8" t="s">
        <v>21</v>
      </c>
      <c r="Q495" s="8" t="s">
        <v>22</v>
      </c>
    </row>
    <row r="496" customFormat="false" ht="23.85" hidden="false" customHeight="false" outlineLevel="0" collapsed="false">
      <c r="A496" s="2" t="n">
        <v>495</v>
      </c>
      <c r="B496" s="3" t="s">
        <v>1638</v>
      </c>
      <c r="C496" s="3" t="s">
        <v>120</v>
      </c>
      <c r="D496" s="4"/>
      <c r="E496" s="3"/>
      <c r="F496" s="3" t="s">
        <v>19</v>
      </c>
      <c r="G496" s="3" t="s">
        <v>1639</v>
      </c>
      <c r="H496" s="8" t="s">
        <v>1640</v>
      </c>
      <c r="I496" s="4" t="s">
        <v>1641</v>
      </c>
      <c r="J496" s="5" t="s">
        <v>20</v>
      </c>
      <c r="K496" s="6"/>
      <c r="L496" s="5"/>
      <c r="M496" s="5"/>
      <c r="N496" s="6"/>
      <c r="O496" s="7"/>
      <c r="P496" s="8" t="s">
        <v>21</v>
      </c>
      <c r="Q496" s="8" t="s">
        <v>22</v>
      </c>
    </row>
    <row r="497" customFormat="false" ht="15" hidden="false" customHeight="false" outlineLevel="0" collapsed="false">
      <c r="A497" s="2" t="n">
        <v>496</v>
      </c>
      <c r="B497" s="3" t="s">
        <v>1642</v>
      </c>
      <c r="C497" s="3"/>
      <c r="D497" s="4"/>
      <c r="E497" s="3"/>
      <c r="F497" s="3" t="s">
        <v>19</v>
      </c>
      <c r="G497" s="3" t="s">
        <v>1643</v>
      </c>
      <c r="H497" s="8" t="s">
        <v>1644</v>
      </c>
      <c r="I497" s="4" t="s">
        <v>1645</v>
      </c>
      <c r="J497" s="5" t="s">
        <v>20</v>
      </c>
      <c r="K497" s="6"/>
      <c r="L497" s="5"/>
      <c r="M497" s="5"/>
      <c r="N497" s="6"/>
      <c r="O497" s="7"/>
      <c r="P497" s="8" t="s">
        <v>21</v>
      </c>
      <c r="Q497" s="8" t="s">
        <v>22</v>
      </c>
    </row>
    <row r="498" customFormat="false" ht="15" hidden="false" customHeight="false" outlineLevel="0" collapsed="false">
      <c r="A498" s="2" t="n">
        <v>497</v>
      </c>
      <c r="B498" s="3" t="s">
        <v>1646</v>
      </c>
      <c r="C498" s="3" t="s">
        <v>277</v>
      </c>
      <c r="D498" s="4" t="s">
        <v>1647</v>
      </c>
      <c r="E498" s="3" t="s">
        <v>148</v>
      </c>
      <c r="F498" s="3" t="s">
        <v>19</v>
      </c>
      <c r="G498" s="3" t="s">
        <v>1648</v>
      </c>
      <c r="H498" s="8" t="s">
        <v>1649</v>
      </c>
      <c r="I498" s="4" t="s">
        <v>1650</v>
      </c>
      <c r="J498" s="5" t="s">
        <v>20</v>
      </c>
      <c r="K498" s="6"/>
      <c r="L498" s="5"/>
      <c r="M498" s="5"/>
      <c r="N498" s="6"/>
      <c r="O498" s="7"/>
      <c r="P498" s="8" t="s">
        <v>21</v>
      </c>
      <c r="Q498" s="8" t="s">
        <v>22</v>
      </c>
    </row>
    <row r="499" customFormat="false" ht="15" hidden="false" customHeight="false" outlineLevel="0" collapsed="false">
      <c r="A499" s="2" t="n">
        <v>498</v>
      </c>
      <c r="B499" s="3" t="s">
        <v>1651</v>
      </c>
      <c r="C499" s="3" t="s">
        <v>116</v>
      </c>
      <c r="D499" s="4"/>
      <c r="E499" s="3"/>
      <c r="F499" s="3" t="s">
        <v>19</v>
      </c>
      <c r="G499" s="3"/>
      <c r="H499" s="3"/>
      <c r="I499" s="4" t="s">
        <v>828</v>
      </c>
      <c r="J499" s="5" t="s">
        <v>20</v>
      </c>
      <c r="K499" s="6"/>
      <c r="L499" s="5"/>
      <c r="M499" s="5"/>
      <c r="N499" s="6"/>
      <c r="O499" s="7"/>
      <c r="P499" s="8" t="s">
        <v>21</v>
      </c>
      <c r="Q499" s="8" t="s">
        <v>22</v>
      </c>
    </row>
    <row r="500" customFormat="false" ht="15" hidden="false" customHeight="false" outlineLevel="0" collapsed="false">
      <c r="A500" s="2" t="n">
        <v>499</v>
      </c>
      <c r="B500" s="3" t="s">
        <v>1652</v>
      </c>
      <c r="C500" s="3"/>
      <c r="D500" s="4"/>
      <c r="E500" s="3"/>
      <c r="F500" s="3" t="s">
        <v>19</v>
      </c>
      <c r="G500" s="3"/>
      <c r="H500" s="3"/>
      <c r="I500" s="4"/>
      <c r="J500" s="5" t="s">
        <v>20</v>
      </c>
      <c r="K500" s="6"/>
      <c r="L500" s="5"/>
      <c r="M500" s="5"/>
      <c r="N500" s="6"/>
      <c r="O500" s="7"/>
      <c r="P500" s="8" t="s">
        <v>21</v>
      </c>
      <c r="Q500" s="8" t="s">
        <v>22</v>
      </c>
    </row>
    <row r="501" customFormat="false" ht="15" hidden="false" customHeight="false" outlineLevel="0" collapsed="false">
      <c r="A501" s="2" t="n">
        <v>500</v>
      </c>
      <c r="B501" s="3" t="s">
        <v>1653</v>
      </c>
      <c r="C501" s="3" t="s">
        <v>120</v>
      </c>
      <c r="D501" s="4"/>
      <c r="E501" s="3"/>
      <c r="F501" s="3" t="s">
        <v>19</v>
      </c>
      <c r="G501" s="3" t="s">
        <v>1654</v>
      </c>
      <c r="H501" s="8" t="s">
        <v>1655</v>
      </c>
      <c r="I501" s="4"/>
      <c r="J501" s="5" t="s">
        <v>20</v>
      </c>
      <c r="K501" s="6"/>
      <c r="L501" s="5"/>
      <c r="M501" s="5"/>
      <c r="N501" s="6"/>
      <c r="O501" s="7"/>
      <c r="P501" s="8" t="s">
        <v>21</v>
      </c>
      <c r="Q501" s="8" t="s">
        <v>22</v>
      </c>
    </row>
    <row r="502" customFormat="false" ht="15" hidden="false" customHeight="false" outlineLevel="0" collapsed="false">
      <c r="A502" s="2" t="n">
        <v>501</v>
      </c>
      <c r="B502" s="3" t="s">
        <v>1656</v>
      </c>
      <c r="C502" s="3"/>
      <c r="D502" s="4"/>
      <c r="E502" s="3"/>
      <c r="F502" s="3" t="s">
        <v>19</v>
      </c>
      <c r="G502" s="3"/>
      <c r="H502" s="3"/>
      <c r="I502" s="4"/>
      <c r="J502" s="5" t="s">
        <v>20</v>
      </c>
      <c r="K502" s="6"/>
      <c r="L502" s="5"/>
      <c r="M502" s="5"/>
      <c r="N502" s="6"/>
      <c r="O502" s="7"/>
      <c r="P502" s="8" t="s">
        <v>21</v>
      </c>
      <c r="Q502" s="8" t="s">
        <v>22</v>
      </c>
    </row>
    <row r="503" customFormat="false" ht="15" hidden="false" customHeight="false" outlineLevel="0" collapsed="false">
      <c r="A503" s="2" t="n">
        <v>502</v>
      </c>
      <c r="B503" s="3" t="s">
        <v>1657</v>
      </c>
      <c r="C503" s="3" t="s">
        <v>120</v>
      </c>
      <c r="D503" s="4"/>
      <c r="E503" s="3"/>
      <c r="F503" s="3" t="s">
        <v>19</v>
      </c>
      <c r="G503" s="3" t="s">
        <v>1658</v>
      </c>
      <c r="H503" s="8" t="s">
        <v>1659</v>
      </c>
      <c r="I503" s="4" t="s">
        <v>521</v>
      </c>
      <c r="J503" s="5" t="s">
        <v>20</v>
      </c>
      <c r="K503" s="6"/>
      <c r="L503" s="5"/>
      <c r="M503" s="5"/>
      <c r="N503" s="6"/>
      <c r="O503" s="7"/>
      <c r="P503" s="8" t="s">
        <v>21</v>
      </c>
      <c r="Q503" s="8" t="s">
        <v>22</v>
      </c>
    </row>
    <row r="504" customFormat="false" ht="23.85" hidden="false" customHeight="false" outlineLevel="0" collapsed="false">
      <c r="A504" s="2" t="n">
        <v>503</v>
      </c>
      <c r="B504" s="3" t="s">
        <v>1660</v>
      </c>
      <c r="C504" s="3" t="s">
        <v>120</v>
      </c>
      <c r="D504" s="4"/>
      <c r="E504" s="3"/>
      <c r="F504" s="3" t="s">
        <v>19</v>
      </c>
      <c r="G504" s="3" t="s">
        <v>1661</v>
      </c>
      <c r="H504" s="8" t="s">
        <v>1662</v>
      </c>
      <c r="I504" s="4" t="s">
        <v>1663</v>
      </c>
      <c r="J504" s="5" t="s">
        <v>20</v>
      </c>
      <c r="K504" s="6"/>
      <c r="L504" s="5"/>
      <c r="M504" s="5"/>
      <c r="N504" s="6"/>
      <c r="O504" s="7"/>
      <c r="P504" s="8" t="s">
        <v>21</v>
      </c>
      <c r="Q504" s="8" t="s">
        <v>22</v>
      </c>
    </row>
    <row r="505" customFormat="false" ht="15" hidden="false" customHeight="false" outlineLevel="0" collapsed="false">
      <c r="A505" s="2" t="n">
        <v>504</v>
      </c>
      <c r="B505" s="3" t="s">
        <v>1664</v>
      </c>
      <c r="C505" s="3" t="s">
        <v>126</v>
      </c>
      <c r="D505" s="4"/>
      <c r="E505" s="3"/>
      <c r="F505" s="3" t="s">
        <v>19</v>
      </c>
      <c r="G505" s="3" t="s">
        <v>1665</v>
      </c>
      <c r="H505" s="3"/>
      <c r="I505" s="4" t="s">
        <v>1666</v>
      </c>
      <c r="J505" s="5" t="s">
        <v>20</v>
      </c>
      <c r="K505" s="6"/>
      <c r="L505" s="5"/>
      <c r="M505" s="5"/>
      <c r="N505" s="6"/>
      <c r="O505" s="7"/>
      <c r="P505" s="8" t="s">
        <v>21</v>
      </c>
      <c r="Q505" s="8" t="s">
        <v>22</v>
      </c>
    </row>
    <row r="506" customFormat="false" ht="15" hidden="false" customHeight="false" outlineLevel="0" collapsed="false">
      <c r="A506" s="2" t="n">
        <v>505</v>
      </c>
      <c r="B506" s="3" t="s">
        <v>1667</v>
      </c>
      <c r="C506" s="3" t="s">
        <v>120</v>
      </c>
      <c r="D506" s="4"/>
      <c r="E506" s="3"/>
      <c r="F506" s="3" t="s">
        <v>19</v>
      </c>
      <c r="G506" s="3" t="s">
        <v>1668</v>
      </c>
      <c r="H506" s="8" t="s">
        <v>1669</v>
      </c>
      <c r="I506" s="4" t="s">
        <v>1670</v>
      </c>
      <c r="J506" s="5" t="s">
        <v>20</v>
      </c>
      <c r="K506" s="6"/>
      <c r="L506" s="5"/>
      <c r="M506" s="5"/>
      <c r="N506" s="6"/>
      <c r="O506" s="7"/>
      <c r="P506" s="8" t="s">
        <v>21</v>
      </c>
      <c r="Q506" s="8" t="s">
        <v>22</v>
      </c>
    </row>
    <row r="507" customFormat="false" ht="15" hidden="false" customHeight="false" outlineLevel="0" collapsed="false">
      <c r="A507" s="2" t="n">
        <v>506</v>
      </c>
      <c r="B507" s="3" t="s">
        <v>1671</v>
      </c>
      <c r="C507" s="3" t="s">
        <v>1672</v>
      </c>
      <c r="D507" s="4"/>
      <c r="E507" s="3"/>
      <c r="F507" s="3" t="s">
        <v>19</v>
      </c>
      <c r="G507" s="3" t="s">
        <v>1673</v>
      </c>
      <c r="H507" s="8" t="s">
        <v>1674</v>
      </c>
      <c r="I507" s="4" t="s">
        <v>1675</v>
      </c>
      <c r="J507" s="5" t="s">
        <v>20</v>
      </c>
      <c r="K507" s="6"/>
      <c r="L507" s="5"/>
      <c r="M507" s="5"/>
      <c r="N507" s="6"/>
      <c r="O507" s="7"/>
      <c r="P507" s="8" t="s">
        <v>21</v>
      </c>
      <c r="Q507" s="8" t="s">
        <v>22</v>
      </c>
    </row>
    <row r="508" customFormat="false" ht="15" hidden="false" customHeight="false" outlineLevel="0" collapsed="false">
      <c r="A508" s="2" t="n">
        <v>507</v>
      </c>
      <c r="B508" s="3" t="s">
        <v>1676</v>
      </c>
      <c r="C508" s="3" t="s">
        <v>120</v>
      </c>
      <c r="D508" s="4"/>
      <c r="E508" s="3"/>
      <c r="F508" s="3" t="s">
        <v>19</v>
      </c>
      <c r="G508" s="3"/>
      <c r="H508" s="8" t="s">
        <v>1677</v>
      </c>
      <c r="I508" s="4" t="s">
        <v>1678</v>
      </c>
      <c r="J508" s="5" t="s">
        <v>20</v>
      </c>
      <c r="K508" s="6"/>
      <c r="L508" s="5"/>
      <c r="M508" s="5"/>
      <c r="N508" s="6"/>
      <c r="O508" s="7"/>
      <c r="P508" s="8" t="s">
        <v>21</v>
      </c>
      <c r="Q508" s="8" t="s">
        <v>22</v>
      </c>
    </row>
    <row r="509" customFormat="false" ht="15" hidden="false" customHeight="false" outlineLevel="0" collapsed="false">
      <c r="A509" s="2" t="n">
        <v>508</v>
      </c>
      <c r="B509" s="3" t="s">
        <v>1679</v>
      </c>
      <c r="C509" s="3" t="s">
        <v>126</v>
      </c>
      <c r="D509" s="4"/>
      <c r="E509" s="3"/>
      <c r="F509" s="3" t="s">
        <v>19</v>
      </c>
      <c r="G509" s="3" t="s">
        <v>1680</v>
      </c>
      <c r="H509" s="3"/>
      <c r="I509" s="4" t="s">
        <v>1681</v>
      </c>
      <c r="J509" s="5" t="s">
        <v>20</v>
      </c>
      <c r="K509" s="6"/>
      <c r="L509" s="5"/>
      <c r="M509" s="5"/>
      <c r="N509" s="6"/>
      <c r="O509" s="7"/>
      <c r="P509" s="8" t="s">
        <v>21</v>
      </c>
      <c r="Q509" s="8" t="s">
        <v>22</v>
      </c>
    </row>
    <row r="510" customFormat="false" ht="23.85" hidden="false" customHeight="false" outlineLevel="0" collapsed="false">
      <c r="A510" s="2" t="n">
        <v>509</v>
      </c>
      <c r="B510" s="3" t="s">
        <v>1682</v>
      </c>
      <c r="C510" s="3" t="s">
        <v>120</v>
      </c>
      <c r="D510" s="4"/>
      <c r="E510" s="3"/>
      <c r="F510" s="3" t="s">
        <v>19</v>
      </c>
      <c r="G510" s="3" t="s">
        <v>1683</v>
      </c>
      <c r="H510" s="8" t="s">
        <v>1684</v>
      </c>
      <c r="I510" s="4" t="s">
        <v>1685</v>
      </c>
      <c r="J510" s="5" t="s">
        <v>20</v>
      </c>
      <c r="K510" s="6"/>
      <c r="L510" s="5"/>
      <c r="M510" s="5"/>
      <c r="N510" s="6"/>
      <c r="O510" s="7"/>
      <c r="P510" s="8" t="s">
        <v>21</v>
      </c>
      <c r="Q510" s="8" t="s">
        <v>22</v>
      </c>
    </row>
    <row r="511" customFormat="false" ht="15" hidden="false" customHeight="false" outlineLevel="0" collapsed="false">
      <c r="A511" s="2" t="n">
        <v>510</v>
      </c>
      <c r="B511" s="3" t="s">
        <v>1686</v>
      </c>
      <c r="C511" s="3" t="s">
        <v>120</v>
      </c>
      <c r="D511" s="4" t="s">
        <v>714</v>
      </c>
      <c r="E511" s="3" t="s">
        <v>93</v>
      </c>
      <c r="F511" s="3" t="s">
        <v>19</v>
      </c>
      <c r="G511" s="3" t="s">
        <v>1687</v>
      </c>
      <c r="H511" s="8" t="s">
        <v>1688</v>
      </c>
      <c r="I511" s="4" t="s">
        <v>1689</v>
      </c>
      <c r="J511" s="5" t="s">
        <v>20</v>
      </c>
      <c r="K511" s="6"/>
      <c r="L511" s="5"/>
      <c r="M511" s="5"/>
      <c r="N511" s="6"/>
      <c r="O511" s="7"/>
      <c r="P511" s="8" t="s">
        <v>21</v>
      </c>
      <c r="Q511" s="8" t="s">
        <v>22</v>
      </c>
    </row>
    <row r="512" customFormat="false" ht="15" hidden="false" customHeight="false" outlineLevel="0" collapsed="false">
      <c r="A512" s="2" t="n">
        <v>511</v>
      </c>
      <c r="B512" s="3" t="s">
        <v>1690</v>
      </c>
      <c r="C512" s="3" t="s">
        <v>62</v>
      </c>
      <c r="D512" s="4"/>
      <c r="E512" s="3"/>
      <c r="F512" s="3" t="s">
        <v>19</v>
      </c>
      <c r="G512" s="3"/>
      <c r="H512" s="8" t="s">
        <v>1691</v>
      </c>
      <c r="I512" s="4"/>
      <c r="J512" s="5" t="s">
        <v>20</v>
      </c>
      <c r="K512" s="6"/>
      <c r="L512" s="5"/>
      <c r="M512" s="5"/>
      <c r="N512" s="6"/>
      <c r="O512" s="7"/>
      <c r="P512" s="8" t="s">
        <v>21</v>
      </c>
      <c r="Q512" s="8" t="s">
        <v>22</v>
      </c>
    </row>
    <row r="513" customFormat="false" ht="15" hidden="false" customHeight="false" outlineLevel="0" collapsed="false">
      <c r="A513" s="2" t="n">
        <v>512</v>
      </c>
      <c r="B513" s="3" t="s">
        <v>1692</v>
      </c>
      <c r="C513" s="3" t="s">
        <v>1693</v>
      </c>
      <c r="D513" s="4"/>
      <c r="E513" s="3"/>
      <c r="F513" s="3" t="s">
        <v>19</v>
      </c>
      <c r="G513" s="3"/>
      <c r="H513" s="3"/>
      <c r="I513" s="4"/>
      <c r="J513" s="5" t="s">
        <v>20</v>
      </c>
      <c r="K513" s="6"/>
      <c r="L513" s="5"/>
      <c r="M513" s="5"/>
      <c r="N513" s="6"/>
      <c r="O513" s="7"/>
      <c r="P513" s="8" t="s">
        <v>21</v>
      </c>
      <c r="Q513" s="8" t="s">
        <v>22</v>
      </c>
    </row>
    <row r="514" customFormat="false" ht="15" hidden="false" customHeight="false" outlineLevel="0" collapsed="false">
      <c r="A514" s="2" t="n">
        <v>513</v>
      </c>
      <c r="B514" s="3" t="s">
        <v>1694</v>
      </c>
      <c r="C514" s="3" t="s">
        <v>601</v>
      </c>
      <c r="D514" s="4" t="s">
        <v>1695</v>
      </c>
      <c r="E514" s="3" t="s">
        <v>93</v>
      </c>
      <c r="F514" s="3" t="s">
        <v>19</v>
      </c>
      <c r="G514" s="3"/>
      <c r="H514" s="3"/>
      <c r="I514" s="4"/>
      <c r="J514" s="5" t="s">
        <v>20</v>
      </c>
      <c r="K514" s="6"/>
      <c r="L514" s="5"/>
      <c r="M514" s="5"/>
      <c r="N514" s="6"/>
      <c r="O514" s="7"/>
      <c r="P514" s="8" t="s">
        <v>21</v>
      </c>
      <c r="Q514" s="8" t="s">
        <v>22</v>
      </c>
    </row>
    <row r="515" customFormat="false" ht="15" hidden="false" customHeight="false" outlineLevel="0" collapsed="false">
      <c r="A515" s="2" t="n">
        <v>514</v>
      </c>
      <c r="B515" s="3" t="s">
        <v>1696</v>
      </c>
      <c r="C515" s="3"/>
      <c r="D515" s="4"/>
      <c r="E515" s="3"/>
      <c r="F515" s="3" t="s">
        <v>19</v>
      </c>
      <c r="G515" s="3"/>
      <c r="H515" s="3"/>
      <c r="I515" s="4"/>
      <c r="J515" s="5" t="s">
        <v>20</v>
      </c>
      <c r="K515" s="6"/>
      <c r="L515" s="5"/>
      <c r="M515" s="5"/>
      <c r="N515" s="6"/>
      <c r="O515" s="7"/>
      <c r="P515" s="8" t="s">
        <v>21</v>
      </c>
      <c r="Q515" s="8" t="s">
        <v>22</v>
      </c>
    </row>
    <row r="516" customFormat="false" ht="15" hidden="false" customHeight="false" outlineLevel="0" collapsed="false">
      <c r="A516" s="2" t="n">
        <v>515</v>
      </c>
      <c r="B516" s="3" t="s">
        <v>1697</v>
      </c>
      <c r="C516" s="3"/>
      <c r="D516" s="4" t="s">
        <v>1698</v>
      </c>
      <c r="E516" s="3" t="s">
        <v>93</v>
      </c>
      <c r="F516" s="3" t="s">
        <v>19</v>
      </c>
      <c r="G516" s="3"/>
      <c r="H516" s="3"/>
      <c r="I516" s="4"/>
      <c r="J516" s="5" t="s">
        <v>20</v>
      </c>
      <c r="K516" s="6"/>
      <c r="L516" s="5"/>
      <c r="M516" s="5"/>
      <c r="N516" s="6"/>
      <c r="O516" s="7"/>
      <c r="P516" s="8" t="s">
        <v>21</v>
      </c>
      <c r="Q516" s="8" t="s">
        <v>22</v>
      </c>
    </row>
    <row r="517" customFormat="false" ht="23.85" hidden="false" customHeight="false" outlineLevel="0" collapsed="false">
      <c r="A517" s="2" t="n">
        <v>516</v>
      </c>
      <c r="B517" s="3" t="s">
        <v>1699</v>
      </c>
      <c r="C517" s="3" t="s">
        <v>120</v>
      </c>
      <c r="D517" s="4"/>
      <c r="E517" s="3"/>
      <c r="F517" s="3" t="s">
        <v>19</v>
      </c>
      <c r="G517" s="3" t="s">
        <v>1700</v>
      </c>
      <c r="H517" s="8" t="s">
        <v>1701</v>
      </c>
      <c r="I517" s="4" t="s">
        <v>1702</v>
      </c>
      <c r="J517" s="5" t="s">
        <v>20</v>
      </c>
      <c r="K517" s="6"/>
      <c r="L517" s="5"/>
      <c r="M517" s="5"/>
      <c r="N517" s="6"/>
      <c r="O517" s="7"/>
      <c r="P517" s="8" t="s">
        <v>21</v>
      </c>
      <c r="Q517" s="8" t="s">
        <v>22</v>
      </c>
    </row>
    <row r="518" customFormat="false" ht="15" hidden="false" customHeight="false" outlineLevel="0" collapsed="false">
      <c r="A518" s="2" t="n">
        <v>517</v>
      </c>
      <c r="B518" s="3" t="s">
        <v>1703</v>
      </c>
      <c r="C518" s="3" t="s">
        <v>120</v>
      </c>
      <c r="D518" s="4"/>
      <c r="E518" s="3"/>
      <c r="F518" s="3" t="s">
        <v>19</v>
      </c>
      <c r="G518" s="3" t="s">
        <v>1704</v>
      </c>
      <c r="H518" s="3"/>
      <c r="I518" s="4"/>
      <c r="J518" s="5" t="s">
        <v>20</v>
      </c>
      <c r="K518" s="6"/>
      <c r="L518" s="5"/>
      <c r="M518" s="5"/>
      <c r="N518" s="6"/>
      <c r="O518" s="7"/>
      <c r="P518" s="8" t="s">
        <v>21</v>
      </c>
      <c r="Q518" s="8" t="s">
        <v>22</v>
      </c>
    </row>
    <row r="519" customFormat="false" ht="15" hidden="false" customHeight="false" outlineLevel="0" collapsed="false">
      <c r="A519" s="2" t="n">
        <v>518</v>
      </c>
      <c r="B519" s="3" t="s">
        <v>1705</v>
      </c>
      <c r="C519" s="3"/>
      <c r="D519" s="4"/>
      <c r="E519" s="3"/>
      <c r="F519" s="3" t="s">
        <v>19</v>
      </c>
      <c r="G519" s="3"/>
      <c r="H519" s="3"/>
      <c r="I519" s="4" t="s">
        <v>1706</v>
      </c>
      <c r="J519" s="5" t="s">
        <v>20</v>
      </c>
      <c r="K519" s="6"/>
      <c r="L519" s="5"/>
      <c r="M519" s="5"/>
      <c r="N519" s="6"/>
      <c r="O519" s="7"/>
      <c r="P519" s="8" t="s">
        <v>21</v>
      </c>
      <c r="Q519" s="8" t="s">
        <v>22</v>
      </c>
    </row>
    <row r="520" customFormat="false" ht="15" hidden="false" customHeight="false" outlineLevel="0" collapsed="false">
      <c r="A520" s="2" t="n">
        <v>519</v>
      </c>
      <c r="B520" s="3" t="s">
        <v>1707</v>
      </c>
      <c r="C520" s="3"/>
      <c r="D520" s="4"/>
      <c r="E520" s="3"/>
      <c r="F520" s="3" t="s">
        <v>19</v>
      </c>
      <c r="G520" s="3"/>
      <c r="H520" s="3"/>
      <c r="I520" s="4"/>
      <c r="J520" s="5" t="s">
        <v>20</v>
      </c>
      <c r="K520" s="6"/>
      <c r="L520" s="5"/>
      <c r="M520" s="5"/>
      <c r="N520" s="6"/>
      <c r="O520" s="7"/>
      <c r="P520" s="8" t="s">
        <v>21</v>
      </c>
      <c r="Q520" s="8" t="s">
        <v>22</v>
      </c>
    </row>
    <row r="521" customFormat="false" ht="15" hidden="false" customHeight="false" outlineLevel="0" collapsed="false">
      <c r="A521" s="2" t="n">
        <v>520</v>
      </c>
      <c r="B521" s="3" t="s">
        <v>1708</v>
      </c>
      <c r="C521" s="3" t="s">
        <v>601</v>
      </c>
      <c r="D521" s="4"/>
      <c r="E521" s="3"/>
      <c r="F521" s="3" t="s">
        <v>19</v>
      </c>
      <c r="G521" s="3" t="s">
        <v>603</v>
      </c>
      <c r="H521" s="3"/>
      <c r="I521" s="4" t="s">
        <v>1709</v>
      </c>
      <c r="J521" s="5" t="s">
        <v>20</v>
      </c>
      <c r="K521" s="6"/>
      <c r="L521" s="5"/>
      <c r="M521" s="5"/>
      <c r="N521" s="6"/>
      <c r="O521" s="7"/>
      <c r="P521" s="8" t="s">
        <v>21</v>
      </c>
      <c r="Q521" s="8" t="s">
        <v>22</v>
      </c>
    </row>
    <row r="522" customFormat="false" ht="15" hidden="false" customHeight="false" outlineLevel="0" collapsed="false">
      <c r="A522" s="2" t="n">
        <v>521</v>
      </c>
      <c r="B522" s="3" t="s">
        <v>1710</v>
      </c>
      <c r="C522" s="3" t="s">
        <v>120</v>
      </c>
      <c r="D522" s="4" t="s">
        <v>1711</v>
      </c>
      <c r="E522" s="3" t="s">
        <v>148</v>
      </c>
      <c r="F522" s="3" t="s">
        <v>19</v>
      </c>
      <c r="G522" s="3" t="s">
        <v>1712</v>
      </c>
      <c r="H522" s="8" t="s">
        <v>1713</v>
      </c>
      <c r="I522" s="4" t="s">
        <v>1714</v>
      </c>
      <c r="J522" s="5" t="s">
        <v>20</v>
      </c>
      <c r="K522" s="6"/>
      <c r="L522" s="5"/>
      <c r="M522" s="5"/>
      <c r="N522" s="6"/>
      <c r="O522" s="7"/>
      <c r="P522" s="8" t="s">
        <v>21</v>
      </c>
      <c r="Q522" s="8" t="s">
        <v>22</v>
      </c>
    </row>
    <row r="523" customFormat="false" ht="15" hidden="false" customHeight="false" outlineLevel="0" collapsed="false">
      <c r="A523" s="2" t="n">
        <v>522</v>
      </c>
      <c r="B523" s="3" t="s">
        <v>1715</v>
      </c>
      <c r="C523" s="3" t="s">
        <v>711</v>
      </c>
      <c r="D523" s="4" t="s">
        <v>1716</v>
      </c>
      <c r="E523" s="3"/>
      <c r="F523" s="3" t="s">
        <v>19</v>
      </c>
      <c r="G523" s="3"/>
      <c r="H523" s="3"/>
      <c r="I523" s="4" t="s">
        <v>1717</v>
      </c>
      <c r="J523" s="5" t="s">
        <v>20</v>
      </c>
      <c r="K523" s="6"/>
      <c r="L523" s="5"/>
      <c r="M523" s="5"/>
      <c r="N523" s="6"/>
      <c r="O523" s="7"/>
      <c r="P523" s="8" t="s">
        <v>21</v>
      </c>
      <c r="Q523" s="8" t="s">
        <v>22</v>
      </c>
    </row>
    <row r="524" customFormat="false" ht="15" hidden="false" customHeight="false" outlineLevel="0" collapsed="false">
      <c r="A524" s="2" t="n">
        <v>523</v>
      </c>
      <c r="B524" s="3" t="s">
        <v>1718</v>
      </c>
      <c r="C524" s="3" t="s">
        <v>868</v>
      </c>
      <c r="D524" s="4"/>
      <c r="E524" s="3"/>
      <c r="F524" s="3" t="s">
        <v>19</v>
      </c>
      <c r="G524" s="3" t="s">
        <v>1719</v>
      </c>
      <c r="H524" s="8" t="s">
        <v>1720</v>
      </c>
      <c r="I524" s="4" t="s">
        <v>1721</v>
      </c>
      <c r="J524" s="5" t="s">
        <v>20</v>
      </c>
      <c r="K524" s="6"/>
      <c r="L524" s="5"/>
      <c r="M524" s="5"/>
      <c r="N524" s="6"/>
      <c r="O524" s="7"/>
      <c r="P524" s="8" t="s">
        <v>21</v>
      </c>
      <c r="Q524" s="8" t="s">
        <v>22</v>
      </c>
    </row>
    <row r="525" customFormat="false" ht="15" hidden="false" customHeight="false" outlineLevel="0" collapsed="false">
      <c r="A525" s="2" t="n">
        <v>524</v>
      </c>
      <c r="B525" s="3" t="s">
        <v>1722</v>
      </c>
      <c r="C525" s="3" t="s">
        <v>120</v>
      </c>
      <c r="D525" s="4"/>
      <c r="E525" s="3"/>
      <c r="F525" s="3" t="s">
        <v>19</v>
      </c>
      <c r="G525" s="3" t="s">
        <v>1723</v>
      </c>
      <c r="H525" s="8" t="s">
        <v>1724</v>
      </c>
      <c r="I525" s="4" t="s">
        <v>1725</v>
      </c>
      <c r="J525" s="5" t="s">
        <v>20</v>
      </c>
      <c r="K525" s="6"/>
      <c r="L525" s="5"/>
      <c r="M525" s="5"/>
      <c r="N525" s="6"/>
      <c r="O525" s="7"/>
      <c r="P525" s="8" t="s">
        <v>21</v>
      </c>
      <c r="Q525" s="8" t="s">
        <v>22</v>
      </c>
    </row>
    <row r="526" customFormat="false" ht="15" hidden="false" customHeight="false" outlineLevel="0" collapsed="false">
      <c r="A526" s="2" t="n">
        <v>525</v>
      </c>
      <c r="B526" s="3" t="s">
        <v>1726</v>
      </c>
      <c r="C526" s="3" t="s">
        <v>126</v>
      </c>
      <c r="D526" s="4"/>
      <c r="E526" s="3"/>
      <c r="F526" s="3" t="s">
        <v>19</v>
      </c>
      <c r="G526" s="3" t="s">
        <v>1727</v>
      </c>
      <c r="H526" s="3"/>
      <c r="I526" s="4"/>
      <c r="J526" s="5" t="s">
        <v>20</v>
      </c>
      <c r="K526" s="6"/>
      <c r="L526" s="5"/>
      <c r="M526" s="5"/>
      <c r="N526" s="6"/>
      <c r="O526" s="7"/>
      <c r="P526" s="8" t="s">
        <v>21</v>
      </c>
      <c r="Q526" s="8" t="s">
        <v>22</v>
      </c>
    </row>
    <row r="527" customFormat="false" ht="23.85" hidden="false" customHeight="false" outlineLevel="0" collapsed="false">
      <c r="A527" s="2" t="n">
        <v>526</v>
      </c>
      <c r="B527" s="3" t="s">
        <v>1728</v>
      </c>
      <c r="C527" s="3" t="s">
        <v>1729</v>
      </c>
      <c r="D527" s="4"/>
      <c r="E527" s="3"/>
      <c r="F527" s="3" t="s">
        <v>19</v>
      </c>
      <c r="G527" s="3" t="s">
        <v>1730</v>
      </c>
      <c r="H527" s="8" t="s">
        <v>1731</v>
      </c>
      <c r="I527" s="4" t="s">
        <v>1732</v>
      </c>
      <c r="J527" s="5" t="s">
        <v>20</v>
      </c>
      <c r="K527" s="6"/>
      <c r="L527" s="5"/>
      <c r="M527" s="5"/>
      <c r="N527" s="6"/>
      <c r="O527" s="7"/>
      <c r="P527" s="8" t="s">
        <v>21</v>
      </c>
      <c r="Q527" s="8" t="s">
        <v>22</v>
      </c>
    </row>
    <row r="528" customFormat="false" ht="15" hidden="false" customHeight="false" outlineLevel="0" collapsed="false">
      <c r="A528" s="2" t="n">
        <v>527</v>
      </c>
      <c r="B528" s="3" t="s">
        <v>1733</v>
      </c>
      <c r="C528" s="3" t="s">
        <v>181</v>
      </c>
      <c r="D528" s="4"/>
      <c r="E528" s="3" t="s">
        <v>93</v>
      </c>
      <c r="F528" s="3" t="s">
        <v>19</v>
      </c>
      <c r="G528" s="3" t="s">
        <v>1734</v>
      </c>
      <c r="H528" s="8" t="s">
        <v>1735</v>
      </c>
      <c r="I528" s="4" t="s">
        <v>1736</v>
      </c>
      <c r="J528" s="5" t="s">
        <v>20</v>
      </c>
      <c r="K528" s="6"/>
      <c r="L528" s="5"/>
      <c r="M528" s="5"/>
      <c r="N528" s="6"/>
      <c r="O528" s="7"/>
      <c r="P528" s="8" t="s">
        <v>21</v>
      </c>
      <c r="Q528" s="8" t="s">
        <v>22</v>
      </c>
    </row>
    <row r="529" customFormat="false" ht="15" hidden="false" customHeight="false" outlineLevel="0" collapsed="false">
      <c r="A529" s="2" t="n">
        <v>528</v>
      </c>
      <c r="B529" s="3" t="s">
        <v>1737</v>
      </c>
      <c r="C529" s="3" t="s">
        <v>51</v>
      </c>
      <c r="D529" s="4"/>
      <c r="E529" s="3"/>
      <c r="F529" s="3" t="s">
        <v>19</v>
      </c>
      <c r="G529" s="3" t="s">
        <v>1738</v>
      </c>
      <c r="H529" s="8" t="s">
        <v>1739</v>
      </c>
      <c r="I529" s="4" t="s">
        <v>1740</v>
      </c>
      <c r="J529" s="5" t="s">
        <v>20</v>
      </c>
      <c r="K529" s="6"/>
      <c r="L529" s="5"/>
      <c r="M529" s="5"/>
      <c r="N529" s="6"/>
      <c r="O529" s="7"/>
      <c r="P529" s="8" t="s">
        <v>21</v>
      </c>
      <c r="Q529" s="8" t="s">
        <v>22</v>
      </c>
    </row>
    <row r="530" customFormat="false" ht="15" hidden="false" customHeight="false" outlineLevel="0" collapsed="false">
      <c r="A530" s="2" t="n">
        <v>529</v>
      </c>
      <c r="B530" s="3" t="s">
        <v>1741</v>
      </c>
      <c r="C530" s="3" t="s">
        <v>601</v>
      </c>
      <c r="D530" s="4"/>
      <c r="E530" s="3"/>
      <c r="F530" s="3" t="s">
        <v>19</v>
      </c>
      <c r="G530" s="3" t="s">
        <v>1742</v>
      </c>
      <c r="H530" s="8" t="s">
        <v>1743</v>
      </c>
      <c r="I530" s="4"/>
      <c r="J530" s="5" t="s">
        <v>20</v>
      </c>
      <c r="K530" s="6"/>
      <c r="L530" s="5"/>
      <c r="M530" s="5"/>
      <c r="N530" s="6"/>
      <c r="O530" s="7"/>
      <c r="P530" s="8" t="s">
        <v>21</v>
      </c>
      <c r="Q530" s="8" t="s">
        <v>22</v>
      </c>
    </row>
    <row r="531" customFormat="false" ht="15" hidden="false" customHeight="false" outlineLevel="0" collapsed="false">
      <c r="A531" s="2" t="n">
        <v>530</v>
      </c>
      <c r="B531" s="3" t="s">
        <v>1744</v>
      </c>
      <c r="C531" s="3" t="s">
        <v>211</v>
      </c>
      <c r="D531" s="4"/>
      <c r="E531" s="3"/>
      <c r="F531" s="3" t="s">
        <v>19</v>
      </c>
      <c r="G531" s="3"/>
      <c r="H531" s="3"/>
      <c r="I531" s="4"/>
      <c r="J531" s="5" t="s">
        <v>20</v>
      </c>
      <c r="K531" s="6"/>
      <c r="L531" s="5"/>
      <c r="M531" s="5"/>
      <c r="N531" s="6"/>
      <c r="O531" s="7"/>
      <c r="P531" s="8" t="s">
        <v>21</v>
      </c>
      <c r="Q531" s="8" t="s">
        <v>22</v>
      </c>
    </row>
    <row r="532" customFormat="false" ht="15" hidden="false" customHeight="false" outlineLevel="0" collapsed="false">
      <c r="A532" s="2" t="n">
        <v>531</v>
      </c>
      <c r="B532" s="3" t="s">
        <v>1745</v>
      </c>
      <c r="C532" s="3"/>
      <c r="D532" s="4" t="s">
        <v>1746</v>
      </c>
      <c r="E532" s="3" t="s">
        <v>148</v>
      </c>
      <c r="F532" s="3" t="s">
        <v>19</v>
      </c>
      <c r="G532" s="3" t="s">
        <v>1747</v>
      </c>
      <c r="H532" s="8" t="s">
        <v>1748</v>
      </c>
      <c r="I532" s="4"/>
      <c r="J532" s="5" t="s">
        <v>20</v>
      </c>
      <c r="K532" s="6"/>
      <c r="L532" s="5"/>
      <c r="M532" s="5"/>
      <c r="N532" s="6"/>
      <c r="O532" s="7"/>
      <c r="P532" s="8" t="s">
        <v>21</v>
      </c>
      <c r="Q532" s="8" t="s">
        <v>22</v>
      </c>
    </row>
    <row r="533" customFormat="false" ht="15" hidden="false" customHeight="false" outlineLevel="0" collapsed="false">
      <c r="A533" s="2" t="n">
        <v>532</v>
      </c>
      <c r="B533" s="3" t="s">
        <v>1749</v>
      </c>
      <c r="C533" s="3" t="s">
        <v>601</v>
      </c>
      <c r="D533" s="4"/>
      <c r="E533" s="3"/>
      <c r="F533" s="3" t="s">
        <v>19</v>
      </c>
      <c r="G533" s="3"/>
      <c r="H533" s="3"/>
      <c r="I533" s="4"/>
      <c r="J533" s="5" t="s">
        <v>20</v>
      </c>
      <c r="K533" s="6"/>
      <c r="L533" s="5"/>
      <c r="M533" s="5"/>
      <c r="N533" s="6"/>
      <c r="O533" s="7"/>
      <c r="P533" s="8" t="s">
        <v>21</v>
      </c>
      <c r="Q533" s="8" t="s">
        <v>22</v>
      </c>
    </row>
    <row r="534" customFormat="false" ht="15" hidden="false" customHeight="false" outlineLevel="0" collapsed="false">
      <c r="A534" s="2" t="n">
        <v>533</v>
      </c>
      <c r="B534" s="3" t="s">
        <v>1750</v>
      </c>
      <c r="C534" s="3" t="s">
        <v>1751</v>
      </c>
      <c r="D534" s="4"/>
      <c r="E534" s="3"/>
      <c r="F534" s="3" t="s">
        <v>19</v>
      </c>
      <c r="G534" s="3" t="s">
        <v>1752</v>
      </c>
      <c r="H534" s="3"/>
      <c r="I534" s="4" t="s">
        <v>1753</v>
      </c>
      <c r="J534" s="5" t="s">
        <v>20</v>
      </c>
      <c r="K534" s="6"/>
      <c r="L534" s="5"/>
      <c r="M534" s="5"/>
      <c r="N534" s="6"/>
      <c r="O534" s="7"/>
      <c r="P534" s="8" t="s">
        <v>21</v>
      </c>
      <c r="Q534" s="8" t="s">
        <v>22</v>
      </c>
    </row>
    <row r="535" customFormat="false" ht="15" hidden="false" customHeight="false" outlineLevel="0" collapsed="false">
      <c r="A535" s="2" t="n">
        <v>534</v>
      </c>
      <c r="B535" s="3" t="s">
        <v>1754</v>
      </c>
      <c r="C535" s="3"/>
      <c r="D535" s="4"/>
      <c r="E535" s="3"/>
      <c r="F535" s="3" t="s">
        <v>19</v>
      </c>
      <c r="G535" s="3"/>
      <c r="H535" s="3"/>
      <c r="I535" s="4"/>
      <c r="J535" s="5" t="s">
        <v>20</v>
      </c>
      <c r="K535" s="6"/>
      <c r="L535" s="5"/>
      <c r="M535" s="5"/>
      <c r="N535" s="6"/>
      <c r="O535" s="7"/>
      <c r="P535" s="8" t="s">
        <v>21</v>
      </c>
      <c r="Q535" s="8" t="s">
        <v>22</v>
      </c>
    </row>
    <row r="536" customFormat="false" ht="15" hidden="false" customHeight="false" outlineLevel="0" collapsed="false">
      <c r="A536" s="2" t="n">
        <v>535</v>
      </c>
      <c r="B536" s="3" t="s">
        <v>1755</v>
      </c>
      <c r="C536" s="3"/>
      <c r="D536" s="4"/>
      <c r="E536" s="3"/>
      <c r="F536" s="3" t="s">
        <v>19</v>
      </c>
      <c r="G536" s="3"/>
      <c r="H536" s="3"/>
      <c r="I536" s="4"/>
      <c r="J536" s="5" t="s">
        <v>20</v>
      </c>
      <c r="K536" s="6"/>
      <c r="L536" s="5"/>
      <c r="M536" s="5"/>
      <c r="N536" s="6"/>
      <c r="O536" s="7"/>
      <c r="P536" s="8" t="s">
        <v>21</v>
      </c>
      <c r="Q536" s="8" t="s">
        <v>22</v>
      </c>
    </row>
    <row r="537" customFormat="false" ht="15" hidden="false" customHeight="false" outlineLevel="0" collapsed="false">
      <c r="A537" s="2" t="n">
        <v>536</v>
      </c>
      <c r="B537" s="3" t="s">
        <v>1756</v>
      </c>
      <c r="C537" s="3" t="s">
        <v>1757</v>
      </c>
      <c r="D537" s="4"/>
      <c r="E537" s="3"/>
      <c r="F537" s="3" t="s">
        <v>19</v>
      </c>
      <c r="G537" s="3"/>
      <c r="H537" s="3"/>
      <c r="I537" s="4" t="s">
        <v>1758</v>
      </c>
      <c r="J537" s="5" t="s">
        <v>20</v>
      </c>
      <c r="K537" s="6"/>
      <c r="L537" s="5"/>
      <c r="M537" s="5"/>
      <c r="N537" s="6"/>
      <c r="O537" s="7"/>
      <c r="P537" s="8" t="s">
        <v>21</v>
      </c>
      <c r="Q537" s="8" t="s">
        <v>22</v>
      </c>
    </row>
    <row r="538" customFormat="false" ht="15" hidden="false" customHeight="false" outlineLevel="0" collapsed="false">
      <c r="A538" s="2" t="n">
        <v>537</v>
      </c>
      <c r="B538" s="3" t="s">
        <v>1759</v>
      </c>
      <c r="C538" s="3" t="s">
        <v>109</v>
      </c>
      <c r="D538" s="4"/>
      <c r="E538" s="3"/>
      <c r="F538" s="3" t="s">
        <v>19</v>
      </c>
      <c r="G538" s="3" t="s">
        <v>1760</v>
      </c>
      <c r="H538" s="8" t="s">
        <v>1761</v>
      </c>
      <c r="I538" s="4" t="s">
        <v>1280</v>
      </c>
      <c r="J538" s="5" t="s">
        <v>20</v>
      </c>
      <c r="K538" s="6"/>
      <c r="L538" s="5"/>
      <c r="M538" s="5"/>
      <c r="N538" s="6"/>
      <c r="O538" s="7"/>
      <c r="P538" s="8" t="s">
        <v>21</v>
      </c>
      <c r="Q538" s="8" t="s">
        <v>22</v>
      </c>
    </row>
    <row r="539" customFormat="false" ht="23.85" hidden="false" customHeight="false" outlineLevel="0" collapsed="false">
      <c r="A539" s="2" t="n">
        <v>538</v>
      </c>
      <c r="B539" s="3" t="s">
        <v>1762</v>
      </c>
      <c r="C539" s="3"/>
      <c r="D539" s="4"/>
      <c r="E539" s="3"/>
      <c r="F539" s="3" t="s">
        <v>19</v>
      </c>
      <c r="G539" s="3" t="s">
        <v>1763</v>
      </c>
      <c r="H539" s="3"/>
      <c r="I539" s="4" t="s">
        <v>1764</v>
      </c>
      <c r="J539" s="5" t="s">
        <v>20</v>
      </c>
      <c r="K539" s="6"/>
      <c r="L539" s="5"/>
      <c r="M539" s="5"/>
      <c r="N539" s="6"/>
      <c r="O539" s="7"/>
      <c r="P539" s="8" t="s">
        <v>21</v>
      </c>
      <c r="Q539" s="8" t="s">
        <v>22</v>
      </c>
    </row>
    <row r="540" customFormat="false" ht="15" hidden="false" customHeight="false" outlineLevel="0" collapsed="false">
      <c r="A540" s="2" t="n">
        <v>539</v>
      </c>
      <c r="B540" s="3" t="s">
        <v>1765</v>
      </c>
      <c r="C540" s="3"/>
      <c r="D540" s="4"/>
      <c r="E540" s="3"/>
      <c r="F540" s="3" t="s">
        <v>19</v>
      </c>
      <c r="G540" s="3" t="s">
        <v>1766</v>
      </c>
      <c r="H540" s="8" t="s">
        <v>1767</v>
      </c>
      <c r="I540" s="4"/>
      <c r="J540" s="5" t="s">
        <v>20</v>
      </c>
      <c r="K540" s="6"/>
      <c r="L540" s="5"/>
      <c r="M540" s="5"/>
      <c r="N540" s="6"/>
      <c r="O540" s="7"/>
      <c r="P540" s="8" t="s">
        <v>21</v>
      </c>
      <c r="Q540" s="8" t="s">
        <v>22</v>
      </c>
    </row>
    <row r="541" customFormat="false" ht="15" hidden="false" customHeight="false" outlineLevel="0" collapsed="false">
      <c r="A541" s="2" t="n">
        <v>540</v>
      </c>
      <c r="B541" s="3" t="s">
        <v>1768</v>
      </c>
      <c r="C541" s="3" t="s">
        <v>120</v>
      </c>
      <c r="D541" s="4"/>
      <c r="E541" s="3"/>
      <c r="F541" s="3" t="s">
        <v>19</v>
      </c>
      <c r="G541" s="3" t="s">
        <v>1769</v>
      </c>
      <c r="H541" s="8" t="s">
        <v>1770</v>
      </c>
      <c r="I541" s="4" t="s">
        <v>1771</v>
      </c>
      <c r="J541" s="5" t="s">
        <v>20</v>
      </c>
      <c r="K541" s="6"/>
      <c r="L541" s="5"/>
      <c r="M541" s="5"/>
      <c r="N541" s="6"/>
      <c r="O541" s="7"/>
      <c r="P541" s="8" t="s">
        <v>21</v>
      </c>
      <c r="Q541" s="8" t="s">
        <v>22</v>
      </c>
    </row>
    <row r="542" customFormat="false" ht="15" hidden="false" customHeight="false" outlineLevel="0" collapsed="false">
      <c r="A542" s="2" t="n">
        <v>541</v>
      </c>
      <c r="B542" s="3" t="s">
        <v>1772</v>
      </c>
      <c r="C542" s="3"/>
      <c r="D542" s="4"/>
      <c r="E542" s="3"/>
      <c r="F542" s="3" t="s">
        <v>19</v>
      </c>
      <c r="G542" s="3" t="s">
        <v>1773</v>
      </c>
      <c r="H542" s="3"/>
      <c r="I542" s="4"/>
      <c r="J542" s="5" t="s">
        <v>20</v>
      </c>
      <c r="K542" s="6"/>
      <c r="L542" s="5"/>
      <c r="M542" s="5"/>
      <c r="N542" s="6"/>
      <c r="O542" s="7"/>
      <c r="P542" s="8" t="s">
        <v>21</v>
      </c>
      <c r="Q542" s="8" t="s">
        <v>22</v>
      </c>
    </row>
    <row r="543" customFormat="false" ht="15" hidden="false" customHeight="false" outlineLevel="0" collapsed="false">
      <c r="A543" s="2" t="n">
        <v>542</v>
      </c>
      <c r="B543" s="3" t="s">
        <v>1774</v>
      </c>
      <c r="C543" s="3"/>
      <c r="D543" s="4"/>
      <c r="E543" s="3"/>
      <c r="F543" s="3" t="s">
        <v>19</v>
      </c>
      <c r="G543" s="3"/>
      <c r="H543" s="3"/>
      <c r="I543" s="4"/>
      <c r="J543" s="5" t="s">
        <v>20</v>
      </c>
      <c r="K543" s="6"/>
      <c r="L543" s="5"/>
      <c r="M543" s="5"/>
      <c r="N543" s="6"/>
      <c r="O543" s="7"/>
      <c r="P543" s="8" t="s">
        <v>21</v>
      </c>
      <c r="Q543" s="8" t="s">
        <v>22</v>
      </c>
    </row>
    <row r="544" customFormat="false" ht="15" hidden="false" customHeight="false" outlineLevel="0" collapsed="false">
      <c r="A544" s="2" t="n">
        <v>543</v>
      </c>
      <c r="B544" s="3" t="s">
        <v>1775</v>
      </c>
      <c r="C544" s="3" t="s">
        <v>120</v>
      </c>
      <c r="D544" s="4"/>
      <c r="E544" s="3"/>
      <c r="F544" s="3" t="s">
        <v>19</v>
      </c>
      <c r="G544" s="3"/>
      <c r="H544" s="3"/>
      <c r="I544" s="4"/>
      <c r="J544" s="5" t="s">
        <v>20</v>
      </c>
      <c r="K544" s="6"/>
      <c r="L544" s="5"/>
      <c r="M544" s="5"/>
      <c r="N544" s="6"/>
      <c r="O544" s="7"/>
      <c r="P544" s="8" t="s">
        <v>21</v>
      </c>
      <c r="Q544" s="8" t="s">
        <v>22</v>
      </c>
    </row>
    <row r="545" customFormat="false" ht="15" hidden="false" customHeight="false" outlineLevel="0" collapsed="false">
      <c r="A545" s="2" t="n">
        <v>544</v>
      </c>
      <c r="B545" s="3" t="s">
        <v>1776</v>
      </c>
      <c r="C545" s="3"/>
      <c r="D545" s="4"/>
      <c r="E545" s="3"/>
      <c r="F545" s="3" t="s">
        <v>19</v>
      </c>
      <c r="G545" s="3"/>
      <c r="H545" s="3"/>
      <c r="I545" s="4"/>
      <c r="J545" s="5" t="s">
        <v>20</v>
      </c>
      <c r="K545" s="6"/>
      <c r="L545" s="5"/>
      <c r="M545" s="5"/>
      <c r="N545" s="6"/>
      <c r="O545" s="7"/>
      <c r="P545" s="8" t="s">
        <v>21</v>
      </c>
      <c r="Q545" s="8" t="s">
        <v>22</v>
      </c>
    </row>
    <row r="546" customFormat="false" ht="15" hidden="false" customHeight="false" outlineLevel="0" collapsed="false">
      <c r="A546" s="2" t="n">
        <v>545</v>
      </c>
      <c r="B546" s="3" t="s">
        <v>1777</v>
      </c>
      <c r="C546" s="3" t="s">
        <v>116</v>
      </c>
      <c r="D546" s="4"/>
      <c r="E546" s="3"/>
      <c r="F546" s="3" t="s">
        <v>19</v>
      </c>
      <c r="G546" s="3"/>
      <c r="H546" s="3"/>
      <c r="I546" s="4"/>
      <c r="J546" s="5" t="s">
        <v>20</v>
      </c>
      <c r="K546" s="6"/>
      <c r="L546" s="5"/>
      <c r="M546" s="5"/>
      <c r="N546" s="6"/>
      <c r="O546" s="7"/>
      <c r="P546" s="8" t="s">
        <v>21</v>
      </c>
      <c r="Q546" s="8" t="s">
        <v>22</v>
      </c>
    </row>
    <row r="547" customFormat="false" ht="15" hidden="false" customHeight="false" outlineLevel="0" collapsed="false">
      <c r="A547" s="2" t="n">
        <v>546</v>
      </c>
      <c r="B547" s="3" t="s">
        <v>1778</v>
      </c>
      <c r="C547" s="3" t="s">
        <v>24</v>
      </c>
      <c r="D547" s="4"/>
      <c r="E547" s="3"/>
      <c r="F547" s="3" t="s">
        <v>19</v>
      </c>
      <c r="G547" s="3" t="s">
        <v>1779</v>
      </c>
      <c r="H547" s="8" t="s">
        <v>1780</v>
      </c>
      <c r="I547" s="4" t="s">
        <v>1781</v>
      </c>
      <c r="J547" s="5" t="s">
        <v>20</v>
      </c>
      <c r="K547" s="6"/>
      <c r="L547" s="5"/>
      <c r="M547" s="5"/>
      <c r="N547" s="6"/>
      <c r="O547" s="7"/>
      <c r="P547" s="8" t="s">
        <v>21</v>
      </c>
      <c r="Q547" s="8" t="s">
        <v>22</v>
      </c>
    </row>
    <row r="548" customFormat="false" ht="15" hidden="false" customHeight="false" outlineLevel="0" collapsed="false">
      <c r="A548" s="2" t="n">
        <v>547</v>
      </c>
      <c r="B548" s="3" t="s">
        <v>1782</v>
      </c>
      <c r="C548" s="3" t="s">
        <v>277</v>
      </c>
      <c r="D548" s="4"/>
      <c r="E548" s="3"/>
      <c r="F548" s="3" t="s">
        <v>19</v>
      </c>
      <c r="G548" s="3"/>
      <c r="H548" s="3"/>
      <c r="I548" s="4"/>
      <c r="J548" s="5" t="s">
        <v>20</v>
      </c>
      <c r="K548" s="6"/>
      <c r="L548" s="5"/>
      <c r="M548" s="5"/>
      <c r="N548" s="6"/>
      <c r="O548" s="7"/>
      <c r="P548" s="8" t="s">
        <v>21</v>
      </c>
      <c r="Q548" s="8" t="s">
        <v>22</v>
      </c>
    </row>
    <row r="549" customFormat="false" ht="23.85" hidden="false" customHeight="false" outlineLevel="0" collapsed="false">
      <c r="A549" s="2" t="n">
        <v>548</v>
      </c>
      <c r="B549" s="3" t="s">
        <v>1783</v>
      </c>
      <c r="C549" s="3" t="s">
        <v>62</v>
      </c>
      <c r="D549" s="4"/>
      <c r="E549" s="3"/>
      <c r="F549" s="3" t="s">
        <v>19</v>
      </c>
      <c r="G549" s="3" t="s">
        <v>1784</v>
      </c>
      <c r="H549" s="8" t="s">
        <v>1785</v>
      </c>
      <c r="I549" s="4" t="s">
        <v>1786</v>
      </c>
      <c r="J549" s="5" t="s">
        <v>20</v>
      </c>
      <c r="K549" s="6"/>
      <c r="L549" s="5"/>
      <c r="M549" s="5"/>
      <c r="N549" s="6"/>
      <c r="O549" s="7"/>
      <c r="P549" s="8" t="s">
        <v>21</v>
      </c>
      <c r="Q549" s="8" t="s">
        <v>22</v>
      </c>
    </row>
    <row r="550" customFormat="false" ht="15" hidden="false" customHeight="false" outlineLevel="0" collapsed="false">
      <c r="A550" s="2" t="n">
        <v>549</v>
      </c>
      <c r="B550" s="3" t="s">
        <v>1787</v>
      </c>
      <c r="C550" s="3" t="s">
        <v>120</v>
      </c>
      <c r="D550" s="4"/>
      <c r="E550" s="3"/>
      <c r="F550" s="3" t="s">
        <v>19</v>
      </c>
      <c r="G550" s="3" t="s">
        <v>1788</v>
      </c>
      <c r="H550" s="8" t="s">
        <v>1789</v>
      </c>
      <c r="I550" s="4" t="s">
        <v>1790</v>
      </c>
      <c r="J550" s="5" t="s">
        <v>20</v>
      </c>
      <c r="K550" s="6"/>
      <c r="L550" s="5"/>
      <c r="M550" s="5"/>
      <c r="N550" s="6"/>
      <c r="O550" s="7"/>
      <c r="P550" s="8" t="s">
        <v>21</v>
      </c>
      <c r="Q550" s="8" t="s">
        <v>22</v>
      </c>
    </row>
    <row r="551" customFormat="false" ht="15" hidden="false" customHeight="false" outlineLevel="0" collapsed="false">
      <c r="A551" s="2" t="n">
        <v>550</v>
      </c>
      <c r="B551" s="3" t="s">
        <v>1791</v>
      </c>
      <c r="C551" s="3"/>
      <c r="D551" s="4" t="s">
        <v>1792</v>
      </c>
      <c r="E551" s="3"/>
      <c r="F551" s="3" t="s">
        <v>19</v>
      </c>
      <c r="G551" s="3"/>
      <c r="H551" s="3"/>
      <c r="I551" s="4"/>
      <c r="J551" s="5" t="s">
        <v>20</v>
      </c>
      <c r="K551" s="6"/>
      <c r="L551" s="5"/>
      <c r="M551" s="5"/>
      <c r="N551" s="6"/>
      <c r="O551" s="7"/>
      <c r="P551" s="8" t="s">
        <v>21</v>
      </c>
      <c r="Q551" s="8" t="s">
        <v>22</v>
      </c>
    </row>
    <row r="552" customFormat="false" ht="15" hidden="false" customHeight="false" outlineLevel="0" collapsed="false">
      <c r="A552" s="2" t="n">
        <v>551</v>
      </c>
      <c r="B552" s="3" t="s">
        <v>1793</v>
      </c>
      <c r="C552" s="3"/>
      <c r="D552" s="4"/>
      <c r="E552" s="3"/>
      <c r="F552" s="3" t="s">
        <v>19</v>
      </c>
      <c r="G552" s="3"/>
      <c r="H552" s="8" t="s">
        <v>1794</v>
      </c>
      <c r="I552" s="4"/>
      <c r="J552" s="5" t="s">
        <v>20</v>
      </c>
      <c r="K552" s="6"/>
      <c r="L552" s="5"/>
      <c r="M552" s="5"/>
      <c r="N552" s="6"/>
      <c r="O552" s="7"/>
      <c r="P552" s="8" t="s">
        <v>21</v>
      </c>
      <c r="Q552" s="8" t="s">
        <v>22</v>
      </c>
    </row>
    <row r="553" customFormat="false" ht="15" hidden="false" customHeight="false" outlineLevel="0" collapsed="false">
      <c r="A553" s="2" t="n">
        <v>552</v>
      </c>
      <c r="B553" s="3" t="s">
        <v>1795</v>
      </c>
      <c r="C553" s="3"/>
      <c r="D553" s="4"/>
      <c r="E553" s="3"/>
      <c r="F553" s="3" t="s">
        <v>19</v>
      </c>
      <c r="G553" s="3"/>
      <c r="H553" s="3"/>
      <c r="I553" s="4" t="s">
        <v>1796</v>
      </c>
      <c r="J553" s="5" t="s">
        <v>20</v>
      </c>
      <c r="K553" s="6"/>
      <c r="L553" s="5"/>
      <c r="M553" s="5"/>
      <c r="N553" s="6"/>
      <c r="O553" s="7"/>
      <c r="P553" s="8" t="s">
        <v>21</v>
      </c>
      <c r="Q553" s="8" t="s">
        <v>22</v>
      </c>
    </row>
    <row r="554" customFormat="false" ht="15" hidden="false" customHeight="false" outlineLevel="0" collapsed="false">
      <c r="A554" s="2" t="n">
        <v>553</v>
      </c>
      <c r="B554" s="3" t="s">
        <v>1797</v>
      </c>
      <c r="C554" s="3" t="s">
        <v>326</v>
      </c>
      <c r="D554" s="4"/>
      <c r="E554" s="3"/>
      <c r="F554" s="3" t="s">
        <v>19</v>
      </c>
      <c r="G554" s="3"/>
      <c r="H554" s="8" t="s">
        <v>1798</v>
      </c>
      <c r="I554" s="4"/>
      <c r="J554" s="5" t="s">
        <v>20</v>
      </c>
      <c r="K554" s="6"/>
      <c r="L554" s="5"/>
      <c r="M554" s="5"/>
      <c r="N554" s="6"/>
      <c r="O554" s="7"/>
      <c r="P554" s="8" t="s">
        <v>21</v>
      </c>
      <c r="Q554" s="8" t="s">
        <v>22</v>
      </c>
    </row>
    <row r="555" customFormat="false" ht="15" hidden="false" customHeight="false" outlineLevel="0" collapsed="false">
      <c r="A555" s="2" t="n">
        <v>554</v>
      </c>
      <c r="B555" s="3" t="s">
        <v>1799</v>
      </c>
      <c r="C555" s="3" t="s">
        <v>120</v>
      </c>
      <c r="D555" s="4"/>
      <c r="E555" s="3"/>
      <c r="F555" s="3" t="s">
        <v>19</v>
      </c>
      <c r="G555" s="3" t="s">
        <v>1800</v>
      </c>
      <c r="H555" s="8" t="s">
        <v>1801</v>
      </c>
      <c r="I555" s="4" t="s">
        <v>1802</v>
      </c>
      <c r="J555" s="5" t="s">
        <v>20</v>
      </c>
      <c r="K555" s="6"/>
      <c r="L555" s="5"/>
      <c r="M555" s="5"/>
      <c r="N555" s="6"/>
      <c r="O555" s="7"/>
      <c r="P555" s="8" t="s">
        <v>21</v>
      </c>
      <c r="Q555" s="8" t="s">
        <v>22</v>
      </c>
    </row>
    <row r="556" customFormat="false" ht="15" hidden="false" customHeight="false" outlineLevel="0" collapsed="false">
      <c r="A556" s="2" t="n">
        <v>555</v>
      </c>
      <c r="B556" s="3" t="s">
        <v>1803</v>
      </c>
      <c r="C556" s="3"/>
      <c r="D556" s="4"/>
      <c r="E556" s="3"/>
      <c r="F556" s="3" t="s">
        <v>19</v>
      </c>
      <c r="G556" s="3"/>
      <c r="H556" s="3"/>
      <c r="I556" s="4" t="s">
        <v>1804</v>
      </c>
      <c r="J556" s="5" t="s">
        <v>20</v>
      </c>
      <c r="K556" s="6"/>
      <c r="L556" s="5"/>
      <c r="M556" s="5"/>
      <c r="N556" s="6"/>
      <c r="O556" s="7"/>
      <c r="P556" s="8" t="s">
        <v>21</v>
      </c>
      <c r="Q556" s="8" t="s">
        <v>22</v>
      </c>
    </row>
    <row r="557" customFormat="false" ht="15" hidden="false" customHeight="false" outlineLevel="0" collapsed="false">
      <c r="A557" s="2" t="n">
        <v>556</v>
      </c>
      <c r="B557" s="3" t="s">
        <v>1805</v>
      </c>
      <c r="C557" s="3" t="s">
        <v>126</v>
      </c>
      <c r="D557" s="4"/>
      <c r="E557" s="3"/>
      <c r="F557" s="3" t="s">
        <v>19</v>
      </c>
      <c r="G557" s="3" t="s">
        <v>1806</v>
      </c>
      <c r="H557" s="8" t="s">
        <v>1807</v>
      </c>
      <c r="I557" s="4" t="s">
        <v>1808</v>
      </c>
      <c r="J557" s="5" t="s">
        <v>20</v>
      </c>
      <c r="K557" s="6"/>
      <c r="L557" s="5"/>
      <c r="M557" s="5"/>
      <c r="N557" s="6"/>
      <c r="O557" s="7"/>
      <c r="P557" s="8" t="s">
        <v>21</v>
      </c>
      <c r="Q557" s="8" t="s">
        <v>22</v>
      </c>
    </row>
    <row r="558" customFormat="false" ht="15" hidden="false" customHeight="false" outlineLevel="0" collapsed="false">
      <c r="A558" s="2" t="n">
        <v>557</v>
      </c>
      <c r="B558" s="3" t="s">
        <v>1809</v>
      </c>
      <c r="C558" s="3" t="s">
        <v>595</v>
      </c>
      <c r="D558" s="4"/>
      <c r="E558" s="3"/>
      <c r="F558" s="3" t="s">
        <v>19</v>
      </c>
      <c r="G558" s="3" t="s">
        <v>1810</v>
      </c>
      <c r="H558" s="3"/>
      <c r="I558" s="4" t="s">
        <v>1811</v>
      </c>
      <c r="J558" s="5" t="s">
        <v>20</v>
      </c>
      <c r="K558" s="6"/>
      <c r="L558" s="5"/>
      <c r="M558" s="5"/>
      <c r="N558" s="6"/>
      <c r="O558" s="7"/>
      <c r="P558" s="8" t="s">
        <v>21</v>
      </c>
      <c r="Q558" s="8" t="s">
        <v>22</v>
      </c>
    </row>
    <row r="559" customFormat="false" ht="23.85" hidden="false" customHeight="false" outlineLevel="0" collapsed="false">
      <c r="A559" s="2" t="n">
        <v>558</v>
      </c>
      <c r="B559" s="3" t="s">
        <v>1812</v>
      </c>
      <c r="C559" s="3" t="s">
        <v>62</v>
      </c>
      <c r="D559" s="4" t="s">
        <v>1813</v>
      </c>
      <c r="E559" s="3" t="s">
        <v>93</v>
      </c>
      <c r="F559" s="3" t="s">
        <v>19</v>
      </c>
      <c r="G559" s="3" t="s">
        <v>1814</v>
      </c>
      <c r="H559" s="8" t="s">
        <v>1815</v>
      </c>
      <c r="I559" s="4" t="s">
        <v>1816</v>
      </c>
      <c r="J559" s="5" t="s">
        <v>20</v>
      </c>
      <c r="K559" s="6"/>
      <c r="L559" s="5"/>
      <c r="M559" s="5"/>
      <c r="N559" s="6"/>
      <c r="O559" s="7"/>
      <c r="P559" s="8" t="s">
        <v>21</v>
      </c>
      <c r="Q559" s="8" t="s">
        <v>22</v>
      </c>
    </row>
    <row r="560" customFormat="false" ht="15" hidden="false" customHeight="false" outlineLevel="0" collapsed="false">
      <c r="A560" s="2" t="n">
        <v>559</v>
      </c>
      <c r="B560" s="3" t="s">
        <v>1817</v>
      </c>
      <c r="C560" s="3" t="s">
        <v>1818</v>
      </c>
      <c r="D560" s="4"/>
      <c r="E560" s="3"/>
      <c r="F560" s="3" t="s">
        <v>19</v>
      </c>
      <c r="G560" s="3" t="s">
        <v>1819</v>
      </c>
      <c r="H560" s="3"/>
      <c r="I560" s="4"/>
      <c r="J560" s="5" t="s">
        <v>20</v>
      </c>
      <c r="K560" s="6"/>
      <c r="L560" s="5"/>
      <c r="M560" s="5"/>
      <c r="N560" s="6"/>
      <c r="O560" s="7"/>
      <c r="P560" s="8" t="s">
        <v>21</v>
      </c>
      <c r="Q560" s="8" t="s">
        <v>22</v>
      </c>
    </row>
    <row r="561" customFormat="false" ht="15" hidden="false" customHeight="false" outlineLevel="0" collapsed="false">
      <c r="A561" s="2" t="n">
        <v>560</v>
      </c>
      <c r="B561" s="3" t="s">
        <v>1820</v>
      </c>
      <c r="C561" s="3"/>
      <c r="D561" s="4"/>
      <c r="E561" s="3"/>
      <c r="F561" s="3" t="s">
        <v>19</v>
      </c>
      <c r="G561" s="3" t="s">
        <v>1821</v>
      </c>
      <c r="H561" s="3"/>
      <c r="I561" s="4" t="s">
        <v>1822</v>
      </c>
      <c r="J561" s="5" t="s">
        <v>20</v>
      </c>
      <c r="K561" s="6"/>
      <c r="L561" s="5"/>
      <c r="M561" s="5"/>
      <c r="N561" s="6"/>
      <c r="O561" s="7"/>
      <c r="P561" s="8" t="s">
        <v>21</v>
      </c>
      <c r="Q561" s="8" t="s">
        <v>22</v>
      </c>
    </row>
    <row r="562" customFormat="false" ht="15" hidden="false" customHeight="false" outlineLevel="0" collapsed="false">
      <c r="A562" s="2" t="n">
        <v>561</v>
      </c>
      <c r="B562" s="3" t="s">
        <v>1823</v>
      </c>
      <c r="C562" s="3" t="s">
        <v>153</v>
      </c>
      <c r="D562" s="4" t="s">
        <v>1824</v>
      </c>
      <c r="E562" s="3"/>
      <c r="F562" s="3" t="s">
        <v>19</v>
      </c>
      <c r="G562" s="3"/>
      <c r="H562" s="3"/>
      <c r="I562" s="4" t="s">
        <v>1825</v>
      </c>
      <c r="J562" s="5" t="s">
        <v>20</v>
      </c>
      <c r="K562" s="6"/>
      <c r="L562" s="5"/>
      <c r="M562" s="5"/>
      <c r="N562" s="6"/>
      <c r="O562" s="7"/>
      <c r="P562" s="8" t="s">
        <v>21</v>
      </c>
      <c r="Q562" s="8" t="s">
        <v>22</v>
      </c>
    </row>
    <row r="563" customFormat="false" ht="15" hidden="false" customHeight="false" outlineLevel="0" collapsed="false">
      <c r="A563" s="2" t="n">
        <v>562</v>
      </c>
      <c r="B563" s="3" t="s">
        <v>1826</v>
      </c>
      <c r="C563" s="3" t="s">
        <v>1827</v>
      </c>
      <c r="D563" s="4" t="s">
        <v>1828</v>
      </c>
      <c r="E563" s="3" t="s">
        <v>93</v>
      </c>
      <c r="F563" s="3" t="s">
        <v>19</v>
      </c>
      <c r="G563" s="3" t="s">
        <v>1829</v>
      </c>
      <c r="H563" s="8" t="s">
        <v>1830</v>
      </c>
      <c r="I563" s="4" t="s">
        <v>1831</v>
      </c>
      <c r="J563" s="5" t="s">
        <v>20</v>
      </c>
      <c r="K563" s="6"/>
      <c r="L563" s="5"/>
      <c r="M563" s="5"/>
      <c r="N563" s="6"/>
      <c r="O563" s="7"/>
      <c r="P563" s="8" t="s">
        <v>21</v>
      </c>
      <c r="Q563" s="8" t="s">
        <v>22</v>
      </c>
    </row>
    <row r="564" customFormat="false" ht="15" hidden="false" customHeight="false" outlineLevel="0" collapsed="false">
      <c r="A564" s="2" t="n">
        <v>563</v>
      </c>
      <c r="B564" s="3" t="s">
        <v>1832</v>
      </c>
      <c r="C564" s="3"/>
      <c r="D564" s="4"/>
      <c r="E564" s="3"/>
      <c r="F564" s="3" t="s">
        <v>19</v>
      </c>
      <c r="G564" s="3"/>
      <c r="H564" s="3"/>
      <c r="I564" s="4" t="s">
        <v>1833</v>
      </c>
      <c r="J564" s="5" t="s">
        <v>20</v>
      </c>
      <c r="K564" s="6"/>
      <c r="L564" s="5"/>
      <c r="M564" s="5"/>
      <c r="N564" s="6"/>
      <c r="O564" s="7"/>
      <c r="P564" s="8" t="s">
        <v>21</v>
      </c>
      <c r="Q564" s="8" t="s">
        <v>22</v>
      </c>
    </row>
    <row r="565" customFormat="false" ht="15" hidden="false" customHeight="false" outlineLevel="0" collapsed="false">
      <c r="A565" s="2" t="n">
        <v>564</v>
      </c>
      <c r="B565" s="3" t="s">
        <v>1834</v>
      </c>
      <c r="C565" s="3"/>
      <c r="D565" s="4"/>
      <c r="E565" s="3"/>
      <c r="F565" s="3" t="s">
        <v>19</v>
      </c>
      <c r="G565" s="3"/>
      <c r="H565" s="3"/>
      <c r="I565" s="4"/>
      <c r="J565" s="5" t="s">
        <v>20</v>
      </c>
      <c r="K565" s="6"/>
      <c r="L565" s="5"/>
      <c r="M565" s="5"/>
      <c r="N565" s="6"/>
      <c r="O565" s="7"/>
      <c r="P565" s="8" t="s">
        <v>21</v>
      </c>
      <c r="Q565" s="8" t="s">
        <v>22</v>
      </c>
    </row>
    <row r="566" customFormat="false" ht="15" hidden="false" customHeight="false" outlineLevel="0" collapsed="false">
      <c r="A566" s="2" t="n">
        <v>565</v>
      </c>
      <c r="B566" s="3" t="s">
        <v>1835</v>
      </c>
      <c r="C566" s="3"/>
      <c r="D566" s="4"/>
      <c r="E566" s="3"/>
      <c r="F566" s="3" t="s">
        <v>19</v>
      </c>
      <c r="G566" s="3" t="s">
        <v>1836</v>
      </c>
      <c r="H566" s="3"/>
      <c r="I566" s="4"/>
      <c r="J566" s="5" t="s">
        <v>20</v>
      </c>
      <c r="K566" s="6"/>
      <c r="L566" s="5"/>
      <c r="M566" s="5"/>
      <c r="N566" s="6"/>
      <c r="O566" s="7"/>
      <c r="P566" s="8" t="s">
        <v>21</v>
      </c>
      <c r="Q566" s="8" t="s">
        <v>22</v>
      </c>
    </row>
    <row r="567" customFormat="false" ht="15" hidden="false" customHeight="false" outlineLevel="0" collapsed="false">
      <c r="A567" s="2" t="n">
        <v>566</v>
      </c>
      <c r="B567" s="3" t="s">
        <v>1837</v>
      </c>
      <c r="C567" s="3" t="s">
        <v>120</v>
      </c>
      <c r="D567" s="4"/>
      <c r="E567" s="3"/>
      <c r="F567" s="3" t="s">
        <v>19</v>
      </c>
      <c r="G567" s="3" t="s">
        <v>1838</v>
      </c>
      <c r="H567" s="8" t="s">
        <v>1839</v>
      </c>
      <c r="I567" s="4" t="s">
        <v>1840</v>
      </c>
      <c r="J567" s="5" t="s">
        <v>20</v>
      </c>
      <c r="K567" s="6"/>
      <c r="L567" s="5"/>
      <c r="M567" s="5"/>
      <c r="N567" s="6"/>
      <c r="O567" s="7"/>
      <c r="P567" s="8" t="s">
        <v>21</v>
      </c>
      <c r="Q567" s="8" t="s">
        <v>22</v>
      </c>
    </row>
    <row r="568" customFormat="false" ht="23.85" hidden="false" customHeight="false" outlineLevel="0" collapsed="false">
      <c r="A568" s="2" t="n">
        <v>567</v>
      </c>
      <c r="B568" s="3" t="s">
        <v>1841</v>
      </c>
      <c r="C568" s="3" t="s">
        <v>120</v>
      </c>
      <c r="D568" s="4"/>
      <c r="E568" s="3"/>
      <c r="F568" s="3" t="s">
        <v>19</v>
      </c>
      <c r="G568" s="3" t="s">
        <v>1842</v>
      </c>
      <c r="H568" s="8" t="s">
        <v>1843</v>
      </c>
      <c r="I568" s="4" t="s">
        <v>1844</v>
      </c>
      <c r="J568" s="5" t="s">
        <v>20</v>
      </c>
      <c r="K568" s="6"/>
      <c r="L568" s="5"/>
      <c r="M568" s="5"/>
      <c r="N568" s="6"/>
      <c r="O568" s="7"/>
      <c r="P568" s="8" t="s">
        <v>21</v>
      </c>
      <c r="Q568" s="8" t="s">
        <v>22</v>
      </c>
    </row>
    <row r="569" customFormat="false" ht="15" hidden="false" customHeight="false" outlineLevel="0" collapsed="false">
      <c r="A569" s="2" t="n">
        <v>568</v>
      </c>
      <c r="B569" s="3" t="s">
        <v>1845</v>
      </c>
      <c r="C569" s="3"/>
      <c r="D569" s="4"/>
      <c r="E569" s="3"/>
      <c r="F569" s="3" t="s">
        <v>19</v>
      </c>
      <c r="G569" s="3"/>
      <c r="H569" s="8" t="s">
        <v>1846</v>
      </c>
      <c r="I569" s="4" t="s">
        <v>1847</v>
      </c>
      <c r="J569" s="5" t="s">
        <v>20</v>
      </c>
      <c r="K569" s="6"/>
      <c r="L569" s="5"/>
      <c r="M569" s="5"/>
      <c r="N569" s="6"/>
      <c r="O569" s="7"/>
      <c r="P569" s="8" t="s">
        <v>21</v>
      </c>
      <c r="Q569" s="8" t="s">
        <v>22</v>
      </c>
    </row>
    <row r="570" customFormat="false" ht="23.85" hidden="false" customHeight="false" outlineLevel="0" collapsed="false">
      <c r="A570" s="2" t="n">
        <v>569</v>
      </c>
      <c r="B570" s="3" t="s">
        <v>1848</v>
      </c>
      <c r="C570" s="3"/>
      <c r="D570" s="4"/>
      <c r="E570" s="3"/>
      <c r="F570" s="3" t="s">
        <v>19</v>
      </c>
      <c r="G570" s="3"/>
      <c r="H570" s="8" t="s">
        <v>1849</v>
      </c>
      <c r="I570" s="4" t="s">
        <v>1850</v>
      </c>
      <c r="J570" s="5" t="s">
        <v>20</v>
      </c>
      <c r="K570" s="6"/>
      <c r="L570" s="5"/>
      <c r="M570" s="5"/>
      <c r="N570" s="6"/>
      <c r="O570" s="7"/>
      <c r="P570" s="8" t="s">
        <v>21</v>
      </c>
      <c r="Q570" s="8" t="s">
        <v>22</v>
      </c>
    </row>
    <row r="571" customFormat="false" ht="15" hidden="false" customHeight="false" outlineLevel="0" collapsed="false">
      <c r="A571" s="2" t="n">
        <v>570</v>
      </c>
      <c r="B571" s="3" t="s">
        <v>1851</v>
      </c>
      <c r="C571" s="3" t="s">
        <v>120</v>
      </c>
      <c r="D571" s="4" t="s">
        <v>1852</v>
      </c>
      <c r="E571" s="3"/>
      <c r="F571" s="3" t="s">
        <v>19</v>
      </c>
      <c r="G571" s="3"/>
      <c r="H571" s="8" t="s">
        <v>1853</v>
      </c>
      <c r="I571" s="4"/>
      <c r="J571" s="5" t="s">
        <v>20</v>
      </c>
      <c r="K571" s="6"/>
      <c r="L571" s="5"/>
      <c r="M571" s="5"/>
      <c r="N571" s="6"/>
      <c r="O571" s="7"/>
      <c r="P571" s="8" t="s">
        <v>21</v>
      </c>
      <c r="Q571" s="8" t="s">
        <v>22</v>
      </c>
    </row>
    <row r="572" customFormat="false" ht="15" hidden="false" customHeight="false" outlineLevel="0" collapsed="false">
      <c r="A572" s="2" t="n">
        <v>571</v>
      </c>
      <c r="B572" s="3" t="s">
        <v>1854</v>
      </c>
      <c r="C572" s="3" t="s">
        <v>120</v>
      </c>
      <c r="D572" s="4"/>
      <c r="E572" s="3"/>
      <c r="F572" s="3" t="s">
        <v>19</v>
      </c>
      <c r="G572" s="3" t="s">
        <v>1855</v>
      </c>
      <c r="H572" s="8" t="s">
        <v>1856</v>
      </c>
      <c r="I572" s="4" t="s">
        <v>1857</v>
      </c>
      <c r="J572" s="5" t="s">
        <v>20</v>
      </c>
      <c r="K572" s="6"/>
      <c r="L572" s="5"/>
      <c r="M572" s="5"/>
      <c r="N572" s="6"/>
      <c r="O572" s="7"/>
      <c r="P572" s="8" t="s">
        <v>21</v>
      </c>
      <c r="Q572" s="8" t="s">
        <v>22</v>
      </c>
    </row>
    <row r="573" customFormat="false" ht="15" hidden="false" customHeight="false" outlineLevel="0" collapsed="false">
      <c r="A573" s="2" t="n">
        <v>572</v>
      </c>
      <c r="B573" s="3" t="s">
        <v>1858</v>
      </c>
      <c r="C573" s="3" t="s">
        <v>1859</v>
      </c>
      <c r="D573" s="4"/>
      <c r="E573" s="3"/>
      <c r="F573" s="3" t="s">
        <v>19</v>
      </c>
      <c r="G573" s="3"/>
      <c r="H573" s="8" t="s">
        <v>1860</v>
      </c>
      <c r="I573" s="4" t="s">
        <v>1861</v>
      </c>
      <c r="J573" s="5" t="s">
        <v>20</v>
      </c>
      <c r="K573" s="6"/>
      <c r="L573" s="5"/>
      <c r="M573" s="5"/>
      <c r="N573" s="6"/>
      <c r="O573" s="7"/>
      <c r="P573" s="8" t="s">
        <v>21</v>
      </c>
      <c r="Q573" s="8" t="s">
        <v>22</v>
      </c>
    </row>
    <row r="574" customFormat="false" ht="15" hidden="false" customHeight="false" outlineLevel="0" collapsed="false">
      <c r="A574" s="2" t="n">
        <v>573</v>
      </c>
      <c r="B574" s="3" t="s">
        <v>1862</v>
      </c>
      <c r="C574" s="3"/>
      <c r="D574" s="4"/>
      <c r="E574" s="3"/>
      <c r="F574" s="3" t="s">
        <v>19</v>
      </c>
      <c r="G574" s="3" t="s">
        <v>1863</v>
      </c>
      <c r="H574" s="8" t="s">
        <v>1864</v>
      </c>
      <c r="I574" s="4" t="s">
        <v>1865</v>
      </c>
      <c r="J574" s="5" t="s">
        <v>20</v>
      </c>
      <c r="K574" s="6"/>
      <c r="L574" s="5"/>
      <c r="M574" s="5"/>
      <c r="N574" s="6"/>
      <c r="O574" s="7"/>
      <c r="P574" s="8" t="s">
        <v>21</v>
      </c>
      <c r="Q574" s="8" t="s">
        <v>22</v>
      </c>
    </row>
    <row r="575" customFormat="false" ht="15" hidden="false" customHeight="false" outlineLevel="0" collapsed="false">
      <c r="A575" s="2" t="n">
        <v>574</v>
      </c>
      <c r="B575" s="3" t="s">
        <v>1866</v>
      </c>
      <c r="C575" s="3"/>
      <c r="D575" s="4" t="s">
        <v>1867</v>
      </c>
      <c r="E575" s="3" t="s">
        <v>579</v>
      </c>
      <c r="F575" s="3" t="s">
        <v>19</v>
      </c>
      <c r="G575" s="3" t="s">
        <v>1868</v>
      </c>
      <c r="H575" s="8" t="s">
        <v>1869</v>
      </c>
      <c r="I575" s="4"/>
      <c r="J575" s="5" t="s">
        <v>20</v>
      </c>
      <c r="K575" s="6"/>
      <c r="L575" s="5"/>
      <c r="M575" s="5"/>
      <c r="N575" s="6"/>
      <c r="O575" s="7"/>
      <c r="P575" s="8" t="s">
        <v>21</v>
      </c>
      <c r="Q575" s="8" t="s">
        <v>22</v>
      </c>
    </row>
    <row r="576" customFormat="false" ht="15" hidden="false" customHeight="false" outlineLevel="0" collapsed="false">
      <c r="A576" s="2" t="n">
        <v>575</v>
      </c>
      <c r="B576" s="3" t="s">
        <v>1870</v>
      </c>
      <c r="C576" s="3" t="s">
        <v>64</v>
      </c>
      <c r="D576" s="4"/>
      <c r="E576" s="3"/>
      <c r="F576" s="3" t="s">
        <v>19</v>
      </c>
      <c r="G576" s="3" t="s">
        <v>1871</v>
      </c>
      <c r="H576" s="8" t="s">
        <v>1872</v>
      </c>
      <c r="I576" s="4" t="s">
        <v>1873</v>
      </c>
      <c r="J576" s="5" t="s">
        <v>20</v>
      </c>
      <c r="K576" s="6"/>
      <c r="L576" s="5"/>
      <c r="M576" s="5"/>
      <c r="N576" s="6"/>
      <c r="O576" s="7"/>
      <c r="P576" s="8" t="s">
        <v>21</v>
      </c>
      <c r="Q576" s="8" t="s">
        <v>22</v>
      </c>
    </row>
    <row r="577" customFormat="false" ht="15" hidden="false" customHeight="false" outlineLevel="0" collapsed="false">
      <c r="A577" s="2" t="n">
        <v>576</v>
      </c>
      <c r="B577" s="3" t="s">
        <v>1874</v>
      </c>
      <c r="C577" s="3" t="s">
        <v>120</v>
      </c>
      <c r="D577" s="4" t="s">
        <v>1875</v>
      </c>
      <c r="E577" s="3" t="s">
        <v>57</v>
      </c>
      <c r="F577" s="3" t="s">
        <v>19</v>
      </c>
      <c r="G577" s="3" t="s">
        <v>1876</v>
      </c>
      <c r="H577" s="8" t="s">
        <v>1877</v>
      </c>
      <c r="I577" s="4" t="s">
        <v>570</v>
      </c>
      <c r="J577" s="5" t="s">
        <v>20</v>
      </c>
      <c r="K577" s="6"/>
      <c r="L577" s="5"/>
      <c r="M577" s="5"/>
      <c r="N577" s="6"/>
      <c r="O577" s="7"/>
      <c r="P577" s="8" t="s">
        <v>21</v>
      </c>
      <c r="Q577" s="8" t="s">
        <v>22</v>
      </c>
    </row>
    <row r="578" customFormat="false" ht="15" hidden="false" customHeight="false" outlineLevel="0" collapsed="false">
      <c r="A578" s="2" t="n">
        <v>577</v>
      </c>
      <c r="B578" s="3" t="s">
        <v>1878</v>
      </c>
      <c r="C578" s="3"/>
      <c r="D578" s="4"/>
      <c r="E578" s="3"/>
      <c r="F578" s="3" t="s">
        <v>19</v>
      </c>
      <c r="G578" s="3"/>
      <c r="H578" s="3"/>
      <c r="I578" s="4"/>
      <c r="J578" s="5" t="s">
        <v>20</v>
      </c>
      <c r="K578" s="6"/>
      <c r="L578" s="5"/>
      <c r="M578" s="5"/>
      <c r="N578" s="6"/>
      <c r="O578" s="7"/>
      <c r="P578" s="8" t="s">
        <v>21</v>
      </c>
      <c r="Q578" s="8" t="s">
        <v>22</v>
      </c>
    </row>
    <row r="579" customFormat="false" ht="15" hidden="false" customHeight="false" outlineLevel="0" collapsed="false">
      <c r="A579" s="2" t="n">
        <v>578</v>
      </c>
      <c r="B579" s="3" t="s">
        <v>1879</v>
      </c>
      <c r="C579" s="3" t="s">
        <v>1880</v>
      </c>
      <c r="D579" s="4"/>
      <c r="E579" s="3"/>
      <c r="F579" s="3" t="s">
        <v>19</v>
      </c>
      <c r="G579" s="3" t="s">
        <v>1881</v>
      </c>
      <c r="H579" s="8" t="s">
        <v>1882</v>
      </c>
      <c r="I579" s="4" t="s">
        <v>1883</v>
      </c>
      <c r="J579" s="5" t="s">
        <v>20</v>
      </c>
      <c r="K579" s="6"/>
      <c r="L579" s="5"/>
      <c r="M579" s="5"/>
      <c r="N579" s="6"/>
      <c r="O579" s="7"/>
      <c r="P579" s="8" t="s">
        <v>21</v>
      </c>
      <c r="Q579" s="8" t="s">
        <v>22</v>
      </c>
    </row>
    <row r="580" customFormat="false" ht="15" hidden="false" customHeight="false" outlineLevel="0" collapsed="false">
      <c r="A580" s="2" t="n">
        <v>579</v>
      </c>
      <c r="B580" s="3" t="s">
        <v>1884</v>
      </c>
      <c r="C580" s="3" t="s">
        <v>120</v>
      </c>
      <c r="D580" s="4" t="s">
        <v>1885</v>
      </c>
      <c r="E580" s="3" t="s">
        <v>148</v>
      </c>
      <c r="F580" s="3" t="s">
        <v>19</v>
      </c>
      <c r="G580" s="3" t="s">
        <v>1886</v>
      </c>
      <c r="H580" s="8" t="s">
        <v>1887</v>
      </c>
      <c r="I580" s="4" t="s">
        <v>1888</v>
      </c>
      <c r="J580" s="5" t="s">
        <v>20</v>
      </c>
      <c r="K580" s="6"/>
      <c r="L580" s="5"/>
      <c r="M580" s="5"/>
      <c r="N580" s="6"/>
      <c r="O580" s="7"/>
      <c r="P580" s="8" t="s">
        <v>21</v>
      </c>
      <c r="Q580" s="8" t="s">
        <v>22</v>
      </c>
    </row>
    <row r="581" customFormat="false" ht="15" hidden="false" customHeight="false" outlineLevel="0" collapsed="false">
      <c r="A581" s="2" t="n">
        <v>580</v>
      </c>
      <c r="B581" s="3" t="s">
        <v>1889</v>
      </c>
      <c r="C581" s="3" t="s">
        <v>120</v>
      </c>
      <c r="D581" s="4" t="s">
        <v>1890</v>
      </c>
      <c r="E581" s="3" t="s">
        <v>93</v>
      </c>
      <c r="F581" s="3" t="s">
        <v>19</v>
      </c>
      <c r="G581" s="3" t="s">
        <v>1891</v>
      </c>
      <c r="H581" s="8" t="s">
        <v>1892</v>
      </c>
      <c r="I581" s="4" t="s">
        <v>1893</v>
      </c>
      <c r="J581" s="5" t="s">
        <v>20</v>
      </c>
      <c r="K581" s="6"/>
      <c r="L581" s="5"/>
      <c r="M581" s="5"/>
      <c r="N581" s="6"/>
      <c r="O581" s="7"/>
      <c r="P581" s="8" t="s">
        <v>21</v>
      </c>
      <c r="Q581" s="8" t="s">
        <v>22</v>
      </c>
    </row>
    <row r="582" customFormat="false" ht="15" hidden="false" customHeight="false" outlineLevel="0" collapsed="false">
      <c r="A582" s="2" t="n">
        <v>581</v>
      </c>
      <c r="B582" s="3" t="s">
        <v>1894</v>
      </c>
      <c r="C582" s="3"/>
      <c r="D582" s="4" t="s">
        <v>1260</v>
      </c>
      <c r="E582" s="3" t="s">
        <v>93</v>
      </c>
      <c r="F582" s="3" t="s">
        <v>19</v>
      </c>
      <c r="G582" s="3"/>
      <c r="H582" s="3"/>
      <c r="I582" s="4" t="s">
        <v>1895</v>
      </c>
      <c r="J582" s="5" t="s">
        <v>20</v>
      </c>
      <c r="K582" s="6"/>
      <c r="L582" s="5"/>
      <c r="M582" s="5"/>
      <c r="N582" s="6"/>
      <c r="O582" s="7"/>
      <c r="P582" s="8" t="s">
        <v>21</v>
      </c>
      <c r="Q582" s="8" t="s">
        <v>22</v>
      </c>
    </row>
    <row r="583" customFormat="false" ht="15" hidden="false" customHeight="false" outlineLevel="0" collapsed="false">
      <c r="A583" s="2" t="n">
        <v>582</v>
      </c>
      <c r="B583" s="3" t="s">
        <v>1896</v>
      </c>
      <c r="C583" s="3"/>
      <c r="D583" s="4" t="s">
        <v>1897</v>
      </c>
      <c r="E583" s="3" t="s">
        <v>93</v>
      </c>
      <c r="F583" s="3" t="s">
        <v>19</v>
      </c>
      <c r="G583" s="3" t="s">
        <v>1898</v>
      </c>
      <c r="H583" s="8" t="s">
        <v>1899</v>
      </c>
      <c r="I583" s="4" t="s">
        <v>1900</v>
      </c>
      <c r="J583" s="5" t="s">
        <v>20</v>
      </c>
      <c r="K583" s="6"/>
      <c r="L583" s="5"/>
      <c r="M583" s="5"/>
      <c r="N583" s="6"/>
      <c r="O583" s="7"/>
      <c r="P583" s="8" t="s">
        <v>21</v>
      </c>
      <c r="Q583" s="8" t="s">
        <v>22</v>
      </c>
    </row>
    <row r="584" customFormat="false" ht="15" hidden="false" customHeight="false" outlineLevel="0" collapsed="false">
      <c r="A584" s="2" t="n">
        <v>583</v>
      </c>
      <c r="B584" s="3" t="s">
        <v>1901</v>
      </c>
      <c r="C584" s="3" t="s">
        <v>1902</v>
      </c>
      <c r="D584" s="4"/>
      <c r="E584" s="3"/>
      <c r="F584" s="3" t="s">
        <v>19</v>
      </c>
      <c r="G584" s="3" t="s">
        <v>1903</v>
      </c>
      <c r="H584" s="8" t="s">
        <v>1904</v>
      </c>
      <c r="I584" s="4"/>
      <c r="J584" s="5" t="s">
        <v>20</v>
      </c>
      <c r="K584" s="6"/>
      <c r="L584" s="5"/>
      <c r="M584" s="5"/>
      <c r="N584" s="6"/>
      <c r="O584" s="7"/>
      <c r="P584" s="8" t="s">
        <v>21</v>
      </c>
      <c r="Q584" s="8" t="s">
        <v>22</v>
      </c>
    </row>
    <row r="585" customFormat="false" ht="15" hidden="false" customHeight="false" outlineLevel="0" collapsed="false">
      <c r="A585" s="2" t="n">
        <v>584</v>
      </c>
      <c r="B585" s="3" t="s">
        <v>1905</v>
      </c>
      <c r="C585" s="3" t="s">
        <v>153</v>
      </c>
      <c r="D585" s="4"/>
      <c r="E585" s="3"/>
      <c r="F585" s="3" t="s">
        <v>19</v>
      </c>
      <c r="G585" s="3" t="s">
        <v>1906</v>
      </c>
      <c r="H585" s="8" t="s">
        <v>1907</v>
      </c>
      <c r="I585" s="4" t="s">
        <v>402</v>
      </c>
      <c r="J585" s="5" t="s">
        <v>20</v>
      </c>
      <c r="K585" s="6"/>
      <c r="L585" s="5"/>
      <c r="M585" s="5"/>
      <c r="N585" s="6"/>
      <c r="O585" s="7"/>
      <c r="P585" s="8" t="s">
        <v>21</v>
      </c>
      <c r="Q585" s="8" t="s">
        <v>22</v>
      </c>
    </row>
    <row r="586" customFormat="false" ht="15" hidden="false" customHeight="false" outlineLevel="0" collapsed="false">
      <c r="A586" s="2" t="n">
        <v>585</v>
      </c>
      <c r="B586" s="3" t="s">
        <v>1908</v>
      </c>
      <c r="C586" s="3" t="s">
        <v>601</v>
      </c>
      <c r="D586" s="4"/>
      <c r="E586" s="3"/>
      <c r="F586" s="3" t="s">
        <v>19</v>
      </c>
      <c r="G586" s="3"/>
      <c r="H586" s="3"/>
      <c r="I586" s="4" t="s">
        <v>780</v>
      </c>
      <c r="J586" s="5" t="s">
        <v>20</v>
      </c>
      <c r="K586" s="6"/>
      <c r="L586" s="5"/>
      <c r="M586" s="5"/>
      <c r="N586" s="6"/>
      <c r="O586" s="7"/>
      <c r="P586" s="8" t="s">
        <v>21</v>
      </c>
      <c r="Q586" s="8" t="s">
        <v>22</v>
      </c>
    </row>
    <row r="587" customFormat="false" ht="15" hidden="false" customHeight="false" outlineLevel="0" collapsed="false">
      <c r="A587" s="2" t="n">
        <v>586</v>
      </c>
      <c r="B587" s="3" t="s">
        <v>1909</v>
      </c>
      <c r="C587" s="3" t="s">
        <v>153</v>
      </c>
      <c r="D587" s="4"/>
      <c r="E587" s="3"/>
      <c r="F587" s="3" t="s">
        <v>19</v>
      </c>
      <c r="G587" s="3" t="s">
        <v>1910</v>
      </c>
      <c r="H587" s="8" t="s">
        <v>1911</v>
      </c>
      <c r="I587" s="4" t="s">
        <v>1912</v>
      </c>
      <c r="J587" s="5" t="s">
        <v>20</v>
      </c>
      <c r="K587" s="6"/>
      <c r="L587" s="5"/>
      <c r="M587" s="5"/>
      <c r="N587" s="6"/>
      <c r="O587" s="7"/>
      <c r="P587" s="8" t="s">
        <v>21</v>
      </c>
      <c r="Q587" s="8" t="s">
        <v>22</v>
      </c>
    </row>
    <row r="588" customFormat="false" ht="15" hidden="false" customHeight="false" outlineLevel="0" collapsed="false">
      <c r="A588" s="2" t="n">
        <v>587</v>
      </c>
      <c r="B588" s="3" t="s">
        <v>1913</v>
      </c>
      <c r="C588" s="3" t="s">
        <v>1914</v>
      </c>
      <c r="D588" s="4"/>
      <c r="E588" s="3"/>
      <c r="F588" s="3" t="s">
        <v>19</v>
      </c>
      <c r="G588" s="3" t="s">
        <v>1910</v>
      </c>
      <c r="H588" s="8" t="s">
        <v>1911</v>
      </c>
      <c r="I588" s="4" t="s">
        <v>564</v>
      </c>
      <c r="J588" s="5" t="s">
        <v>20</v>
      </c>
      <c r="K588" s="6"/>
      <c r="L588" s="5"/>
      <c r="M588" s="5"/>
      <c r="N588" s="6"/>
      <c r="O588" s="7"/>
      <c r="P588" s="8" t="s">
        <v>21</v>
      </c>
      <c r="Q588" s="8" t="s">
        <v>22</v>
      </c>
    </row>
    <row r="589" customFormat="false" ht="15" hidden="false" customHeight="false" outlineLevel="0" collapsed="false">
      <c r="A589" s="2" t="n">
        <v>588</v>
      </c>
      <c r="B589" s="3" t="s">
        <v>1915</v>
      </c>
      <c r="C589" s="3" t="s">
        <v>1916</v>
      </c>
      <c r="D589" s="4" t="s">
        <v>1917</v>
      </c>
      <c r="E589" s="3" t="s">
        <v>26</v>
      </c>
      <c r="F589" s="3" t="s">
        <v>19</v>
      </c>
      <c r="G589" s="3"/>
      <c r="H589" s="3"/>
      <c r="I589" s="4" t="s">
        <v>1918</v>
      </c>
      <c r="J589" s="5" t="s">
        <v>20</v>
      </c>
      <c r="K589" s="6"/>
      <c r="L589" s="5"/>
      <c r="M589" s="5"/>
      <c r="N589" s="6"/>
      <c r="O589" s="7"/>
      <c r="P589" s="8" t="s">
        <v>21</v>
      </c>
      <c r="Q589" s="8" t="s">
        <v>22</v>
      </c>
    </row>
    <row r="590" customFormat="false" ht="15" hidden="false" customHeight="false" outlineLevel="0" collapsed="false">
      <c r="A590" s="2" t="n">
        <v>589</v>
      </c>
      <c r="B590" s="3" t="s">
        <v>1919</v>
      </c>
      <c r="C590" s="3" t="s">
        <v>711</v>
      </c>
      <c r="D590" s="4"/>
      <c r="E590" s="3"/>
      <c r="F590" s="3" t="s">
        <v>19</v>
      </c>
      <c r="G590" s="3" t="s">
        <v>1920</v>
      </c>
      <c r="H590" s="8" t="s">
        <v>1921</v>
      </c>
      <c r="I590" s="4"/>
      <c r="J590" s="5" t="s">
        <v>20</v>
      </c>
      <c r="K590" s="6"/>
      <c r="L590" s="5"/>
      <c r="M590" s="5"/>
      <c r="N590" s="6"/>
      <c r="O590" s="7"/>
      <c r="P590" s="8" t="s">
        <v>21</v>
      </c>
      <c r="Q590" s="8" t="s">
        <v>22</v>
      </c>
    </row>
    <row r="591" customFormat="false" ht="15" hidden="false" customHeight="false" outlineLevel="0" collapsed="false">
      <c r="A591" s="2" t="n">
        <v>590</v>
      </c>
      <c r="B591" s="3" t="s">
        <v>1922</v>
      </c>
      <c r="C591" s="3" t="s">
        <v>1923</v>
      </c>
      <c r="D591" s="4"/>
      <c r="E591" s="3"/>
      <c r="F591" s="3" t="s">
        <v>19</v>
      </c>
      <c r="G591" s="3" t="s">
        <v>1924</v>
      </c>
      <c r="H591" s="8" t="s">
        <v>1925</v>
      </c>
      <c r="I591" s="4" t="s">
        <v>1926</v>
      </c>
      <c r="J591" s="5" t="s">
        <v>20</v>
      </c>
      <c r="K591" s="6"/>
      <c r="L591" s="5"/>
      <c r="M591" s="5"/>
      <c r="N591" s="6"/>
      <c r="O591" s="7"/>
      <c r="P591" s="8" t="s">
        <v>21</v>
      </c>
      <c r="Q591" s="8" t="s">
        <v>22</v>
      </c>
    </row>
    <row r="592" customFormat="false" ht="15" hidden="false" customHeight="false" outlineLevel="0" collapsed="false">
      <c r="A592" s="2" t="n">
        <v>591</v>
      </c>
      <c r="B592" s="3" t="s">
        <v>1927</v>
      </c>
      <c r="C592" s="3" t="s">
        <v>322</v>
      </c>
      <c r="D592" s="4"/>
      <c r="E592" s="3"/>
      <c r="F592" s="3" t="s">
        <v>19</v>
      </c>
      <c r="G592" s="3"/>
      <c r="H592" s="3"/>
      <c r="I592" s="4"/>
      <c r="J592" s="5" t="s">
        <v>20</v>
      </c>
      <c r="K592" s="6"/>
      <c r="L592" s="5"/>
      <c r="M592" s="5"/>
      <c r="N592" s="6"/>
      <c r="O592" s="7"/>
      <c r="P592" s="8" t="s">
        <v>21</v>
      </c>
      <c r="Q592" s="8" t="s">
        <v>22</v>
      </c>
    </row>
    <row r="593" customFormat="false" ht="15" hidden="false" customHeight="false" outlineLevel="0" collapsed="false">
      <c r="A593" s="2" t="n">
        <v>592</v>
      </c>
      <c r="B593" s="3" t="s">
        <v>1928</v>
      </c>
      <c r="C593" s="3" t="s">
        <v>120</v>
      </c>
      <c r="D593" s="4"/>
      <c r="E593" s="3"/>
      <c r="F593" s="3" t="s">
        <v>19</v>
      </c>
      <c r="G593" s="3" t="s">
        <v>1929</v>
      </c>
      <c r="H593" s="3"/>
      <c r="I593" s="4" t="s">
        <v>1930</v>
      </c>
      <c r="J593" s="5" t="s">
        <v>20</v>
      </c>
      <c r="K593" s="6"/>
      <c r="L593" s="5"/>
      <c r="M593" s="5"/>
      <c r="N593" s="6"/>
      <c r="O593" s="7"/>
      <c r="P593" s="8" t="s">
        <v>21</v>
      </c>
      <c r="Q593" s="8" t="s">
        <v>22</v>
      </c>
    </row>
    <row r="594" customFormat="false" ht="15" hidden="false" customHeight="false" outlineLevel="0" collapsed="false">
      <c r="A594" s="2" t="n">
        <v>593</v>
      </c>
      <c r="B594" s="3" t="s">
        <v>1931</v>
      </c>
      <c r="C594" s="3" t="s">
        <v>1932</v>
      </c>
      <c r="D594" s="4"/>
      <c r="E594" s="3"/>
      <c r="F594" s="3" t="s">
        <v>19</v>
      </c>
      <c r="G594" s="3"/>
      <c r="H594" s="3"/>
      <c r="I594" s="4" t="s">
        <v>1933</v>
      </c>
      <c r="J594" s="5" t="s">
        <v>20</v>
      </c>
      <c r="K594" s="6"/>
      <c r="L594" s="5"/>
      <c r="M594" s="5"/>
      <c r="N594" s="6"/>
      <c r="O594" s="7"/>
      <c r="P594" s="8" t="s">
        <v>21</v>
      </c>
      <c r="Q594" s="8" t="s">
        <v>22</v>
      </c>
    </row>
    <row r="595" customFormat="false" ht="15" hidden="false" customHeight="false" outlineLevel="0" collapsed="false">
      <c r="A595" s="2" t="n">
        <v>594</v>
      </c>
      <c r="B595" s="3" t="s">
        <v>1934</v>
      </c>
      <c r="C595" s="3" t="s">
        <v>120</v>
      </c>
      <c r="D595" s="4"/>
      <c r="E595" s="3"/>
      <c r="F595" s="3" t="s">
        <v>19</v>
      </c>
      <c r="G595" s="3"/>
      <c r="H595" s="3"/>
      <c r="I595" s="4"/>
      <c r="J595" s="5" t="s">
        <v>20</v>
      </c>
      <c r="K595" s="6"/>
      <c r="L595" s="5"/>
      <c r="M595" s="5"/>
      <c r="N595" s="6"/>
      <c r="O595" s="7"/>
      <c r="P595" s="8" t="s">
        <v>21</v>
      </c>
      <c r="Q595" s="8" t="s">
        <v>22</v>
      </c>
    </row>
    <row r="596" customFormat="false" ht="15" hidden="false" customHeight="false" outlineLevel="0" collapsed="false">
      <c r="A596" s="2" t="n">
        <v>595</v>
      </c>
      <c r="B596" s="3" t="s">
        <v>1935</v>
      </c>
      <c r="C596" s="3"/>
      <c r="D596" s="4"/>
      <c r="E596" s="3"/>
      <c r="F596" s="3" t="s">
        <v>19</v>
      </c>
      <c r="G596" s="3"/>
      <c r="H596" s="3"/>
      <c r="I596" s="4" t="s">
        <v>1936</v>
      </c>
      <c r="J596" s="5" t="s">
        <v>20</v>
      </c>
      <c r="K596" s="6"/>
      <c r="L596" s="5"/>
      <c r="M596" s="5"/>
      <c r="N596" s="6"/>
      <c r="O596" s="7"/>
      <c r="P596" s="8" t="s">
        <v>21</v>
      </c>
      <c r="Q596" s="8" t="s">
        <v>22</v>
      </c>
    </row>
    <row r="597" customFormat="false" ht="15" hidden="false" customHeight="false" outlineLevel="0" collapsed="false">
      <c r="A597" s="2" t="n">
        <v>596</v>
      </c>
      <c r="B597" s="3" t="s">
        <v>1937</v>
      </c>
      <c r="C597" s="3"/>
      <c r="D597" s="4"/>
      <c r="E597" s="3"/>
      <c r="F597" s="3" t="s">
        <v>19</v>
      </c>
      <c r="G597" s="3"/>
      <c r="H597" s="3"/>
      <c r="I597" s="4"/>
      <c r="J597" s="5" t="s">
        <v>20</v>
      </c>
      <c r="K597" s="6"/>
      <c r="L597" s="5"/>
      <c r="M597" s="5"/>
      <c r="N597" s="6"/>
      <c r="O597" s="7"/>
      <c r="P597" s="8" t="s">
        <v>21</v>
      </c>
      <c r="Q597" s="8" t="s">
        <v>22</v>
      </c>
    </row>
    <row r="598" customFormat="false" ht="15" hidden="false" customHeight="false" outlineLevel="0" collapsed="false">
      <c r="A598" s="2" t="n">
        <v>597</v>
      </c>
      <c r="B598" s="3" t="s">
        <v>1938</v>
      </c>
      <c r="C598" s="3" t="s">
        <v>120</v>
      </c>
      <c r="D598" s="4" t="s">
        <v>1939</v>
      </c>
      <c r="E598" s="3" t="s">
        <v>31</v>
      </c>
      <c r="F598" s="3" t="s">
        <v>19</v>
      </c>
      <c r="G598" s="3" t="s">
        <v>1940</v>
      </c>
      <c r="H598" s="8" t="s">
        <v>1941</v>
      </c>
      <c r="I598" s="4" t="s">
        <v>1942</v>
      </c>
      <c r="J598" s="5" t="s">
        <v>20</v>
      </c>
      <c r="K598" s="6"/>
      <c r="L598" s="5"/>
      <c r="M598" s="5"/>
      <c r="N598" s="6"/>
      <c r="O598" s="7"/>
      <c r="P598" s="8" t="s">
        <v>21</v>
      </c>
      <c r="Q598" s="8" t="s">
        <v>22</v>
      </c>
    </row>
    <row r="599" customFormat="false" ht="15" hidden="false" customHeight="false" outlineLevel="0" collapsed="false">
      <c r="A599" s="2" t="n">
        <v>598</v>
      </c>
      <c r="B599" s="3" t="s">
        <v>1943</v>
      </c>
      <c r="C599" s="3" t="s">
        <v>91</v>
      </c>
      <c r="D599" s="4" t="s">
        <v>1944</v>
      </c>
      <c r="E599" s="3" t="s">
        <v>93</v>
      </c>
      <c r="F599" s="3" t="s">
        <v>19</v>
      </c>
      <c r="G599" s="3" t="s">
        <v>1945</v>
      </c>
      <c r="H599" s="8" t="s">
        <v>1946</v>
      </c>
      <c r="I599" s="4" t="s">
        <v>1947</v>
      </c>
      <c r="J599" s="5" t="s">
        <v>20</v>
      </c>
      <c r="K599" s="6"/>
      <c r="L599" s="5"/>
      <c r="M599" s="5"/>
      <c r="N599" s="6"/>
      <c r="O599" s="7"/>
      <c r="P599" s="8" t="s">
        <v>21</v>
      </c>
      <c r="Q599" s="8" t="s">
        <v>22</v>
      </c>
    </row>
    <row r="600" customFormat="false" ht="15" hidden="false" customHeight="false" outlineLevel="0" collapsed="false">
      <c r="A600" s="2" t="n">
        <v>599</v>
      </c>
      <c r="B600" s="3" t="s">
        <v>1948</v>
      </c>
      <c r="C600" s="3"/>
      <c r="D600" s="4"/>
      <c r="E600" s="3"/>
      <c r="F600" s="3" t="s">
        <v>19</v>
      </c>
      <c r="G600" s="3" t="s">
        <v>1949</v>
      </c>
      <c r="H600" s="8" t="s">
        <v>1950</v>
      </c>
      <c r="I600" s="4"/>
      <c r="J600" s="5" t="s">
        <v>20</v>
      </c>
      <c r="K600" s="6"/>
      <c r="L600" s="5"/>
      <c r="M600" s="5"/>
      <c r="N600" s="6"/>
      <c r="O600" s="7"/>
      <c r="P600" s="8" t="s">
        <v>21</v>
      </c>
      <c r="Q600" s="8" t="s">
        <v>22</v>
      </c>
    </row>
    <row r="601" customFormat="false" ht="15" hidden="false" customHeight="false" outlineLevel="0" collapsed="false">
      <c r="A601" s="2" t="n">
        <v>600</v>
      </c>
      <c r="B601" s="3" t="s">
        <v>1951</v>
      </c>
      <c r="C601" s="3" t="s">
        <v>153</v>
      </c>
      <c r="D601" s="4"/>
      <c r="E601" s="3"/>
      <c r="F601" s="3" t="s">
        <v>19</v>
      </c>
      <c r="G601" s="3" t="s">
        <v>1952</v>
      </c>
      <c r="H601" s="8" t="s">
        <v>1953</v>
      </c>
      <c r="I601" s="4" t="s">
        <v>1954</v>
      </c>
      <c r="J601" s="5" t="s">
        <v>20</v>
      </c>
      <c r="K601" s="6"/>
      <c r="L601" s="5"/>
      <c r="M601" s="5"/>
      <c r="N601" s="6"/>
      <c r="O601" s="7"/>
      <c r="P601" s="8" t="s">
        <v>21</v>
      </c>
      <c r="Q601" s="8" t="s">
        <v>22</v>
      </c>
    </row>
    <row r="602" customFormat="false" ht="15" hidden="false" customHeight="false" outlineLevel="0" collapsed="false">
      <c r="A602" s="2" t="n">
        <v>601</v>
      </c>
      <c r="B602" s="3" t="s">
        <v>1955</v>
      </c>
      <c r="C602" s="3" t="s">
        <v>601</v>
      </c>
      <c r="D602" s="4"/>
      <c r="E602" s="3"/>
      <c r="F602" s="3" t="s">
        <v>19</v>
      </c>
      <c r="G602" s="3"/>
      <c r="H602" s="3"/>
      <c r="I602" s="4"/>
      <c r="J602" s="5" t="s">
        <v>20</v>
      </c>
      <c r="K602" s="6"/>
      <c r="L602" s="5"/>
      <c r="M602" s="5"/>
      <c r="N602" s="6"/>
      <c r="O602" s="7"/>
      <c r="P602" s="8" t="s">
        <v>21</v>
      </c>
      <c r="Q602" s="8" t="s">
        <v>22</v>
      </c>
    </row>
    <row r="603" customFormat="false" ht="15" hidden="false" customHeight="false" outlineLevel="0" collapsed="false">
      <c r="A603" s="2" t="n">
        <v>602</v>
      </c>
      <c r="B603" s="3" t="s">
        <v>1956</v>
      </c>
      <c r="C603" s="3"/>
      <c r="D603" s="4" t="s">
        <v>1957</v>
      </c>
      <c r="E603" s="3" t="s">
        <v>57</v>
      </c>
      <c r="F603" s="3" t="s">
        <v>19</v>
      </c>
      <c r="G603" s="3" t="s">
        <v>1958</v>
      </c>
      <c r="H603" s="8" t="s">
        <v>1959</v>
      </c>
      <c r="I603" s="4" t="s">
        <v>1406</v>
      </c>
      <c r="J603" s="5" t="s">
        <v>20</v>
      </c>
      <c r="K603" s="6"/>
      <c r="L603" s="5"/>
      <c r="M603" s="5"/>
      <c r="N603" s="6"/>
      <c r="O603" s="7"/>
      <c r="P603" s="8" t="s">
        <v>21</v>
      </c>
      <c r="Q603" s="8" t="s">
        <v>22</v>
      </c>
    </row>
    <row r="604" customFormat="false" ht="15" hidden="false" customHeight="false" outlineLevel="0" collapsed="false">
      <c r="A604" s="2" t="n">
        <v>603</v>
      </c>
      <c r="B604" s="3" t="s">
        <v>1960</v>
      </c>
      <c r="C604" s="3" t="s">
        <v>120</v>
      </c>
      <c r="D604" s="4" t="s">
        <v>1961</v>
      </c>
      <c r="E604" s="3" t="s">
        <v>93</v>
      </c>
      <c r="F604" s="3" t="s">
        <v>19</v>
      </c>
      <c r="G604" s="3"/>
      <c r="H604" s="3"/>
      <c r="I604" s="4" t="s">
        <v>1962</v>
      </c>
      <c r="J604" s="5" t="s">
        <v>20</v>
      </c>
      <c r="K604" s="6"/>
      <c r="L604" s="5"/>
      <c r="M604" s="5"/>
      <c r="N604" s="6"/>
      <c r="O604" s="7"/>
      <c r="P604" s="8" t="s">
        <v>21</v>
      </c>
      <c r="Q604" s="8" t="s">
        <v>22</v>
      </c>
    </row>
    <row r="605" customFormat="false" ht="15" hidden="false" customHeight="false" outlineLevel="0" collapsed="false">
      <c r="A605" s="2" t="n">
        <v>604</v>
      </c>
      <c r="B605" s="3" t="s">
        <v>1963</v>
      </c>
      <c r="C605" s="3" t="s">
        <v>120</v>
      </c>
      <c r="D605" s="4"/>
      <c r="E605" s="3"/>
      <c r="F605" s="3" t="s">
        <v>19</v>
      </c>
      <c r="G605" s="3" t="s">
        <v>1964</v>
      </c>
      <c r="H605" s="8" t="s">
        <v>1965</v>
      </c>
      <c r="I605" s="4" t="s">
        <v>1966</v>
      </c>
      <c r="J605" s="5" t="s">
        <v>20</v>
      </c>
      <c r="K605" s="6"/>
      <c r="L605" s="5"/>
      <c r="M605" s="5"/>
      <c r="N605" s="6"/>
      <c r="O605" s="7"/>
      <c r="P605" s="8" t="s">
        <v>21</v>
      </c>
      <c r="Q605" s="8" t="s">
        <v>22</v>
      </c>
    </row>
    <row r="606" customFormat="false" ht="15" hidden="false" customHeight="false" outlineLevel="0" collapsed="false">
      <c r="A606" s="2" t="n">
        <v>605</v>
      </c>
      <c r="B606" s="3" t="s">
        <v>1967</v>
      </c>
      <c r="C606" s="3" t="s">
        <v>24</v>
      </c>
      <c r="D606" s="4" t="s">
        <v>1968</v>
      </c>
      <c r="E606" s="3" t="s">
        <v>26</v>
      </c>
      <c r="F606" s="3" t="s">
        <v>19</v>
      </c>
      <c r="G606" s="3" t="s">
        <v>1969</v>
      </c>
      <c r="H606" s="8" t="s">
        <v>1970</v>
      </c>
      <c r="I606" s="4" t="s">
        <v>1971</v>
      </c>
      <c r="J606" s="5" t="s">
        <v>20</v>
      </c>
      <c r="K606" s="6"/>
      <c r="L606" s="5"/>
      <c r="M606" s="5"/>
      <c r="N606" s="6"/>
      <c r="O606" s="7"/>
      <c r="P606" s="8" t="s">
        <v>21</v>
      </c>
      <c r="Q606" s="8" t="s">
        <v>22</v>
      </c>
    </row>
    <row r="607" customFormat="false" ht="15" hidden="false" customHeight="false" outlineLevel="0" collapsed="false">
      <c r="A607" s="2" t="n">
        <v>606</v>
      </c>
      <c r="B607" s="3" t="s">
        <v>1972</v>
      </c>
      <c r="C607" s="3" t="s">
        <v>120</v>
      </c>
      <c r="D607" s="4"/>
      <c r="E607" s="3"/>
      <c r="F607" s="3" t="s">
        <v>19</v>
      </c>
      <c r="G607" s="3" t="s">
        <v>1973</v>
      </c>
      <c r="H607" s="8" t="s">
        <v>1974</v>
      </c>
      <c r="I607" s="4"/>
      <c r="J607" s="5" t="s">
        <v>20</v>
      </c>
      <c r="K607" s="6"/>
      <c r="L607" s="5"/>
      <c r="M607" s="5"/>
      <c r="N607" s="6"/>
      <c r="O607" s="7"/>
      <c r="P607" s="8" t="s">
        <v>21</v>
      </c>
      <c r="Q607" s="8" t="s">
        <v>22</v>
      </c>
    </row>
    <row r="608" customFormat="false" ht="15" hidden="false" customHeight="false" outlineLevel="0" collapsed="false">
      <c r="A608" s="2" t="n">
        <v>607</v>
      </c>
      <c r="B608" s="3" t="s">
        <v>1975</v>
      </c>
      <c r="C608" s="3"/>
      <c r="D608" s="4"/>
      <c r="E608" s="3"/>
      <c r="F608" s="3" t="s">
        <v>19</v>
      </c>
      <c r="G608" s="3"/>
      <c r="H608" s="3"/>
      <c r="I608" s="4"/>
      <c r="J608" s="5" t="s">
        <v>20</v>
      </c>
      <c r="K608" s="6"/>
      <c r="L608" s="5"/>
      <c r="M608" s="5"/>
      <c r="N608" s="6"/>
      <c r="O608" s="7"/>
      <c r="P608" s="8" t="s">
        <v>21</v>
      </c>
      <c r="Q608" s="8" t="s">
        <v>22</v>
      </c>
    </row>
    <row r="609" customFormat="false" ht="15" hidden="false" customHeight="false" outlineLevel="0" collapsed="false">
      <c r="A609" s="2" t="n">
        <v>608</v>
      </c>
      <c r="B609" s="3" t="s">
        <v>1976</v>
      </c>
      <c r="C609" s="3"/>
      <c r="D609" s="4"/>
      <c r="E609" s="3"/>
      <c r="F609" s="3" t="s">
        <v>19</v>
      </c>
      <c r="G609" s="3"/>
      <c r="H609" s="3"/>
      <c r="I609" s="4" t="s">
        <v>1977</v>
      </c>
      <c r="J609" s="5" t="s">
        <v>20</v>
      </c>
      <c r="K609" s="6"/>
      <c r="L609" s="5"/>
      <c r="M609" s="5"/>
      <c r="N609" s="6"/>
      <c r="O609" s="7"/>
      <c r="P609" s="8" t="s">
        <v>21</v>
      </c>
      <c r="Q609" s="8" t="s">
        <v>22</v>
      </c>
    </row>
    <row r="610" customFormat="false" ht="15" hidden="false" customHeight="false" outlineLevel="0" collapsed="false">
      <c r="A610" s="2" t="n">
        <v>609</v>
      </c>
      <c r="B610" s="3" t="s">
        <v>1978</v>
      </c>
      <c r="C610" s="3"/>
      <c r="D610" s="4"/>
      <c r="E610" s="3"/>
      <c r="F610" s="3" t="s">
        <v>19</v>
      </c>
      <c r="G610" s="3"/>
      <c r="H610" s="3"/>
      <c r="I610" s="4"/>
      <c r="J610" s="5" t="s">
        <v>20</v>
      </c>
      <c r="K610" s="6"/>
      <c r="L610" s="5"/>
      <c r="M610" s="5"/>
      <c r="N610" s="6"/>
      <c r="O610" s="7"/>
      <c r="P610" s="8" t="s">
        <v>21</v>
      </c>
      <c r="Q610" s="8" t="s">
        <v>22</v>
      </c>
    </row>
    <row r="611" customFormat="false" ht="15" hidden="false" customHeight="false" outlineLevel="0" collapsed="false">
      <c r="A611" s="2" t="n">
        <v>610</v>
      </c>
      <c r="B611" s="3" t="s">
        <v>1979</v>
      </c>
      <c r="C611" s="3"/>
      <c r="D611" s="4" t="s">
        <v>1980</v>
      </c>
      <c r="E611" s="3" t="s">
        <v>93</v>
      </c>
      <c r="F611" s="3" t="s">
        <v>19</v>
      </c>
      <c r="G611" s="3" t="s">
        <v>1981</v>
      </c>
      <c r="H611" s="8" t="s">
        <v>1982</v>
      </c>
      <c r="I611" s="4" t="s">
        <v>376</v>
      </c>
      <c r="J611" s="5" t="s">
        <v>20</v>
      </c>
      <c r="K611" s="6"/>
      <c r="L611" s="5"/>
      <c r="M611" s="5"/>
      <c r="N611" s="6"/>
      <c r="O611" s="7"/>
      <c r="P611" s="8" t="s">
        <v>21</v>
      </c>
      <c r="Q611" s="8" t="s">
        <v>22</v>
      </c>
    </row>
    <row r="612" customFormat="false" ht="15" hidden="false" customHeight="false" outlineLevel="0" collapsed="false">
      <c r="A612" s="2" t="n">
        <v>611</v>
      </c>
      <c r="B612" s="3" t="s">
        <v>1983</v>
      </c>
      <c r="C612" s="3" t="s">
        <v>116</v>
      </c>
      <c r="D612" s="4"/>
      <c r="E612" s="3"/>
      <c r="F612" s="3" t="s">
        <v>19</v>
      </c>
      <c r="G612" s="3" t="s">
        <v>1984</v>
      </c>
      <c r="H612" s="8" t="s">
        <v>1985</v>
      </c>
      <c r="I612" s="4" t="s">
        <v>1986</v>
      </c>
      <c r="J612" s="5" t="s">
        <v>20</v>
      </c>
      <c r="K612" s="6"/>
      <c r="L612" s="5"/>
      <c r="M612" s="5"/>
      <c r="N612" s="6"/>
      <c r="O612" s="7"/>
      <c r="P612" s="8" t="s">
        <v>21</v>
      </c>
      <c r="Q612" s="8" t="s">
        <v>22</v>
      </c>
    </row>
    <row r="613" customFormat="false" ht="15" hidden="false" customHeight="false" outlineLevel="0" collapsed="false">
      <c r="A613" s="2" t="n">
        <v>612</v>
      </c>
      <c r="B613" s="3" t="s">
        <v>1983</v>
      </c>
      <c r="C613" s="3" t="s">
        <v>234</v>
      </c>
      <c r="D613" s="4"/>
      <c r="E613" s="3"/>
      <c r="F613" s="3" t="s">
        <v>19</v>
      </c>
      <c r="G613" s="3" t="s">
        <v>1987</v>
      </c>
      <c r="H613" s="8" t="s">
        <v>1985</v>
      </c>
      <c r="I613" s="4" t="s">
        <v>1988</v>
      </c>
      <c r="J613" s="5" t="s">
        <v>20</v>
      </c>
      <c r="K613" s="6"/>
      <c r="L613" s="5"/>
      <c r="M613" s="5"/>
      <c r="N613" s="6"/>
      <c r="O613" s="7"/>
      <c r="P613" s="8" t="s">
        <v>21</v>
      </c>
      <c r="Q613" s="8" t="s">
        <v>22</v>
      </c>
    </row>
    <row r="614" customFormat="false" ht="15" hidden="false" customHeight="false" outlineLevel="0" collapsed="false">
      <c r="A614" s="2" t="n">
        <v>613</v>
      </c>
      <c r="B614" s="3" t="s">
        <v>1989</v>
      </c>
      <c r="C614" s="3" t="s">
        <v>126</v>
      </c>
      <c r="D614" s="4"/>
      <c r="E614" s="3"/>
      <c r="F614" s="3" t="s">
        <v>19</v>
      </c>
      <c r="G614" s="3"/>
      <c r="H614" s="3"/>
      <c r="I614" s="4"/>
      <c r="J614" s="5" t="s">
        <v>20</v>
      </c>
      <c r="K614" s="6"/>
      <c r="L614" s="5"/>
      <c r="M614" s="5"/>
      <c r="N614" s="6"/>
      <c r="O614" s="7"/>
      <c r="P614" s="8" t="s">
        <v>21</v>
      </c>
      <c r="Q614" s="8" t="s">
        <v>22</v>
      </c>
    </row>
    <row r="615" customFormat="false" ht="15" hidden="false" customHeight="false" outlineLevel="0" collapsed="false">
      <c r="A615" s="2" t="n">
        <v>614</v>
      </c>
      <c r="B615" s="3" t="s">
        <v>1990</v>
      </c>
      <c r="C615" s="3"/>
      <c r="D615" s="4"/>
      <c r="E615" s="3"/>
      <c r="F615" s="3" t="s">
        <v>19</v>
      </c>
      <c r="G615" s="3" t="s">
        <v>1991</v>
      </c>
      <c r="H615" s="8" t="s">
        <v>1992</v>
      </c>
      <c r="I615" s="4" t="s">
        <v>1993</v>
      </c>
      <c r="J615" s="5" t="s">
        <v>20</v>
      </c>
      <c r="K615" s="6"/>
      <c r="L615" s="5"/>
      <c r="M615" s="5"/>
      <c r="N615" s="6"/>
      <c r="O615" s="7"/>
      <c r="P615" s="8" t="s">
        <v>21</v>
      </c>
      <c r="Q615" s="8" t="s">
        <v>22</v>
      </c>
    </row>
    <row r="616" customFormat="false" ht="15" hidden="false" customHeight="false" outlineLevel="0" collapsed="false">
      <c r="A616" s="2" t="n">
        <v>615</v>
      </c>
      <c r="B616" s="3" t="s">
        <v>1994</v>
      </c>
      <c r="C616" s="3" t="s">
        <v>120</v>
      </c>
      <c r="D616" s="4"/>
      <c r="E616" s="3"/>
      <c r="F616" s="3" t="s">
        <v>19</v>
      </c>
      <c r="G616" s="3" t="s">
        <v>1995</v>
      </c>
      <c r="H616" s="8" t="s">
        <v>1996</v>
      </c>
      <c r="I616" s="4" t="s">
        <v>1997</v>
      </c>
      <c r="J616" s="5" t="s">
        <v>20</v>
      </c>
      <c r="K616" s="6"/>
      <c r="L616" s="5"/>
      <c r="M616" s="5"/>
      <c r="N616" s="6"/>
      <c r="O616" s="7"/>
      <c r="P616" s="8" t="s">
        <v>21</v>
      </c>
      <c r="Q616" s="8" t="s">
        <v>22</v>
      </c>
    </row>
    <row r="617" customFormat="false" ht="15" hidden="false" customHeight="false" outlineLevel="0" collapsed="false">
      <c r="A617" s="2" t="n">
        <v>616</v>
      </c>
      <c r="B617" s="3" t="s">
        <v>1998</v>
      </c>
      <c r="C617" s="3" t="s">
        <v>120</v>
      </c>
      <c r="D617" s="4" t="s">
        <v>1999</v>
      </c>
      <c r="E617" s="3"/>
      <c r="F617" s="3" t="s">
        <v>19</v>
      </c>
      <c r="G617" s="3" t="s">
        <v>2000</v>
      </c>
      <c r="H617" s="8" t="s">
        <v>2001</v>
      </c>
      <c r="I617" s="4" t="s">
        <v>2002</v>
      </c>
      <c r="J617" s="5" t="s">
        <v>20</v>
      </c>
      <c r="K617" s="6"/>
      <c r="L617" s="5"/>
      <c r="M617" s="5"/>
      <c r="N617" s="6"/>
      <c r="O617" s="7"/>
      <c r="P617" s="8" t="s">
        <v>21</v>
      </c>
      <c r="Q617" s="8" t="s">
        <v>22</v>
      </c>
    </row>
    <row r="618" customFormat="false" ht="15" hidden="false" customHeight="false" outlineLevel="0" collapsed="false">
      <c r="A618" s="2" t="n">
        <v>617</v>
      </c>
      <c r="B618" s="3" t="s">
        <v>2003</v>
      </c>
      <c r="C618" s="3" t="s">
        <v>2004</v>
      </c>
      <c r="D618" s="4" t="s">
        <v>2005</v>
      </c>
      <c r="E618" s="3" t="s">
        <v>93</v>
      </c>
      <c r="F618" s="3" t="s">
        <v>19</v>
      </c>
      <c r="G618" s="3" t="s">
        <v>2006</v>
      </c>
      <c r="H618" s="8" t="s">
        <v>2007</v>
      </c>
      <c r="I618" s="4" t="s">
        <v>2008</v>
      </c>
      <c r="J618" s="5" t="s">
        <v>20</v>
      </c>
      <c r="K618" s="6"/>
      <c r="L618" s="5"/>
      <c r="M618" s="5"/>
      <c r="N618" s="6"/>
      <c r="O618" s="7"/>
      <c r="P618" s="8" t="s">
        <v>21</v>
      </c>
      <c r="Q618" s="8" t="s">
        <v>22</v>
      </c>
    </row>
    <row r="619" customFormat="false" ht="15" hidden="false" customHeight="false" outlineLevel="0" collapsed="false">
      <c r="A619" s="2" t="n">
        <v>618</v>
      </c>
      <c r="B619" s="3" t="s">
        <v>2009</v>
      </c>
      <c r="C619" s="3" t="s">
        <v>2010</v>
      </c>
      <c r="D619" s="4"/>
      <c r="E619" s="3"/>
      <c r="F619" s="3" t="s">
        <v>19</v>
      </c>
      <c r="G619" s="3" t="s">
        <v>2011</v>
      </c>
      <c r="H619" s="8" t="s">
        <v>2012</v>
      </c>
      <c r="I619" s="4" t="s">
        <v>564</v>
      </c>
      <c r="J619" s="5" t="s">
        <v>20</v>
      </c>
      <c r="K619" s="6"/>
      <c r="L619" s="5"/>
      <c r="M619" s="5"/>
      <c r="N619" s="6"/>
      <c r="O619" s="7"/>
      <c r="P619" s="8" t="s">
        <v>21</v>
      </c>
      <c r="Q619" s="8" t="s">
        <v>22</v>
      </c>
    </row>
    <row r="620" customFormat="false" ht="23.85" hidden="false" customHeight="false" outlineLevel="0" collapsed="false">
      <c r="A620" s="2" t="n">
        <v>619</v>
      </c>
      <c r="B620" s="3" t="s">
        <v>2013</v>
      </c>
      <c r="C620" s="3" t="s">
        <v>601</v>
      </c>
      <c r="D620" s="4"/>
      <c r="E620" s="3"/>
      <c r="F620" s="3" t="s">
        <v>19</v>
      </c>
      <c r="G620" s="3"/>
      <c r="H620" s="3"/>
      <c r="I620" s="4" t="s">
        <v>2014</v>
      </c>
      <c r="J620" s="5" t="s">
        <v>20</v>
      </c>
      <c r="K620" s="6"/>
      <c r="L620" s="5"/>
      <c r="M620" s="5"/>
      <c r="N620" s="6"/>
      <c r="O620" s="7"/>
      <c r="P620" s="8" t="s">
        <v>21</v>
      </c>
      <c r="Q620" s="8" t="s">
        <v>22</v>
      </c>
    </row>
    <row r="621" customFormat="false" ht="15" hidden="false" customHeight="false" outlineLevel="0" collapsed="false">
      <c r="A621" s="2" t="n">
        <v>620</v>
      </c>
      <c r="B621" s="3" t="s">
        <v>2015</v>
      </c>
      <c r="C621" s="3"/>
      <c r="D621" s="4"/>
      <c r="E621" s="3"/>
      <c r="F621" s="3" t="s">
        <v>19</v>
      </c>
      <c r="G621" s="3" t="s">
        <v>2016</v>
      </c>
      <c r="H621" s="8" t="s">
        <v>2017</v>
      </c>
      <c r="I621" s="4" t="s">
        <v>2018</v>
      </c>
      <c r="J621" s="5" t="s">
        <v>20</v>
      </c>
      <c r="K621" s="6"/>
      <c r="L621" s="5"/>
      <c r="M621" s="5"/>
      <c r="N621" s="6"/>
      <c r="O621" s="7"/>
      <c r="P621" s="8" t="s">
        <v>21</v>
      </c>
      <c r="Q621" s="8" t="s">
        <v>22</v>
      </c>
    </row>
    <row r="622" customFormat="false" ht="15" hidden="false" customHeight="false" outlineLevel="0" collapsed="false">
      <c r="A622" s="2" t="n">
        <v>621</v>
      </c>
      <c r="B622" s="3" t="s">
        <v>2019</v>
      </c>
      <c r="C622" s="3"/>
      <c r="D622" s="4"/>
      <c r="E622" s="3"/>
      <c r="F622" s="3" t="s">
        <v>19</v>
      </c>
      <c r="G622" s="3" t="s">
        <v>2020</v>
      </c>
      <c r="H622" s="8" t="s">
        <v>2021</v>
      </c>
      <c r="I622" s="4" t="s">
        <v>2022</v>
      </c>
      <c r="J622" s="5" t="s">
        <v>20</v>
      </c>
      <c r="K622" s="6"/>
      <c r="L622" s="5"/>
      <c r="M622" s="5"/>
      <c r="N622" s="6"/>
      <c r="O622" s="7"/>
      <c r="P622" s="8" t="s">
        <v>21</v>
      </c>
      <c r="Q622" s="8" t="s">
        <v>22</v>
      </c>
    </row>
    <row r="623" customFormat="false" ht="15" hidden="false" customHeight="false" outlineLevel="0" collapsed="false">
      <c r="A623" s="2" t="n">
        <v>622</v>
      </c>
      <c r="B623" s="3" t="s">
        <v>2023</v>
      </c>
      <c r="C623" s="3"/>
      <c r="D623" s="4"/>
      <c r="E623" s="3"/>
      <c r="F623" s="3" t="s">
        <v>19</v>
      </c>
      <c r="G623" s="3" t="s">
        <v>2024</v>
      </c>
      <c r="H623" s="8" t="s">
        <v>2025</v>
      </c>
      <c r="I623" s="4" t="s">
        <v>2026</v>
      </c>
      <c r="J623" s="5" t="s">
        <v>20</v>
      </c>
      <c r="K623" s="6"/>
      <c r="L623" s="5"/>
      <c r="M623" s="5"/>
      <c r="N623" s="6"/>
      <c r="O623" s="7"/>
      <c r="P623" s="8" t="s">
        <v>21</v>
      </c>
      <c r="Q623" s="8" t="s">
        <v>22</v>
      </c>
    </row>
    <row r="624" customFormat="false" ht="15" hidden="false" customHeight="false" outlineLevel="0" collapsed="false">
      <c r="A624" s="2" t="n">
        <v>623</v>
      </c>
      <c r="B624" s="3" t="s">
        <v>2027</v>
      </c>
      <c r="C624" s="3"/>
      <c r="D624" s="4"/>
      <c r="E624" s="3"/>
      <c r="F624" s="3" t="s">
        <v>19</v>
      </c>
      <c r="G624" s="3"/>
      <c r="H624" s="3"/>
      <c r="I624" s="4" t="s">
        <v>2028</v>
      </c>
      <c r="J624" s="5" t="s">
        <v>20</v>
      </c>
      <c r="K624" s="6"/>
      <c r="L624" s="5"/>
      <c r="M624" s="5"/>
      <c r="N624" s="6"/>
      <c r="O624" s="7"/>
      <c r="P624" s="8" t="s">
        <v>21</v>
      </c>
      <c r="Q624" s="8" t="s">
        <v>22</v>
      </c>
    </row>
    <row r="625" customFormat="false" ht="35.05" hidden="false" customHeight="false" outlineLevel="0" collapsed="false">
      <c r="A625" s="2" t="n">
        <v>624</v>
      </c>
      <c r="B625" s="3" t="s">
        <v>2029</v>
      </c>
      <c r="C625" s="3" t="s">
        <v>91</v>
      </c>
      <c r="D625" s="4"/>
      <c r="E625" s="3"/>
      <c r="F625" s="3" t="s">
        <v>19</v>
      </c>
      <c r="G625" s="3"/>
      <c r="H625" s="3"/>
      <c r="I625" s="4" t="s">
        <v>2030</v>
      </c>
      <c r="J625" s="5" t="s">
        <v>20</v>
      </c>
      <c r="K625" s="6"/>
      <c r="L625" s="5"/>
      <c r="M625" s="5"/>
      <c r="N625" s="6"/>
      <c r="O625" s="7"/>
      <c r="P625" s="8" t="s">
        <v>21</v>
      </c>
      <c r="Q625" s="8" t="s">
        <v>22</v>
      </c>
    </row>
    <row r="626" customFormat="false" ht="15" hidden="false" customHeight="false" outlineLevel="0" collapsed="false">
      <c r="A626" s="2" t="n">
        <v>625</v>
      </c>
      <c r="B626" s="3" t="s">
        <v>2031</v>
      </c>
      <c r="C626" s="3"/>
      <c r="D626" s="4"/>
      <c r="E626" s="3"/>
      <c r="F626" s="3" t="s">
        <v>19</v>
      </c>
      <c r="G626" s="3" t="s">
        <v>2032</v>
      </c>
      <c r="H626" s="8" t="s">
        <v>2033</v>
      </c>
      <c r="I626" s="4"/>
      <c r="J626" s="5" t="s">
        <v>20</v>
      </c>
      <c r="K626" s="6"/>
      <c r="L626" s="5"/>
      <c r="M626" s="5"/>
      <c r="N626" s="6"/>
      <c r="O626" s="7"/>
      <c r="P626" s="8" t="s">
        <v>21</v>
      </c>
      <c r="Q626" s="8" t="s">
        <v>22</v>
      </c>
    </row>
    <row r="627" customFormat="false" ht="23.85" hidden="false" customHeight="false" outlineLevel="0" collapsed="false">
      <c r="A627" s="2" t="n">
        <v>626</v>
      </c>
      <c r="B627" s="3" t="s">
        <v>2034</v>
      </c>
      <c r="C627" s="3" t="s">
        <v>120</v>
      </c>
      <c r="D627" s="4"/>
      <c r="E627" s="3"/>
      <c r="F627" s="3" t="s">
        <v>19</v>
      </c>
      <c r="G627" s="3" t="s">
        <v>2035</v>
      </c>
      <c r="H627" s="3"/>
      <c r="I627" s="4" t="s">
        <v>2036</v>
      </c>
      <c r="J627" s="5" t="s">
        <v>20</v>
      </c>
      <c r="K627" s="6"/>
      <c r="L627" s="5"/>
      <c r="M627" s="5"/>
      <c r="N627" s="6"/>
      <c r="O627" s="7"/>
      <c r="P627" s="8" t="s">
        <v>21</v>
      </c>
      <c r="Q627" s="8" t="s">
        <v>22</v>
      </c>
    </row>
    <row r="628" customFormat="false" ht="15" hidden="false" customHeight="false" outlineLevel="0" collapsed="false">
      <c r="A628" s="2" t="n">
        <v>627</v>
      </c>
      <c r="B628" s="3" t="s">
        <v>2037</v>
      </c>
      <c r="C628" s="3" t="s">
        <v>2038</v>
      </c>
      <c r="D628" s="4" t="s">
        <v>2039</v>
      </c>
      <c r="E628" s="3" t="s">
        <v>93</v>
      </c>
      <c r="F628" s="3" t="s">
        <v>19</v>
      </c>
      <c r="G628" s="3" t="s">
        <v>2040</v>
      </c>
      <c r="H628" s="8" t="s">
        <v>2041</v>
      </c>
      <c r="I628" s="4" t="s">
        <v>2042</v>
      </c>
      <c r="J628" s="5" t="s">
        <v>20</v>
      </c>
      <c r="K628" s="6"/>
      <c r="L628" s="5"/>
      <c r="M628" s="5"/>
      <c r="N628" s="6"/>
      <c r="O628" s="7"/>
      <c r="P628" s="8" t="s">
        <v>21</v>
      </c>
      <c r="Q628" s="8" t="s">
        <v>22</v>
      </c>
    </row>
    <row r="629" customFormat="false" ht="23.85" hidden="false" customHeight="false" outlineLevel="0" collapsed="false">
      <c r="A629" s="2" t="n">
        <v>628</v>
      </c>
      <c r="B629" s="3" t="s">
        <v>2043</v>
      </c>
      <c r="C629" s="3"/>
      <c r="D629" s="4"/>
      <c r="E629" s="3"/>
      <c r="F629" s="3" t="s">
        <v>19</v>
      </c>
      <c r="G629" s="3" t="s">
        <v>2044</v>
      </c>
      <c r="H629" s="3"/>
      <c r="I629" s="4" t="s">
        <v>2045</v>
      </c>
      <c r="J629" s="5" t="s">
        <v>20</v>
      </c>
      <c r="K629" s="6"/>
      <c r="L629" s="5"/>
      <c r="M629" s="5"/>
      <c r="N629" s="6"/>
      <c r="O629" s="7"/>
      <c r="P629" s="8" t="s">
        <v>21</v>
      </c>
      <c r="Q629" s="8" t="s">
        <v>22</v>
      </c>
    </row>
    <row r="630" customFormat="false" ht="15" hidden="false" customHeight="false" outlineLevel="0" collapsed="false">
      <c r="A630" s="2" t="n">
        <v>629</v>
      </c>
      <c r="B630" s="3" t="s">
        <v>2046</v>
      </c>
      <c r="C630" s="3"/>
      <c r="D630" s="4"/>
      <c r="E630" s="3"/>
      <c r="F630" s="3" t="s">
        <v>19</v>
      </c>
      <c r="G630" s="3"/>
      <c r="H630" s="3"/>
      <c r="I630" s="4"/>
      <c r="J630" s="5" t="s">
        <v>20</v>
      </c>
      <c r="K630" s="6"/>
      <c r="L630" s="5"/>
      <c r="M630" s="5"/>
      <c r="N630" s="6"/>
      <c r="O630" s="7"/>
      <c r="P630" s="8" t="s">
        <v>21</v>
      </c>
      <c r="Q630" s="8" t="s">
        <v>22</v>
      </c>
    </row>
    <row r="631" customFormat="false" ht="15" hidden="false" customHeight="false" outlineLevel="0" collapsed="false">
      <c r="A631" s="2" t="n">
        <v>630</v>
      </c>
      <c r="B631" s="3" t="s">
        <v>2047</v>
      </c>
      <c r="C631" s="3"/>
      <c r="D631" s="4" t="s">
        <v>2048</v>
      </c>
      <c r="E631" s="3" t="s">
        <v>26</v>
      </c>
      <c r="F631" s="3" t="s">
        <v>19</v>
      </c>
      <c r="G631" s="3"/>
      <c r="H631" s="3"/>
      <c r="I631" s="4"/>
      <c r="J631" s="5" t="s">
        <v>20</v>
      </c>
      <c r="K631" s="6"/>
      <c r="L631" s="5"/>
      <c r="M631" s="5"/>
      <c r="N631" s="6"/>
      <c r="O631" s="7"/>
      <c r="P631" s="8" t="s">
        <v>21</v>
      </c>
      <c r="Q631" s="8" t="s">
        <v>22</v>
      </c>
    </row>
    <row r="632" customFormat="false" ht="15" hidden="false" customHeight="false" outlineLevel="0" collapsed="false">
      <c r="A632" s="2" t="n">
        <v>631</v>
      </c>
      <c r="B632" s="3" t="s">
        <v>2049</v>
      </c>
      <c r="C632" s="3"/>
      <c r="D632" s="4"/>
      <c r="E632" s="3"/>
      <c r="F632" s="3" t="s">
        <v>19</v>
      </c>
      <c r="G632" s="3" t="s">
        <v>2050</v>
      </c>
      <c r="H632" s="8" t="s">
        <v>2051</v>
      </c>
      <c r="I632" s="4" t="s">
        <v>2052</v>
      </c>
      <c r="J632" s="5" t="s">
        <v>20</v>
      </c>
      <c r="K632" s="6"/>
      <c r="L632" s="5"/>
      <c r="M632" s="5"/>
      <c r="N632" s="6"/>
      <c r="O632" s="7"/>
      <c r="P632" s="8" t="s">
        <v>21</v>
      </c>
      <c r="Q632" s="8" t="s">
        <v>22</v>
      </c>
    </row>
    <row r="633" customFormat="false" ht="15" hidden="false" customHeight="false" outlineLevel="0" collapsed="false">
      <c r="A633" s="2" t="n">
        <v>632</v>
      </c>
      <c r="B633" s="3" t="s">
        <v>2053</v>
      </c>
      <c r="C633" s="3" t="s">
        <v>91</v>
      </c>
      <c r="D633" s="4"/>
      <c r="E633" s="3"/>
      <c r="F633" s="3" t="s">
        <v>19</v>
      </c>
      <c r="G633" s="3" t="s">
        <v>2054</v>
      </c>
      <c r="H633" s="8" t="s">
        <v>2055</v>
      </c>
      <c r="I633" s="4" t="s">
        <v>2056</v>
      </c>
      <c r="J633" s="5" t="s">
        <v>20</v>
      </c>
      <c r="K633" s="6"/>
      <c r="L633" s="5"/>
      <c r="M633" s="5"/>
      <c r="N633" s="6"/>
      <c r="O633" s="7"/>
      <c r="P633" s="8" t="s">
        <v>21</v>
      </c>
      <c r="Q633" s="8" t="s">
        <v>22</v>
      </c>
    </row>
    <row r="634" customFormat="false" ht="15" hidden="false" customHeight="false" outlineLevel="0" collapsed="false">
      <c r="A634" s="2" t="n">
        <v>633</v>
      </c>
      <c r="B634" s="3" t="s">
        <v>2057</v>
      </c>
      <c r="C634" s="3" t="s">
        <v>24</v>
      </c>
      <c r="D634" s="4"/>
      <c r="E634" s="3"/>
      <c r="F634" s="3" t="s">
        <v>19</v>
      </c>
      <c r="G634" s="3" t="s">
        <v>2058</v>
      </c>
      <c r="H634" s="8" t="s">
        <v>2059</v>
      </c>
      <c r="I634" s="4" t="s">
        <v>308</v>
      </c>
      <c r="J634" s="5" t="s">
        <v>20</v>
      </c>
      <c r="K634" s="6"/>
      <c r="L634" s="5"/>
      <c r="M634" s="5"/>
      <c r="N634" s="6"/>
      <c r="O634" s="7"/>
      <c r="P634" s="8" t="s">
        <v>21</v>
      </c>
      <c r="Q634" s="8" t="s">
        <v>22</v>
      </c>
    </row>
    <row r="635" customFormat="false" ht="23.85" hidden="false" customHeight="false" outlineLevel="0" collapsed="false">
      <c r="A635" s="2" t="n">
        <v>634</v>
      </c>
      <c r="B635" s="3" t="s">
        <v>2057</v>
      </c>
      <c r="C635" s="3" t="s">
        <v>24</v>
      </c>
      <c r="D635" s="4"/>
      <c r="E635" s="3"/>
      <c r="F635" s="3" t="s">
        <v>19</v>
      </c>
      <c r="G635" s="3" t="s">
        <v>2060</v>
      </c>
      <c r="H635" s="8" t="s">
        <v>2061</v>
      </c>
      <c r="I635" s="4" t="s">
        <v>2062</v>
      </c>
      <c r="J635" s="5" t="s">
        <v>20</v>
      </c>
      <c r="K635" s="6"/>
      <c r="L635" s="5"/>
      <c r="M635" s="5"/>
      <c r="N635" s="6"/>
      <c r="O635" s="7"/>
      <c r="P635" s="8" t="s">
        <v>21</v>
      </c>
      <c r="Q635" s="8" t="s">
        <v>22</v>
      </c>
    </row>
    <row r="636" customFormat="false" ht="15" hidden="false" customHeight="false" outlineLevel="0" collapsed="false">
      <c r="A636" s="2" t="n">
        <v>635</v>
      </c>
      <c r="B636" s="3" t="s">
        <v>2063</v>
      </c>
      <c r="C636" s="3" t="s">
        <v>217</v>
      </c>
      <c r="D636" s="4"/>
      <c r="E636" s="3"/>
      <c r="F636" s="3" t="s">
        <v>19</v>
      </c>
      <c r="G636" s="3" t="s">
        <v>2064</v>
      </c>
      <c r="H636" s="8" t="s">
        <v>2065</v>
      </c>
      <c r="I636" s="4" t="s">
        <v>2066</v>
      </c>
      <c r="J636" s="5" t="s">
        <v>20</v>
      </c>
      <c r="K636" s="6"/>
      <c r="L636" s="5"/>
      <c r="M636" s="5"/>
      <c r="N636" s="6"/>
      <c r="O636" s="7"/>
      <c r="P636" s="8" t="s">
        <v>21</v>
      </c>
      <c r="Q636" s="8" t="s">
        <v>22</v>
      </c>
    </row>
    <row r="637" customFormat="false" ht="15" hidden="false" customHeight="false" outlineLevel="0" collapsed="false">
      <c r="A637" s="2" t="n">
        <v>636</v>
      </c>
      <c r="B637" s="3" t="s">
        <v>2067</v>
      </c>
      <c r="C637" s="3"/>
      <c r="D637" s="4"/>
      <c r="E637" s="3"/>
      <c r="F637" s="3" t="s">
        <v>19</v>
      </c>
      <c r="G637" s="3"/>
      <c r="H637" s="3"/>
      <c r="I637" s="4" t="s">
        <v>2068</v>
      </c>
      <c r="J637" s="5" t="s">
        <v>20</v>
      </c>
      <c r="K637" s="6"/>
      <c r="L637" s="5"/>
      <c r="M637" s="5"/>
      <c r="N637" s="6"/>
      <c r="O637" s="7"/>
      <c r="P637" s="8" t="s">
        <v>21</v>
      </c>
      <c r="Q637" s="8" t="s">
        <v>22</v>
      </c>
    </row>
    <row r="638" customFormat="false" ht="15" hidden="false" customHeight="false" outlineLevel="0" collapsed="false">
      <c r="A638" s="2" t="n">
        <v>637</v>
      </c>
      <c r="B638" s="3" t="s">
        <v>2069</v>
      </c>
      <c r="C638" s="3"/>
      <c r="D638" s="4"/>
      <c r="E638" s="3"/>
      <c r="F638" s="3" t="s">
        <v>19</v>
      </c>
      <c r="G638" s="3"/>
      <c r="H638" s="3"/>
      <c r="I638" s="4"/>
      <c r="J638" s="5" t="s">
        <v>20</v>
      </c>
      <c r="K638" s="6"/>
      <c r="L638" s="5"/>
      <c r="M638" s="5"/>
      <c r="N638" s="6"/>
      <c r="O638" s="7"/>
      <c r="P638" s="8" t="s">
        <v>21</v>
      </c>
      <c r="Q638" s="8" t="s">
        <v>22</v>
      </c>
    </row>
    <row r="639" customFormat="false" ht="15" hidden="false" customHeight="false" outlineLevel="0" collapsed="false">
      <c r="A639" s="2" t="n">
        <v>638</v>
      </c>
      <c r="B639" s="3" t="s">
        <v>2070</v>
      </c>
      <c r="C639" s="3" t="s">
        <v>211</v>
      </c>
      <c r="D639" s="4"/>
      <c r="E639" s="3"/>
      <c r="F639" s="3" t="s">
        <v>19</v>
      </c>
      <c r="G639" s="3" t="s">
        <v>2071</v>
      </c>
      <c r="H639" s="8" t="s">
        <v>2072</v>
      </c>
      <c r="I639" s="4"/>
      <c r="J639" s="5" t="s">
        <v>20</v>
      </c>
      <c r="K639" s="6"/>
      <c r="L639" s="5"/>
      <c r="M639" s="5"/>
      <c r="N639" s="6"/>
      <c r="O639" s="7"/>
      <c r="P639" s="8" t="s">
        <v>21</v>
      </c>
      <c r="Q639" s="8" t="s">
        <v>22</v>
      </c>
    </row>
    <row r="640" customFormat="false" ht="15" hidden="false" customHeight="false" outlineLevel="0" collapsed="false">
      <c r="A640" s="2" t="n">
        <v>639</v>
      </c>
      <c r="B640" s="3" t="s">
        <v>2073</v>
      </c>
      <c r="C640" s="3" t="s">
        <v>71</v>
      </c>
      <c r="D640" s="4"/>
      <c r="E640" s="3"/>
      <c r="F640" s="3" t="s">
        <v>19</v>
      </c>
      <c r="G640" s="3" t="s">
        <v>2074</v>
      </c>
      <c r="H640" s="3"/>
      <c r="I640" s="4" t="s">
        <v>780</v>
      </c>
      <c r="J640" s="5" t="s">
        <v>20</v>
      </c>
      <c r="K640" s="6"/>
      <c r="L640" s="5"/>
      <c r="M640" s="5"/>
      <c r="N640" s="6"/>
      <c r="O640" s="7"/>
      <c r="P640" s="8" t="s">
        <v>21</v>
      </c>
      <c r="Q640" s="8" t="s">
        <v>22</v>
      </c>
    </row>
    <row r="641" customFormat="false" ht="15" hidden="false" customHeight="false" outlineLevel="0" collapsed="false">
      <c r="A641" s="2" t="n">
        <v>640</v>
      </c>
      <c r="B641" s="3" t="s">
        <v>2075</v>
      </c>
      <c r="C641" s="3" t="s">
        <v>2076</v>
      </c>
      <c r="D641" s="4"/>
      <c r="E641" s="3"/>
      <c r="F641" s="3" t="s">
        <v>19</v>
      </c>
      <c r="G641" s="3" t="s">
        <v>2077</v>
      </c>
      <c r="H641" s="3"/>
      <c r="I641" s="4" t="s">
        <v>2078</v>
      </c>
      <c r="J641" s="5" t="s">
        <v>20</v>
      </c>
      <c r="K641" s="6"/>
      <c r="L641" s="5"/>
      <c r="M641" s="5"/>
      <c r="N641" s="6"/>
      <c r="O641" s="7"/>
      <c r="P641" s="8" t="s">
        <v>21</v>
      </c>
      <c r="Q641" s="8" t="s">
        <v>22</v>
      </c>
    </row>
    <row r="642" customFormat="false" ht="15" hidden="false" customHeight="false" outlineLevel="0" collapsed="false">
      <c r="A642" s="2" t="n">
        <v>641</v>
      </c>
      <c r="B642" s="3" t="s">
        <v>2079</v>
      </c>
      <c r="C642" s="3" t="s">
        <v>116</v>
      </c>
      <c r="D642" s="4" t="s">
        <v>745</v>
      </c>
      <c r="E642" s="3" t="s">
        <v>148</v>
      </c>
      <c r="F642" s="3" t="s">
        <v>19</v>
      </c>
      <c r="G642" s="3" t="s">
        <v>2080</v>
      </c>
      <c r="H642" s="3"/>
      <c r="I642" s="4" t="s">
        <v>2081</v>
      </c>
      <c r="J642" s="5" t="s">
        <v>20</v>
      </c>
      <c r="K642" s="6"/>
      <c r="L642" s="5"/>
      <c r="M642" s="5"/>
      <c r="N642" s="6"/>
      <c r="O642" s="7"/>
      <c r="P642" s="8" t="s">
        <v>21</v>
      </c>
      <c r="Q642" s="8" t="s">
        <v>22</v>
      </c>
    </row>
    <row r="643" customFormat="false" ht="15" hidden="false" customHeight="false" outlineLevel="0" collapsed="false">
      <c r="A643" s="2" t="n">
        <v>642</v>
      </c>
      <c r="B643" s="3" t="s">
        <v>2082</v>
      </c>
      <c r="C643" s="3" t="s">
        <v>2083</v>
      </c>
      <c r="D643" s="4"/>
      <c r="E643" s="3"/>
      <c r="F643" s="3" t="s">
        <v>19</v>
      </c>
      <c r="G643" s="3" t="s">
        <v>2084</v>
      </c>
      <c r="H643" s="8" t="s">
        <v>2085</v>
      </c>
      <c r="I643" s="4" t="s">
        <v>1530</v>
      </c>
      <c r="J643" s="5" t="s">
        <v>20</v>
      </c>
      <c r="K643" s="6"/>
      <c r="L643" s="5"/>
      <c r="M643" s="5"/>
      <c r="N643" s="6"/>
      <c r="O643" s="7"/>
      <c r="P643" s="8" t="s">
        <v>21</v>
      </c>
      <c r="Q643" s="8" t="s">
        <v>22</v>
      </c>
    </row>
    <row r="644" customFormat="false" ht="35.05" hidden="false" customHeight="false" outlineLevel="0" collapsed="false">
      <c r="A644" s="2" t="n">
        <v>643</v>
      </c>
      <c r="B644" s="3" t="s">
        <v>2086</v>
      </c>
      <c r="C644" s="3" t="s">
        <v>2087</v>
      </c>
      <c r="D644" s="4"/>
      <c r="E644" s="3"/>
      <c r="F644" s="3" t="s">
        <v>19</v>
      </c>
      <c r="G644" s="3" t="s">
        <v>2088</v>
      </c>
      <c r="H644" s="8" t="s">
        <v>2089</v>
      </c>
      <c r="I644" s="4" t="s">
        <v>2090</v>
      </c>
      <c r="J644" s="5" t="s">
        <v>20</v>
      </c>
      <c r="K644" s="6"/>
      <c r="L644" s="5"/>
      <c r="M644" s="5"/>
      <c r="N644" s="6"/>
      <c r="O644" s="7"/>
      <c r="P644" s="8" t="s">
        <v>21</v>
      </c>
      <c r="Q644" s="8" t="s">
        <v>22</v>
      </c>
    </row>
    <row r="645" customFormat="false" ht="15" hidden="false" customHeight="false" outlineLevel="0" collapsed="false">
      <c r="A645" s="2" t="n">
        <v>644</v>
      </c>
      <c r="B645" s="3" t="s">
        <v>2091</v>
      </c>
      <c r="C645" s="3" t="s">
        <v>2092</v>
      </c>
      <c r="D645" s="4"/>
      <c r="E645" s="3"/>
      <c r="F645" s="3" t="s">
        <v>19</v>
      </c>
      <c r="G645" s="3"/>
      <c r="H645" s="3"/>
      <c r="I645" s="4"/>
      <c r="J645" s="5" t="s">
        <v>20</v>
      </c>
      <c r="K645" s="6"/>
      <c r="L645" s="5"/>
      <c r="M645" s="5"/>
      <c r="N645" s="6"/>
      <c r="O645" s="7"/>
      <c r="P645" s="8" t="s">
        <v>21</v>
      </c>
      <c r="Q645" s="8" t="s">
        <v>22</v>
      </c>
    </row>
    <row r="646" customFormat="false" ht="15" hidden="false" customHeight="false" outlineLevel="0" collapsed="false">
      <c r="A646" s="2" t="n">
        <v>645</v>
      </c>
      <c r="B646" s="3" t="s">
        <v>2093</v>
      </c>
      <c r="C646" s="3" t="s">
        <v>120</v>
      </c>
      <c r="D646" s="4"/>
      <c r="E646" s="3"/>
      <c r="F646" s="3" t="s">
        <v>19</v>
      </c>
      <c r="G646" s="3" t="s">
        <v>2094</v>
      </c>
      <c r="H646" s="8" t="s">
        <v>2095</v>
      </c>
      <c r="I646" s="4" t="s">
        <v>2096</v>
      </c>
      <c r="J646" s="5" t="s">
        <v>20</v>
      </c>
      <c r="K646" s="6"/>
      <c r="L646" s="5"/>
      <c r="M646" s="5"/>
      <c r="N646" s="6"/>
      <c r="O646" s="7"/>
      <c r="P646" s="8" t="s">
        <v>21</v>
      </c>
      <c r="Q646" s="8" t="s">
        <v>22</v>
      </c>
    </row>
    <row r="647" customFormat="false" ht="15" hidden="false" customHeight="false" outlineLevel="0" collapsed="false">
      <c r="A647" s="2" t="n">
        <v>646</v>
      </c>
      <c r="B647" s="3" t="s">
        <v>2097</v>
      </c>
      <c r="C647" s="3" t="s">
        <v>2098</v>
      </c>
      <c r="D647" s="4"/>
      <c r="E647" s="3"/>
      <c r="F647" s="3" t="s">
        <v>19</v>
      </c>
      <c r="G647" s="3"/>
      <c r="H647" s="3"/>
      <c r="I647" s="4"/>
      <c r="J647" s="5" t="s">
        <v>20</v>
      </c>
      <c r="K647" s="6"/>
      <c r="L647" s="5"/>
      <c r="M647" s="5"/>
      <c r="N647" s="6"/>
      <c r="O647" s="7"/>
      <c r="P647" s="8" t="s">
        <v>21</v>
      </c>
      <c r="Q647" s="8" t="s">
        <v>22</v>
      </c>
    </row>
    <row r="648" customFormat="false" ht="15" hidden="false" customHeight="false" outlineLevel="0" collapsed="false">
      <c r="A648" s="2" t="n">
        <v>647</v>
      </c>
      <c r="B648" s="3" t="s">
        <v>2099</v>
      </c>
      <c r="C648" s="3"/>
      <c r="D648" s="4"/>
      <c r="E648" s="3"/>
      <c r="F648" s="3" t="s">
        <v>19</v>
      </c>
      <c r="G648" s="3"/>
      <c r="H648" s="3"/>
      <c r="I648" s="4"/>
      <c r="J648" s="5" t="s">
        <v>20</v>
      </c>
      <c r="K648" s="6"/>
      <c r="L648" s="5"/>
      <c r="M648" s="5"/>
      <c r="N648" s="6"/>
      <c r="O648" s="7"/>
      <c r="P648" s="8" t="s">
        <v>21</v>
      </c>
      <c r="Q648" s="8" t="s">
        <v>22</v>
      </c>
    </row>
    <row r="649" customFormat="false" ht="15" hidden="false" customHeight="false" outlineLevel="0" collapsed="false">
      <c r="A649" s="2" t="n">
        <v>648</v>
      </c>
      <c r="B649" s="3" t="s">
        <v>2100</v>
      </c>
      <c r="C649" s="3" t="s">
        <v>2101</v>
      </c>
      <c r="D649" s="4" t="s">
        <v>2102</v>
      </c>
      <c r="E649" s="3" t="s">
        <v>93</v>
      </c>
      <c r="F649" s="3" t="s">
        <v>19</v>
      </c>
      <c r="G649" s="3" t="s">
        <v>2103</v>
      </c>
      <c r="H649" s="3"/>
      <c r="I649" s="4" t="s">
        <v>2104</v>
      </c>
      <c r="J649" s="5" t="s">
        <v>20</v>
      </c>
      <c r="K649" s="6"/>
      <c r="L649" s="5"/>
      <c r="M649" s="5"/>
      <c r="N649" s="6"/>
      <c r="O649" s="7"/>
      <c r="P649" s="8" t="s">
        <v>21</v>
      </c>
      <c r="Q649" s="8" t="s">
        <v>22</v>
      </c>
    </row>
    <row r="650" customFormat="false" ht="23.85" hidden="false" customHeight="false" outlineLevel="0" collapsed="false">
      <c r="A650" s="2" t="n">
        <v>649</v>
      </c>
      <c r="B650" s="3" t="s">
        <v>2105</v>
      </c>
      <c r="C650" s="3" t="s">
        <v>2106</v>
      </c>
      <c r="D650" s="4"/>
      <c r="E650" s="3"/>
      <c r="F650" s="3" t="s">
        <v>19</v>
      </c>
      <c r="G650" s="3"/>
      <c r="H650" s="8" t="s">
        <v>2107</v>
      </c>
      <c r="I650" s="4" t="s">
        <v>2108</v>
      </c>
      <c r="J650" s="5" t="s">
        <v>20</v>
      </c>
      <c r="K650" s="6"/>
      <c r="L650" s="5"/>
      <c r="M650" s="5"/>
      <c r="N650" s="6"/>
      <c r="O650" s="7"/>
      <c r="P650" s="8" t="s">
        <v>21</v>
      </c>
      <c r="Q650" s="8" t="s">
        <v>22</v>
      </c>
    </row>
    <row r="651" customFormat="false" ht="15" hidden="false" customHeight="false" outlineLevel="0" collapsed="false">
      <c r="A651" s="2" t="n">
        <v>650</v>
      </c>
      <c r="B651" s="3" t="s">
        <v>2109</v>
      </c>
      <c r="C651" s="3" t="s">
        <v>51</v>
      </c>
      <c r="D651" s="4"/>
      <c r="E651" s="3"/>
      <c r="F651" s="3" t="s">
        <v>19</v>
      </c>
      <c r="G651" s="3" t="s">
        <v>2110</v>
      </c>
      <c r="H651" s="8" t="s">
        <v>2111</v>
      </c>
      <c r="I651" s="4" t="s">
        <v>2112</v>
      </c>
      <c r="J651" s="5" t="s">
        <v>20</v>
      </c>
      <c r="K651" s="6"/>
      <c r="L651" s="5"/>
      <c r="M651" s="5"/>
      <c r="N651" s="6"/>
      <c r="O651" s="7"/>
      <c r="P651" s="8" t="s">
        <v>21</v>
      </c>
      <c r="Q651" s="8" t="s">
        <v>22</v>
      </c>
    </row>
    <row r="652" customFormat="false" ht="15" hidden="false" customHeight="false" outlineLevel="0" collapsed="false">
      <c r="A652" s="2" t="n">
        <v>651</v>
      </c>
      <c r="B652" s="3" t="s">
        <v>2113</v>
      </c>
      <c r="C652" s="3"/>
      <c r="D652" s="4"/>
      <c r="E652" s="3"/>
      <c r="F652" s="3" t="s">
        <v>19</v>
      </c>
      <c r="G652" s="3" t="s">
        <v>2114</v>
      </c>
      <c r="H652" s="8" t="s">
        <v>2115</v>
      </c>
      <c r="I652" s="4" t="s">
        <v>455</v>
      </c>
      <c r="J652" s="5" t="s">
        <v>20</v>
      </c>
      <c r="K652" s="6"/>
      <c r="L652" s="5"/>
      <c r="M652" s="5"/>
      <c r="N652" s="6"/>
      <c r="O652" s="7"/>
      <c r="P652" s="8" t="s">
        <v>21</v>
      </c>
      <c r="Q652" s="8" t="s">
        <v>22</v>
      </c>
    </row>
    <row r="653" customFormat="false" ht="23.85" hidden="false" customHeight="false" outlineLevel="0" collapsed="false">
      <c r="A653" s="2" t="n">
        <v>652</v>
      </c>
      <c r="B653" s="3" t="s">
        <v>2116</v>
      </c>
      <c r="C653" s="3" t="s">
        <v>859</v>
      </c>
      <c r="D653" s="4"/>
      <c r="E653" s="3"/>
      <c r="F653" s="3" t="s">
        <v>19</v>
      </c>
      <c r="G653" s="3" t="s">
        <v>2117</v>
      </c>
      <c r="H653" s="8" t="s">
        <v>2118</v>
      </c>
      <c r="I653" s="4" t="s">
        <v>2119</v>
      </c>
      <c r="J653" s="5" t="s">
        <v>20</v>
      </c>
      <c r="K653" s="6"/>
      <c r="L653" s="5"/>
      <c r="M653" s="5"/>
      <c r="N653" s="6"/>
      <c r="O653" s="7"/>
      <c r="P653" s="8" t="s">
        <v>21</v>
      </c>
      <c r="Q653" s="8" t="s">
        <v>22</v>
      </c>
    </row>
    <row r="654" customFormat="false" ht="15" hidden="false" customHeight="false" outlineLevel="0" collapsed="false">
      <c r="A654" s="2" t="n">
        <v>653</v>
      </c>
      <c r="B654" s="3" t="s">
        <v>2120</v>
      </c>
      <c r="C654" s="3" t="s">
        <v>153</v>
      </c>
      <c r="D654" s="4" t="s">
        <v>2121</v>
      </c>
      <c r="E654" s="3" t="s">
        <v>579</v>
      </c>
      <c r="F654" s="3" t="s">
        <v>19</v>
      </c>
      <c r="G654" s="3"/>
      <c r="H654" s="3"/>
      <c r="I654" s="4"/>
      <c r="J654" s="5" t="s">
        <v>20</v>
      </c>
      <c r="K654" s="6"/>
      <c r="L654" s="5"/>
      <c r="M654" s="5"/>
      <c r="N654" s="6"/>
      <c r="O654" s="7"/>
      <c r="P654" s="8" t="s">
        <v>21</v>
      </c>
      <c r="Q654" s="8" t="s">
        <v>22</v>
      </c>
    </row>
    <row r="655" customFormat="false" ht="15" hidden="false" customHeight="false" outlineLevel="0" collapsed="false">
      <c r="A655" s="2" t="n">
        <v>654</v>
      </c>
      <c r="B655" s="3" t="s">
        <v>2122</v>
      </c>
      <c r="C655" s="3"/>
      <c r="D655" s="4"/>
      <c r="E655" s="3"/>
      <c r="F655" s="3" t="s">
        <v>19</v>
      </c>
      <c r="G655" s="3" t="s">
        <v>2123</v>
      </c>
      <c r="H655" s="3"/>
      <c r="I655" s="4"/>
      <c r="J655" s="5" t="s">
        <v>20</v>
      </c>
      <c r="K655" s="6"/>
      <c r="L655" s="5"/>
      <c r="M655" s="5"/>
      <c r="N655" s="6"/>
      <c r="O655" s="7"/>
      <c r="P655" s="8" t="s">
        <v>21</v>
      </c>
      <c r="Q655" s="8" t="s">
        <v>22</v>
      </c>
    </row>
    <row r="656" customFormat="false" ht="15" hidden="false" customHeight="false" outlineLevel="0" collapsed="false">
      <c r="A656" s="2" t="n">
        <v>655</v>
      </c>
      <c r="B656" s="3" t="s">
        <v>2124</v>
      </c>
      <c r="C656" s="3" t="s">
        <v>38</v>
      </c>
      <c r="D656" s="4"/>
      <c r="E656" s="3"/>
      <c r="F656" s="3" t="s">
        <v>19</v>
      </c>
      <c r="G656" s="3"/>
      <c r="H656" s="3"/>
      <c r="I656" s="4"/>
      <c r="J656" s="5" t="s">
        <v>20</v>
      </c>
      <c r="K656" s="6"/>
      <c r="L656" s="5"/>
      <c r="M656" s="5"/>
      <c r="N656" s="6"/>
      <c r="O656" s="7"/>
      <c r="P656" s="8" t="s">
        <v>21</v>
      </c>
      <c r="Q656" s="8" t="s">
        <v>22</v>
      </c>
    </row>
    <row r="657" customFormat="false" ht="15" hidden="false" customHeight="false" outlineLevel="0" collapsed="false">
      <c r="A657" s="2" t="n">
        <v>656</v>
      </c>
      <c r="B657" s="3" t="s">
        <v>2125</v>
      </c>
      <c r="C657" s="3" t="s">
        <v>2126</v>
      </c>
      <c r="D657" s="4"/>
      <c r="E657" s="3"/>
      <c r="F657" s="3" t="s">
        <v>19</v>
      </c>
      <c r="G657" s="3" t="s">
        <v>2127</v>
      </c>
      <c r="H657" s="8" t="s">
        <v>2128</v>
      </c>
      <c r="I657" s="4" t="s">
        <v>1280</v>
      </c>
      <c r="J657" s="5" t="s">
        <v>20</v>
      </c>
      <c r="K657" s="6"/>
      <c r="L657" s="5"/>
      <c r="M657" s="5"/>
      <c r="N657" s="6"/>
      <c r="O657" s="7"/>
      <c r="P657" s="8" t="s">
        <v>21</v>
      </c>
      <c r="Q657" s="8" t="s">
        <v>22</v>
      </c>
    </row>
    <row r="658" customFormat="false" ht="15" hidden="false" customHeight="false" outlineLevel="0" collapsed="false">
      <c r="A658" s="2" t="n">
        <v>657</v>
      </c>
      <c r="B658" s="3" t="s">
        <v>2129</v>
      </c>
      <c r="C658" s="3"/>
      <c r="D658" s="4"/>
      <c r="E658" s="3"/>
      <c r="F658" s="3" t="s">
        <v>19</v>
      </c>
      <c r="G658" s="3" t="s">
        <v>2130</v>
      </c>
      <c r="H658" s="3"/>
      <c r="I658" s="4"/>
      <c r="J658" s="5" t="s">
        <v>20</v>
      </c>
      <c r="K658" s="6"/>
      <c r="L658" s="5"/>
      <c r="M658" s="5"/>
      <c r="N658" s="6"/>
      <c r="O658" s="7"/>
      <c r="P658" s="8" t="s">
        <v>21</v>
      </c>
      <c r="Q658" s="8" t="s">
        <v>22</v>
      </c>
    </row>
    <row r="659" customFormat="false" ht="15" hidden="false" customHeight="false" outlineLevel="0" collapsed="false">
      <c r="A659" s="2" t="n">
        <v>658</v>
      </c>
      <c r="B659" s="3" t="s">
        <v>2131</v>
      </c>
      <c r="C659" s="3" t="s">
        <v>153</v>
      </c>
      <c r="D659" s="4"/>
      <c r="E659" s="3"/>
      <c r="F659" s="3" t="s">
        <v>19</v>
      </c>
      <c r="G659" s="3"/>
      <c r="H659" s="8" t="s">
        <v>2132</v>
      </c>
      <c r="I659" s="4" t="s">
        <v>2133</v>
      </c>
      <c r="J659" s="5" t="s">
        <v>20</v>
      </c>
      <c r="K659" s="6"/>
      <c r="L659" s="5"/>
      <c r="M659" s="5"/>
      <c r="N659" s="6"/>
      <c r="O659" s="7"/>
      <c r="P659" s="8" t="s">
        <v>21</v>
      </c>
      <c r="Q659" s="8" t="s">
        <v>22</v>
      </c>
    </row>
    <row r="660" customFormat="false" ht="15" hidden="false" customHeight="false" outlineLevel="0" collapsed="false">
      <c r="A660" s="2" t="n">
        <v>659</v>
      </c>
      <c r="B660" s="3" t="s">
        <v>2134</v>
      </c>
      <c r="C660" s="3" t="s">
        <v>2135</v>
      </c>
      <c r="D660" s="4"/>
      <c r="E660" s="3"/>
      <c r="F660" s="3" t="s">
        <v>19</v>
      </c>
      <c r="G660" s="3"/>
      <c r="H660" s="8" t="s">
        <v>2136</v>
      </c>
      <c r="I660" s="4" t="s">
        <v>2137</v>
      </c>
      <c r="J660" s="5" t="s">
        <v>20</v>
      </c>
      <c r="K660" s="6"/>
      <c r="L660" s="5"/>
      <c r="M660" s="5"/>
      <c r="N660" s="6"/>
      <c r="O660" s="7"/>
      <c r="P660" s="8" t="s">
        <v>21</v>
      </c>
      <c r="Q660" s="8" t="s">
        <v>22</v>
      </c>
    </row>
    <row r="661" customFormat="false" ht="23.85" hidden="false" customHeight="false" outlineLevel="0" collapsed="false">
      <c r="A661" s="2" t="n">
        <v>660</v>
      </c>
      <c r="B661" s="3" t="s">
        <v>2138</v>
      </c>
      <c r="C661" s="3" t="s">
        <v>76</v>
      </c>
      <c r="D661" s="4"/>
      <c r="E661" s="3"/>
      <c r="F661" s="3" t="s">
        <v>19</v>
      </c>
      <c r="G661" s="3" t="s">
        <v>2139</v>
      </c>
      <c r="H661" s="8" t="s">
        <v>2140</v>
      </c>
      <c r="I661" s="4" t="s">
        <v>2141</v>
      </c>
      <c r="J661" s="5" t="s">
        <v>20</v>
      </c>
      <c r="K661" s="6"/>
      <c r="L661" s="5"/>
      <c r="M661" s="5"/>
      <c r="N661" s="6"/>
      <c r="O661" s="7"/>
      <c r="P661" s="8" t="s">
        <v>21</v>
      </c>
      <c r="Q661" s="8" t="s">
        <v>22</v>
      </c>
    </row>
    <row r="662" customFormat="false" ht="15" hidden="false" customHeight="false" outlineLevel="0" collapsed="false">
      <c r="A662" s="2" t="n">
        <v>661</v>
      </c>
      <c r="B662" s="3" t="s">
        <v>2142</v>
      </c>
      <c r="C662" s="3"/>
      <c r="D662" s="4" t="s">
        <v>2143</v>
      </c>
      <c r="E662" s="3" t="s">
        <v>579</v>
      </c>
      <c r="F662" s="3" t="s">
        <v>19</v>
      </c>
      <c r="G662" s="3" t="s">
        <v>2144</v>
      </c>
      <c r="H662" s="8" t="s">
        <v>2145</v>
      </c>
      <c r="I662" s="4" t="s">
        <v>2146</v>
      </c>
      <c r="J662" s="5" t="s">
        <v>20</v>
      </c>
      <c r="K662" s="6"/>
      <c r="L662" s="5"/>
      <c r="M662" s="5"/>
      <c r="N662" s="6"/>
      <c r="O662" s="7"/>
      <c r="P662" s="8" t="s">
        <v>21</v>
      </c>
      <c r="Q662" s="8" t="s">
        <v>22</v>
      </c>
    </row>
    <row r="663" customFormat="false" ht="15" hidden="false" customHeight="false" outlineLevel="0" collapsed="false">
      <c r="A663" s="2" t="n">
        <v>662</v>
      </c>
      <c r="B663" s="3" t="s">
        <v>2147</v>
      </c>
      <c r="C663" s="3" t="s">
        <v>116</v>
      </c>
      <c r="D663" s="4" t="s">
        <v>745</v>
      </c>
      <c r="E663" s="3" t="s">
        <v>148</v>
      </c>
      <c r="F663" s="3" t="s">
        <v>19</v>
      </c>
      <c r="G663" s="3" t="s">
        <v>2148</v>
      </c>
      <c r="H663" s="8" t="s">
        <v>2149</v>
      </c>
      <c r="I663" s="4" t="s">
        <v>2150</v>
      </c>
      <c r="J663" s="5" t="s">
        <v>20</v>
      </c>
      <c r="K663" s="6"/>
      <c r="L663" s="5"/>
      <c r="M663" s="5"/>
      <c r="N663" s="6"/>
      <c r="O663" s="7"/>
      <c r="P663" s="8" t="s">
        <v>21</v>
      </c>
      <c r="Q663" s="8" t="s">
        <v>22</v>
      </c>
    </row>
    <row r="664" customFormat="false" ht="15" hidden="false" customHeight="false" outlineLevel="0" collapsed="false">
      <c r="A664" s="2" t="n">
        <v>663</v>
      </c>
      <c r="B664" s="3" t="s">
        <v>2151</v>
      </c>
      <c r="C664" s="3"/>
      <c r="D664" s="4"/>
      <c r="E664" s="3"/>
      <c r="F664" s="3" t="s">
        <v>19</v>
      </c>
      <c r="G664" s="3" t="s">
        <v>2152</v>
      </c>
      <c r="H664" s="8" t="s">
        <v>2153</v>
      </c>
      <c r="I664" s="4" t="s">
        <v>2154</v>
      </c>
      <c r="J664" s="5" t="s">
        <v>20</v>
      </c>
      <c r="K664" s="6"/>
      <c r="L664" s="5"/>
      <c r="M664" s="5"/>
      <c r="N664" s="6"/>
      <c r="O664" s="7"/>
      <c r="P664" s="8" t="s">
        <v>21</v>
      </c>
      <c r="Q664" s="8" t="s">
        <v>22</v>
      </c>
    </row>
    <row r="665" customFormat="false" ht="23.85" hidden="false" customHeight="false" outlineLevel="0" collapsed="false">
      <c r="A665" s="2" t="n">
        <v>664</v>
      </c>
      <c r="B665" s="3" t="s">
        <v>2155</v>
      </c>
      <c r="C665" s="3"/>
      <c r="D665" s="4" t="s">
        <v>2156</v>
      </c>
      <c r="E665" s="3" t="s">
        <v>93</v>
      </c>
      <c r="F665" s="3" t="s">
        <v>19</v>
      </c>
      <c r="G665" s="3" t="s">
        <v>2157</v>
      </c>
      <c r="H665" s="8" t="s">
        <v>2158</v>
      </c>
      <c r="I665" s="4" t="s">
        <v>2159</v>
      </c>
      <c r="J665" s="5" t="s">
        <v>20</v>
      </c>
      <c r="K665" s="6"/>
      <c r="L665" s="5"/>
      <c r="M665" s="5"/>
      <c r="N665" s="6"/>
      <c r="O665" s="7"/>
      <c r="P665" s="8" t="s">
        <v>21</v>
      </c>
      <c r="Q665" s="8" t="s">
        <v>22</v>
      </c>
    </row>
    <row r="666" customFormat="false" ht="15" hidden="false" customHeight="false" outlineLevel="0" collapsed="false">
      <c r="A666" s="2" t="n">
        <v>665</v>
      </c>
      <c r="B666" s="3" t="s">
        <v>2160</v>
      </c>
      <c r="C666" s="3"/>
      <c r="D666" s="4"/>
      <c r="E666" s="3"/>
      <c r="F666" s="3" t="s">
        <v>19</v>
      </c>
      <c r="G666" s="3"/>
      <c r="H666" s="3"/>
      <c r="I666" s="4"/>
      <c r="J666" s="5" t="s">
        <v>20</v>
      </c>
      <c r="K666" s="6"/>
      <c r="L666" s="5"/>
      <c r="M666" s="5"/>
      <c r="N666" s="6"/>
      <c r="O666" s="7"/>
      <c r="P666" s="8" t="s">
        <v>21</v>
      </c>
      <c r="Q666" s="8" t="s">
        <v>22</v>
      </c>
    </row>
    <row r="667" customFormat="false" ht="15" hidden="false" customHeight="false" outlineLevel="0" collapsed="false">
      <c r="A667" s="2" t="n">
        <v>666</v>
      </c>
      <c r="B667" s="3" t="s">
        <v>2161</v>
      </c>
      <c r="C667" s="3" t="s">
        <v>24</v>
      </c>
      <c r="D667" s="4" t="s">
        <v>2162</v>
      </c>
      <c r="E667" s="3" t="s">
        <v>579</v>
      </c>
      <c r="F667" s="3" t="s">
        <v>19</v>
      </c>
      <c r="G667" s="3" t="s">
        <v>2163</v>
      </c>
      <c r="H667" s="8" t="s">
        <v>2164</v>
      </c>
      <c r="I667" s="4" t="s">
        <v>2165</v>
      </c>
      <c r="J667" s="5" t="s">
        <v>20</v>
      </c>
      <c r="K667" s="6"/>
      <c r="L667" s="5"/>
      <c r="M667" s="5"/>
      <c r="N667" s="6"/>
      <c r="O667" s="7"/>
      <c r="P667" s="8" t="s">
        <v>21</v>
      </c>
      <c r="Q667" s="8" t="s">
        <v>22</v>
      </c>
    </row>
    <row r="668" customFormat="false" ht="15" hidden="false" customHeight="false" outlineLevel="0" collapsed="false">
      <c r="A668" s="2" t="n">
        <v>667</v>
      </c>
      <c r="B668" s="3" t="s">
        <v>2166</v>
      </c>
      <c r="C668" s="3" t="s">
        <v>109</v>
      </c>
      <c r="D668" s="4"/>
      <c r="E668" s="3"/>
      <c r="F668" s="3" t="s">
        <v>19</v>
      </c>
      <c r="G668" s="3"/>
      <c r="H668" s="3"/>
      <c r="I668" s="4" t="s">
        <v>2167</v>
      </c>
      <c r="J668" s="5" t="s">
        <v>20</v>
      </c>
      <c r="K668" s="6"/>
      <c r="L668" s="5"/>
      <c r="M668" s="5"/>
      <c r="N668" s="6"/>
      <c r="O668" s="7"/>
      <c r="P668" s="8" t="s">
        <v>21</v>
      </c>
      <c r="Q668" s="8" t="s">
        <v>22</v>
      </c>
    </row>
    <row r="669" customFormat="false" ht="23.85" hidden="false" customHeight="false" outlineLevel="0" collapsed="false">
      <c r="A669" s="2" t="n">
        <v>668</v>
      </c>
      <c r="B669" s="3" t="s">
        <v>2168</v>
      </c>
      <c r="C669" s="3"/>
      <c r="D669" s="4" t="s">
        <v>2169</v>
      </c>
      <c r="E669" s="3" t="s">
        <v>26</v>
      </c>
      <c r="F669" s="3" t="s">
        <v>19</v>
      </c>
      <c r="G669" s="3" t="s">
        <v>2170</v>
      </c>
      <c r="H669" s="8" t="s">
        <v>2171</v>
      </c>
      <c r="I669" s="4" t="s">
        <v>2172</v>
      </c>
      <c r="J669" s="5" t="s">
        <v>20</v>
      </c>
      <c r="K669" s="6"/>
      <c r="L669" s="5"/>
      <c r="M669" s="5"/>
      <c r="N669" s="6"/>
      <c r="O669" s="7"/>
      <c r="P669" s="8" t="s">
        <v>21</v>
      </c>
      <c r="Q669" s="8" t="s">
        <v>22</v>
      </c>
    </row>
    <row r="670" customFormat="false" ht="15" hidden="false" customHeight="false" outlineLevel="0" collapsed="false">
      <c r="A670" s="2" t="n">
        <v>669</v>
      </c>
      <c r="B670" s="3" t="s">
        <v>2173</v>
      </c>
      <c r="C670" s="3"/>
      <c r="D670" s="4" t="s">
        <v>2174</v>
      </c>
      <c r="E670" s="3"/>
      <c r="F670" s="3" t="s">
        <v>19</v>
      </c>
      <c r="G670" s="3"/>
      <c r="H670" s="3"/>
      <c r="I670" s="4"/>
      <c r="J670" s="5" t="s">
        <v>20</v>
      </c>
      <c r="K670" s="6"/>
      <c r="L670" s="5"/>
      <c r="M670" s="5"/>
      <c r="N670" s="6"/>
      <c r="O670" s="7"/>
      <c r="P670" s="8" t="s">
        <v>21</v>
      </c>
      <c r="Q670" s="8" t="s">
        <v>22</v>
      </c>
    </row>
    <row r="671" customFormat="false" ht="15" hidden="false" customHeight="false" outlineLevel="0" collapsed="false">
      <c r="A671" s="2" t="n">
        <v>670</v>
      </c>
      <c r="B671" s="3" t="s">
        <v>2175</v>
      </c>
      <c r="C671" s="3"/>
      <c r="D671" s="4"/>
      <c r="E671" s="3"/>
      <c r="F671" s="3" t="s">
        <v>19</v>
      </c>
      <c r="G671" s="3" t="s">
        <v>2176</v>
      </c>
      <c r="H671" s="8" t="s">
        <v>2177</v>
      </c>
      <c r="I671" s="4"/>
      <c r="J671" s="5" t="s">
        <v>20</v>
      </c>
      <c r="K671" s="6"/>
      <c r="L671" s="5"/>
      <c r="M671" s="5"/>
      <c r="N671" s="6"/>
      <c r="O671" s="7"/>
      <c r="P671" s="8" t="s">
        <v>21</v>
      </c>
      <c r="Q671" s="8" t="s">
        <v>22</v>
      </c>
    </row>
    <row r="672" customFormat="false" ht="15" hidden="false" customHeight="false" outlineLevel="0" collapsed="false">
      <c r="A672" s="2" t="n">
        <v>671</v>
      </c>
      <c r="B672" s="3" t="s">
        <v>2178</v>
      </c>
      <c r="C672" s="3" t="s">
        <v>89</v>
      </c>
      <c r="D672" s="4" t="s">
        <v>2179</v>
      </c>
      <c r="E672" s="3"/>
      <c r="F672" s="3" t="s">
        <v>19</v>
      </c>
      <c r="G672" s="3" t="s">
        <v>2180</v>
      </c>
      <c r="H672" s="8" t="s">
        <v>2181</v>
      </c>
      <c r="I672" s="4" t="s">
        <v>2182</v>
      </c>
      <c r="J672" s="5" t="s">
        <v>20</v>
      </c>
      <c r="K672" s="6"/>
      <c r="L672" s="5"/>
      <c r="M672" s="5"/>
      <c r="N672" s="6"/>
      <c r="O672" s="7"/>
      <c r="P672" s="8" t="s">
        <v>21</v>
      </c>
      <c r="Q672" s="8" t="s">
        <v>22</v>
      </c>
    </row>
    <row r="673" customFormat="false" ht="15" hidden="false" customHeight="false" outlineLevel="0" collapsed="false">
      <c r="A673" s="2" t="n">
        <v>672</v>
      </c>
      <c r="B673" s="3" t="s">
        <v>2183</v>
      </c>
      <c r="C673" s="3" t="s">
        <v>2184</v>
      </c>
      <c r="D673" s="4" t="s">
        <v>2185</v>
      </c>
      <c r="E673" s="3"/>
      <c r="F673" s="3" t="s">
        <v>19</v>
      </c>
      <c r="G673" s="3" t="s">
        <v>2186</v>
      </c>
      <c r="H673" s="8" t="s">
        <v>2187</v>
      </c>
      <c r="I673" s="4" t="s">
        <v>1530</v>
      </c>
      <c r="J673" s="5" t="s">
        <v>20</v>
      </c>
      <c r="K673" s="6"/>
      <c r="L673" s="5"/>
      <c r="M673" s="5"/>
      <c r="N673" s="6"/>
      <c r="O673" s="7"/>
      <c r="P673" s="8" t="s">
        <v>21</v>
      </c>
      <c r="Q673" s="8" t="s">
        <v>22</v>
      </c>
    </row>
    <row r="674" customFormat="false" ht="15" hidden="false" customHeight="false" outlineLevel="0" collapsed="false">
      <c r="A674" s="2" t="n">
        <v>673</v>
      </c>
      <c r="B674" s="3" t="s">
        <v>2188</v>
      </c>
      <c r="C674" s="3" t="s">
        <v>2184</v>
      </c>
      <c r="D674" s="4" t="s">
        <v>2189</v>
      </c>
      <c r="E674" s="3"/>
      <c r="F674" s="3" t="s">
        <v>19</v>
      </c>
      <c r="G674" s="3"/>
      <c r="H674" s="3"/>
      <c r="I674" s="4" t="s">
        <v>1530</v>
      </c>
      <c r="J674" s="5" t="s">
        <v>20</v>
      </c>
      <c r="K674" s="6"/>
      <c r="L674" s="5"/>
      <c r="M674" s="5"/>
      <c r="N674" s="6"/>
      <c r="O674" s="7"/>
      <c r="P674" s="8" t="s">
        <v>21</v>
      </c>
      <c r="Q674" s="8" t="s">
        <v>22</v>
      </c>
    </row>
    <row r="675" customFormat="false" ht="15" hidden="false" customHeight="false" outlineLevel="0" collapsed="false">
      <c r="A675" s="2" t="n">
        <v>674</v>
      </c>
      <c r="B675" s="3" t="s">
        <v>2190</v>
      </c>
      <c r="C675" s="3" t="s">
        <v>71</v>
      </c>
      <c r="D675" s="4"/>
      <c r="E675" s="3"/>
      <c r="F675" s="3" t="s">
        <v>19</v>
      </c>
      <c r="G675" s="3" t="s">
        <v>2191</v>
      </c>
      <c r="H675" s="8" t="s">
        <v>2192</v>
      </c>
      <c r="I675" s="4" t="s">
        <v>828</v>
      </c>
      <c r="J675" s="5" t="s">
        <v>20</v>
      </c>
      <c r="K675" s="6"/>
      <c r="L675" s="5"/>
      <c r="M675" s="5"/>
      <c r="N675" s="6"/>
      <c r="O675" s="7"/>
      <c r="P675" s="8" t="s">
        <v>21</v>
      </c>
      <c r="Q675" s="8" t="s">
        <v>22</v>
      </c>
    </row>
    <row r="676" customFormat="false" ht="15" hidden="false" customHeight="false" outlineLevel="0" collapsed="false">
      <c r="A676" s="2" t="n">
        <v>675</v>
      </c>
      <c r="B676" s="3" t="s">
        <v>2193</v>
      </c>
      <c r="C676" s="3" t="s">
        <v>601</v>
      </c>
      <c r="D676" s="4"/>
      <c r="E676" s="3"/>
      <c r="F676" s="3" t="s">
        <v>19</v>
      </c>
      <c r="G676" s="3" t="s">
        <v>2194</v>
      </c>
      <c r="H676" s="8" t="s">
        <v>2195</v>
      </c>
      <c r="I676" s="4" t="s">
        <v>2196</v>
      </c>
      <c r="J676" s="5" t="s">
        <v>20</v>
      </c>
      <c r="K676" s="6"/>
      <c r="L676" s="5"/>
      <c r="M676" s="5"/>
      <c r="N676" s="6"/>
      <c r="O676" s="7"/>
      <c r="P676" s="8" t="s">
        <v>21</v>
      </c>
      <c r="Q676" s="8" t="s">
        <v>22</v>
      </c>
    </row>
    <row r="677" customFormat="false" ht="15" hidden="false" customHeight="false" outlineLevel="0" collapsed="false">
      <c r="A677" s="2" t="n">
        <v>676</v>
      </c>
      <c r="B677" s="3" t="s">
        <v>2197</v>
      </c>
      <c r="C677" s="3" t="s">
        <v>109</v>
      </c>
      <c r="D677" s="4"/>
      <c r="E677" s="3"/>
      <c r="F677" s="3" t="s">
        <v>19</v>
      </c>
      <c r="G677" s="3" t="s">
        <v>2198</v>
      </c>
      <c r="H677" s="8" t="s">
        <v>2199</v>
      </c>
      <c r="I677" s="4" t="s">
        <v>2028</v>
      </c>
      <c r="J677" s="5" t="s">
        <v>20</v>
      </c>
      <c r="K677" s="6"/>
      <c r="L677" s="5"/>
      <c r="M677" s="5"/>
      <c r="N677" s="6"/>
      <c r="O677" s="7"/>
      <c r="P677" s="8" t="s">
        <v>21</v>
      </c>
      <c r="Q677" s="8" t="s">
        <v>22</v>
      </c>
    </row>
    <row r="678" customFormat="false" ht="15" hidden="false" customHeight="false" outlineLevel="0" collapsed="false">
      <c r="A678" s="2" t="n">
        <v>677</v>
      </c>
      <c r="B678" s="3" t="s">
        <v>2200</v>
      </c>
      <c r="C678" s="3"/>
      <c r="D678" s="4"/>
      <c r="E678" s="3"/>
      <c r="F678" s="3" t="s">
        <v>19</v>
      </c>
      <c r="G678" s="3"/>
      <c r="H678" s="3"/>
      <c r="I678" s="4" t="s">
        <v>208</v>
      </c>
      <c r="J678" s="5" t="s">
        <v>20</v>
      </c>
      <c r="K678" s="6"/>
      <c r="L678" s="5"/>
      <c r="M678" s="5"/>
      <c r="N678" s="6"/>
      <c r="O678" s="7"/>
      <c r="P678" s="8" t="s">
        <v>21</v>
      </c>
      <c r="Q678" s="8" t="s">
        <v>22</v>
      </c>
    </row>
    <row r="679" customFormat="false" ht="15" hidden="false" customHeight="false" outlineLevel="0" collapsed="false">
      <c r="A679" s="2" t="n">
        <v>678</v>
      </c>
      <c r="B679" s="3" t="s">
        <v>2201</v>
      </c>
      <c r="C679" s="3" t="s">
        <v>71</v>
      </c>
      <c r="D679" s="4" t="s">
        <v>2202</v>
      </c>
      <c r="E679" s="3" t="s">
        <v>26</v>
      </c>
      <c r="F679" s="3" t="s">
        <v>19</v>
      </c>
      <c r="G679" s="3" t="s">
        <v>2203</v>
      </c>
      <c r="H679" s="3"/>
      <c r="I679" s="4"/>
      <c r="J679" s="5" t="s">
        <v>20</v>
      </c>
      <c r="K679" s="6"/>
      <c r="L679" s="5"/>
      <c r="M679" s="5"/>
      <c r="N679" s="6"/>
      <c r="O679" s="7"/>
      <c r="P679" s="8" t="s">
        <v>21</v>
      </c>
      <c r="Q679" s="8" t="s">
        <v>22</v>
      </c>
    </row>
    <row r="680" customFormat="false" ht="15" hidden="false" customHeight="false" outlineLevel="0" collapsed="false">
      <c r="A680" s="2" t="n">
        <v>679</v>
      </c>
      <c r="B680" s="3" t="s">
        <v>2204</v>
      </c>
      <c r="C680" s="3" t="s">
        <v>601</v>
      </c>
      <c r="D680" s="4"/>
      <c r="E680" s="3"/>
      <c r="F680" s="3" t="s">
        <v>19</v>
      </c>
      <c r="G680" s="3"/>
      <c r="H680" s="8" t="s">
        <v>2205</v>
      </c>
      <c r="I680" s="4"/>
      <c r="J680" s="5" t="s">
        <v>20</v>
      </c>
      <c r="K680" s="6"/>
      <c r="L680" s="5"/>
      <c r="M680" s="5"/>
      <c r="N680" s="6"/>
      <c r="O680" s="7"/>
      <c r="P680" s="8" t="s">
        <v>21</v>
      </c>
      <c r="Q680" s="8" t="s">
        <v>22</v>
      </c>
    </row>
    <row r="681" customFormat="false" ht="15" hidden="false" customHeight="false" outlineLevel="0" collapsed="false">
      <c r="A681" s="2" t="n">
        <v>680</v>
      </c>
      <c r="B681" s="3" t="s">
        <v>2206</v>
      </c>
      <c r="C681" s="3" t="s">
        <v>601</v>
      </c>
      <c r="D681" s="4"/>
      <c r="E681" s="3"/>
      <c r="F681" s="3" t="s">
        <v>19</v>
      </c>
      <c r="G681" s="3" t="s">
        <v>2207</v>
      </c>
      <c r="H681" s="8" t="s">
        <v>2208</v>
      </c>
      <c r="I681" s="4" t="s">
        <v>2209</v>
      </c>
      <c r="J681" s="5" t="s">
        <v>20</v>
      </c>
      <c r="K681" s="6"/>
      <c r="L681" s="5"/>
      <c r="M681" s="5"/>
      <c r="N681" s="6"/>
      <c r="O681" s="7"/>
      <c r="P681" s="8" t="s">
        <v>21</v>
      </c>
      <c r="Q681" s="8" t="s">
        <v>22</v>
      </c>
    </row>
    <row r="682" customFormat="false" ht="15" hidden="false" customHeight="false" outlineLevel="0" collapsed="false">
      <c r="A682" s="2" t="n">
        <v>681</v>
      </c>
      <c r="B682" s="3" t="s">
        <v>2210</v>
      </c>
      <c r="C682" s="3"/>
      <c r="D682" s="4"/>
      <c r="E682" s="3"/>
      <c r="F682" s="3" t="s">
        <v>19</v>
      </c>
      <c r="G682" s="3"/>
      <c r="H682" s="3"/>
      <c r="I682" s="4"/>
      <c r="J682" s="5" t="s">
        <v>20</v>
      </c>
      <c r="K682" s="6"/>
      <c r="L682" s="5"/>
      <c r="M682" s="5"/>
      <c r="N682" s="6"/>
      <c r="O682" s="7"/>
      <c r="P682" s="8" t="s">
        <v>21</v>
      </c>
      <c r="Q682" s="8" t="s">
        <v>22</v>
      </c>
    </row>
    <row r="683" customFormat="false" ht="23.85" hidden="false" customHeight="false" outlineLevel="0" collapsed="false">
      <c r="A683" s="2" t="n">
        <v>682</v>
      </c>
      <c r="B683" s="3" t="s">
        <v>2211</v>
      </c>
      <c r="C683" s="3" t="s">
        <v>2212</v>
      </c>
      <c r="D683" s="4"/>
      <c r="E683" s="3"/>
      <c r="F683" s="3" t="s">
        <v>19</v>
      </c>
      <c r="G683" s="3" t="s">
        <v>2213</v>
      </c>
      <c r="H683" s="3"/>
      <c r="I683" s="4" t="s">
        <v>2214</v>
      </c>
      <c r="J683" s="5" t="s">
        <v>20</v>
      </c>
      <c r="K683" s="6"/>
      <c r="L683" s="5"/>
      <c r="M683" s="5"/>
      <c r="N683" s="6"/>
      <c r="O683" s="7"/>
      <c r="P683" s="8" t="s">
        <v>21</v>
      </c>
      <c r="Q683" s="8" t="s">
        <v>22</v>
      </c>
    </row>
    <row r="684" customFormat="false" ht="15" hidden="false" customHeight="false" outlineLevel="0" collapsed="false">
      <c r="A684" s="2" t="n">
        <v>683</v>
      </c>
      <c r="B684" s="3" t="s">
        <v>2215</v>
      </c>
      <c r="C684" s="3" t="s">
        <v>116</v>
      </c>
      <c r="D684" s="4"/>
      <c r="E684" s="3"/>
      <c r="F684" s="3" t="s">
        <v>19</v>
      </c>
      <c r="G684" s="3"/>
      <c r="H684" s="3"/>
      <c r="I684" s="4"/>
      <c r="J684" s="5" t="s">
        <v>20</v>
      </c>
      <c r="K684" s="6"/>
      <c r="L684" s="5"/>
      <c r="M684" s="5"/>
      <c r="N684" s="6"/>
      <c r="O684" s="7"/>
      <c r="P684" s="8" t="s">
        <v>21</v>
      </c>
      <c r="Q684" s="8" t="s">
        <v>22</v>
      </c>
    </row>
    <row r="685" customFormat="false" ht="15" hidden="false" customHeight="false" outlineLevel="0" collapsed="false">
      <c r="A685" s="2" t="n">
        <v>684</v>
      </c>
      <c r="B685" s="3" t="s">
        <v>2216</v>
      </c>
      <c r="C685" s="3" t="s">
        <v>2217</v>
      </c>
      <c r="D685" s="4"/>
      <c r="E685" s="3"/>
      <c r="F685" s="3" t="s">
        <v>19</v>
      </c>
      <c r="G685" s="3"/>
      <c r="H685" s="3"/>
      <c r="I685" s="4" t="s">
        <v>2218</v>
      </c>
      <c r="J685" s="5" t="s">
        <v>20</v>
      </c>
      <c r="K685" s="6"/>
      <c r="L685" s="5"/>
      <c r="M685" s="5"/>
      <c r="N685" s="6"/>
      <c r="O685" s="7"/>
      <c r="P685" s="8" t="s">
        <v>21</v>
      </c>
      <c r="Q685" s="8" t="s">
        <v>22</v>
      </c>
    </row>
    <row r="686" customFormat="false" ht="15" hidden="false" customHeight="false" outlineLevel="0" collapsed="false">
      <c r="A686" s="2" t="n">
        <v>685</v>
      </c>
      <c r="B686" s="3" t="s">
        <v>2219</v>
      </c>
      <c r="C686" s="3"/>
      <c r="D686" s="4"/>
      <c r="E686" s="3"/>
      <c r="F686" s="3" t="s">
        <v>19</v>
      </c>
      <c r="G686" s="3"/>
      <c r="H686" s="3"/>
      <c r="I686" s="4" t="s">
        <v>2220</v>
      </c>
      <c r="J686" s="5" t="s">
        <v>20</v>
      </c>
      <c r="K686" s="6"/>
      <c r="L686" s="5"/>
      <c r="M686" s="5"/>
      <c r="N686" s="6"/>
      <c r="O686" s="7"/>
      <c r="P686" s="8" t="s">
        <v>21</v>
      </c>
      <c r="Q686" s="8" t="s">
        <v>22</v>
      </c>
    </row>
    <row r="687" customFormat="false" ht="15" hidden="false" customHeight="false" outlineLevel="0" collapsed="false">
      <c r="A687" s="2" t="n">
        <v>686</v>
      </c>
      <c r="B687" s="3" t="s">
        <v>2221</v>
      </c>
      <c r="C687" s="3" t="s">
        <v>120</v>
      </c>
      <c r="D687" s="4"/>
      <c r="E687" s="3"/>
      <c r="F687" s="3" t="s">
        <v>19</v>
      </c>
      <c r="G687" s="3" t="s">
        <v>2222</v>
      </c>
      <c r="H687" s="8" t="s">
        <v>2223</v>
      </c>
      <c r="I687" s="4" t="s">
        <v>2224</v>
      </c>
      <c r="J687" s="5" t="s">
        <v>20</v>
      </c>
      <c r="K687" s="6"/>
      <c r="L687" s="5"/>
      <c r="M687" s="5"/>
      <c r="N687" s="6"/>
      <c r="O687" s="7"/>
      <c r="P687" s="8" t="s">
        <v>21</v>
      </c>
      <c r="Q687" s="8" t="s">
        <v>22</v>
      </c>
    </row>
    <row r="688" customFormat="false" ht="23.85" hidden="false" customHeight="false" outlineLevel="0" collapsed="false">
      <c r="A688" s="2" t="n">
        <v>687</v>
      </c>
      <c r="B688" s="3" t="s">
        <v>2225</v>
      </c>
      <c r="C688" s="3"/>
      <c r="D688" s="4"/>
      <c r="E688" s="3"/>
      <c r="F688" s="3" t="s">
        <v>19</v>
      </c>
      <c r="G688" s="3" t="s">
        <v>2226</v>
      </c>
      <c r="H688" s="8" t="s">
        <v>2227</v>
      </c>
      <c r="I688" s="4" t="s">
        <v>2228</v>
      </c>
      <c r="J688" s="5" t="s">
        <v>20</v>
      </c>
      <c r="K688" s="6"/>
      <c r="L688" s="5"/>
      <c r="M688" s="5"/>
      <c r="N688" s="6"/>
      <c r="O688" s="7"/>
      <c r="P688" s="8" t="s">
        <v>21</v>
      </c>
      <c r="Q688" s="8" t="s">
        <v>22</v>
      </c>
    </row>
    <row r="689" customFormat="false" ht="15" hidden="false" customHeight="false" outlineLevel="0" collapsed="false">
      <c r="A689" s="2" t="n">
        <v>688</v>
      </c>
      <c r="B689" s="3" t="s">
        <v>2229</v>
      </c>
      <c r="C689" s="3" t="s">
        <v>24</v>
      </c>
      <c r="D689" s="4"/>
      <c r="E689" s="3"/>
      <c r="F689" s="3" t="s">
        <v>19</v>
      </c>
      <c r="G689" s="3"/>
      <c r="H689" s="3"/>
      <c r="I689" s="4"/>
      <c r="J689" s="5" t="s">
        <v>20</v>
      </c>
      <c r="K689" s="6"/>
      <c r="L689" s="5"/>
      <c r="M689" s="5"/>
      <c r="N689" s="6"/>
      <c r="O689" s="7"/>
      <c r="P689" s="8" t="s">
        <v>21</v>
      </c>
      <c r="Q689" s="8" t="s">
        <v>22</v>
      </c>
    </row>
    <row r="690" customFormat="false" ht="23.85" hidden="false" customHeight="false" outlineLevel="0" collapsed="false">
      <c r="A690" s="2" t="n">
        <v>689</v>
      </c>
      <c r="B690" s="3" t="s">
        <v>2230</v>
      </c>
      <c r="C690" s="3" t="s">
        <v>120</v>
      </c>
      <c r="D690" s="4"/>
      <c r="E690" s="3"/>
      <c r="F690" s="3" t="s">
        <v>19</v>
      </c>
      <c r="G690" s="3" t="s">
        <v>2231</v>
      </c>
      <c r="H690" s="8" t="s">
        <v>2232</v>
      </c>
      <c r="I690" s="4" t="s">
        <v>2233</v>
      </c>
      <c r="J690" s="5" t="s">
        <v>20</v>
      </c>
      <c r="K690" s="6"/>
      <c r="L690" s="5"/>
      <c r="M690" s="5"/>
      <c r="N690" s="6"/>
      <c r="O690" s="7"/>
      <c r="P690" s="8" t="s">
        <v>21</v>
      </c>
      <c r="Q690" s="8" t="s">
        <v>22</v>
      </c>
    </row>
    <row r="691" customFormat="false" ht="15" hidden="false" customHeight="false" outlineLevel="0" collapsed="false">
      <c r="A691" s="2" t="n">
        <v>690</v>
      </c>
      <c r="B691" s="3" t="s">
        <v>2234</v>
      </c>
      <c r="C691" s="3" t="s">
        <v>2235</v>
      </c>
      <c r="D691" s="4"/>
      <c r="E691" s="3"/>
      <c r="F691" s="3" t="s">
        <v>19</v>
      </c>
      <c r="G691" s="3"/>
      <c r="H691" s="3"/>
      <c r="I691" s="4"/>
      <c r="J691" s="5" t="s">
        <v>20</v>
      </c>
      <c r="K691" s="6"/>
      <c r="L691" s="5"/>
      <c r="M691" s="5"/>
      <c r="N691" s="6"/>
      <c r="O691" s="7"/>
      <c r="P691" s="8" t="s">
        <v>21</v>
      </c>
      <c r="Q691" s="8" t="s">
        <v>22</v>
      </c>
    </row>
    <row r="692" customFormat="false" ht="15" hidden="false" customHeight="false" outlineLevel="0" collapsed="false">
      <c r="A692" s="2" t="n">
        <v>691</v>
      </c>
      <c r="B692" s="3" t="s">
        <v>2236</v>
      </c>
      <c r="C692" s="3" t="s">
        <v>71</v>
      </c>
      <c r="D692" s="4"/>
      <c r="E692" s="3"/>
      <c r="F692" s="3" t="s">
        <v>19</v>
      </c>
      <c r="G692" s="3"/>
      <c r="H692" s="3"/>
      <c r="I692" s="4" t="s">
        <v>2237</v>
      </c>
      <c r="J692" s="5" t="s">
        <v>20</v>
      </c>
      <c r="K692" s="6"/>
      <c r="L692" s="5"/>
      <c r="M692" s="5"/>
      <c r="N692" s="6"/>
      <c r="O692" s="7"/>
      <c r="P692" s="8" t="s">
        <v>21</v>
      </c>
      <c r="Q692" s="8" t="s">
        <v>22</v>
      </c>
    </row>
    <row r="693" customFormat="false" ht="15" hidden="false" customHeight="false" outlineLevel="0" collapsed="false">
      <c r="A693" s="2" t="n">
        <v>692</v>
      </c>
      <c r="B693" s="3" t="s">
        <v>2238</v>
      </c>
      <c r="C693" s="3" t="s">
        <v>428</v>
      </c>
      <c r="D693" s="4"/>
      <c r="E693" s="3"/>
      <c r="F693" s="3" t="s">
        <v>19</v>
      </c>
      <c r="G693" s="3"/>
      <c r="H693" s="3"/>
      <c r="I693" s="4"/>
      <c r="J693" s="5" t="s">
        <v>20</v>
      </c>
      <c r="K693" s="6"/>
      <c r="L693" s="5"/>
      <c r="M693" s="5"/>
      <c r="N693" s="6"/>
      <c r="O693" s="7"/>
      <c r="P693" s="8" t="s">
        <v>21</v>
      </c>
      <c r="Q693" s="8" t="s">
        <v>22</v>
      </c>
    </row>
    <row r="694" customFormat="false" ht="15" hidden="false" customHeight="false" outlineLevel="0" collapsed="false">
      <c r="A694" s="2" t="n">
        <v>693</v>
      </c>
      <c r="B694" s="3" t="s">
        <v>2239</v>
      </c>
      <c r="C694" s="3" t="s">
        <v>277</v>
      </c>
      <c r="D694" s="4"/>
      <c r="E694" s="3"/>
      <c r="F694" s="3" t="s">
        <v>19</v>
      </c>
      <c r="G694" s="3"/>
      <c r="H694" s="3"/>
      <c r="I694" s="4"/>
      <c r="J694" s="5" t="s">
        <v>20</v>
      </c>
      <c r="K694" s="6"/>
      <c r="L694" s="5"/>
      <c r="M694" s="5"/>
      <c r="N694" s="6"/>
      <c r="O694" s="7"/>
      <c r="P694" s="8" t="s">
        <v>21</v>
      </c>
      <c r="Q694" s="8" t="s">
        <v>22</v>
      </c>
    </row>
    <row r="695" customFormat="false" ht="15" hidden="false" customHeight="false" outlineLevel="0" collapsed="false">
      <c r="A695" s="2" t="n">
        <v>694</v>
      </c>
      <c r="B695" s="3" t="s">
        <v>2240</v>
      </c>
      <c r="C695" s="3" t="s">
        <v>116</v>
      </c>
      <c r="D695" s="4"/>
      <c r="E695" s="3"/>
      <c r="F695" s="3" t="s">
        <v>19</v>
      </c>
      <c r="G695" s="3"/>
      <c r="H695" s="3"/>
      <c r="I695" s="4" t="s">
        <v>2241</v>
      </c>
      <c r="J695" s="5" t="s">
        <v>20</v>
      </c>
      <c r="K695" s="6"/>
      <c r="L695" s="5"/>
      <c r="M695" s="5"/>
      <c r="N695" s="6"/>
      <c r="O695" s="7"/>
      <c r="P695" s="8" t="s">
        <v>21</v>
      </c>
      <c r="Q695" s="8" t="s">
        <v>22</v>
      </c>
    </row>
    <row r="696" customFormat="false" ht="15" hidden="false" customHeight="false" outlineLevel="0" collapsed="false">
      <c r="A696" s="2" t="n">
        <v>695</v>
      </c>
      <c r="B696" s="3" t="s">
        <v>2242</v>
      </c>
      <c r="C696" s="3"/>
      <c r="D696" s="4"/>
      <c r="E696" s="3"/>
      <c r="F696" s="3" t="s">
        <v>19</v>
      </c>
      <c r="G696" s="3"/>
      <c r="H696" s="3"/>
      <c r="I696" s="4" t="s">
        <v>2243</v>
      </c>
      <c r="J696" s="5" t="s">
        <v>20</v>
      </c>
      <c r="K696" s="6"/>
      <c r="L696" s="5"/>
      <c r="M696" s="5"/>
      <c r="N696" s="6"/>
      <c r="O696" s="7"/>
      <c r="P696" s="8" t="s">
        <v>21</v>
      </c>
      <c r="Q696" s="8" t="s">
        <v>22</v>
      </c>
    </row>
    <row r="697" customFormat="false" ht="15" hidden="false" customHeight="false" outlineLevel="0" collapsed="false">
      <c r="A697" s="2" t="n">
        <v>696</v>
      </c>
      <c r="B697" s="3" t="s">
        <v>2244</v>
      </c>
      <c r="C697" s="3" t="s">
        <v>71</v>
      </c>
      <c r="D697" s="4"/>
      <c r="E697" s="3"/>
      <c r="F697" s="3" t="s">
        <v>19</v>
      </c>
      <c r="G697" s="3" t="s">
        <v>2245</v>
      </c>
      <c r="H697" s="3"/>
      <c r="I697" s="4" t="s">
        <v>2246</v>
      </c>
      <c r="J697" s="5" t="s">
        <v>20</v>
      </c>
      <c r="K697" s="6"/>
      <c r="L697" s="5"/>
      <c r="M697" s="5"/>
      <c r="N697" s="6"/>
      <c r="O697" s="7"/>
      <c r="P697" s="8" t="s">
        <v>21</v>
      </c>
      <c r="Q697" s="8" t="s">
        <v>22</v>
      </c>
    </row>
    <row r="698" customFormat="false" ht="15" hidden="false" customHeight="false" outlineLevel="0" collapsed="false">
      <c r="A698" s="2" t="n">
        <v>697</v>
      </c>
      <c r="B698" s="3" t="s">
        <v>2247</v>
      </c>
      <c r="C698" s="3" t="s">
        <v>116</v>
      </c>
      <c r="D698" s="4"/>
      <c r="E698" s="3"/>
      <c r="F698" s="3" t="s">
        <v>19</v>
      </c>
      <c r="G698" s="3" t="s">
        <v>2248</v>
      </c>
      <c r="H698" s="8" t="s">
        <v>2249</v>
      </c>
      <c r="I698" s="4"/>
      <c r="J698" s="5" t="s">
        <v>20</v>
      </c>
      <c r="K698" s="6"/>
      <c r="L698" s="5"/>
      <c r="M698" s="5"/>
      <c r="N698" s="6"/>
      <c r="O698" s="7"/>
      <c r="P698" s="8" t="s">
        <v>21</v>
      </c>
      <c r="Q698" s="8" t="s">
        <v>22</v>
      </c>
    </row>
    <row r="699" customFormat="false" ht="15" hidden="false" customHeight="false" outlineLevel="0" collapsed="false">
      <c r="A699" s="2" t="n">
        <v>698</v>
      </c>
      <c r="B699" s="3" t="s">
        <v>2250</v>
      </c>
      <c r="C699" s="3"/>
      <c r="D699" s="4" t="s">
        <v>2251</v>
      </c>
      <c r="E699" s="3" t="s">
        <v>148</v>
      </c>
      <c r="F699" s="3" t="s">
        <v>19</v>
      </c>
      <c r="G699" s="3"/>
      <c r="H699" s="3"/>
      <c r="I699" s="4" t="s">
        <v>2252</v>
      </c>
      <c r="J699" s="5" t="s">
        <v>20</v>
      </c>
      <c r="K699" s="6"/>
      <c r="L699" s="5"/>
      <c r="M699" s="5"/>
      <c r="N699" s="6"/>
      <c r="O699" s="7"/>
      <c r="P699" s="8" t="s">
        <v>21</v>
      </c>
      <c r="Q699" s="8" t="s">
        <v>22</v>
      </c>
    </row>
    <row r="700" customFormat="false" ht="15" hidden="false" customHeight="false" outlineLevel="0" collapsed="false">
      <c r="A700" s="2" t="n">
        <v>699</v>
      </c>
      <c r="B700" s="3" t="s">
        <v>2253</v>
      </c>
      <c r="C700" s="3"/>
      <c r="D700" s="4"/>
      <c r="E700" s="3"/>
      <c r="F700" s="3" t="s">
        <v>19</v>
      </c>
      <c r="G700" s="3"/>
      <c r="H700" s="3"/>
      <c r="I700" s="4" t="s">
        <v>2254</v>
      </c>
      <c r="J700" s="5" t="s">
        <v>20</v>
      </c>
      <c r="K700" s="6"/>
      <c r="L700" s="5"/>
      <c r="M700" s="5"/>
      <c r="N700" s="6"/>
      <c r="O700" s="7"/>
      <c r="P700" s="8" t="s">
        <v>21</v>
      </c>
      <c r="Q700" s="8" t="s">
        <v>22</v>
      </c>
    </row>
    <row r="701" customFormat="false" ht="23.85" hidden="false" customHeight="false" outlineLevel="0" collapsed="false">
      <c r="A701" s="2" t="n">
        <v>700</v>
      </c>
      <c r="B701" s="3" t="s">
        <v>2255</v>
      </c>
      <c r="C701" s="3" t="s">
        <v>595</v>
      </c>
      <c r="D701" s="4"/>
      <c r="E701" s="3"/>
      <c r="F701" s="3" t="s">
        <v>19</v>
      </c>
      <c r="G701" s="3" t="s">
        <v>2256</v>
      </c>
      <c r="H701" s="8" t="s">
        <v>2257</v>
      </c>
      <c r="I701" s="4" t="s">
        <v>2258</v>
      </c>
      <c r="J701" s="5" t="s">
        <v>20</v>
      </c>
      <c r="K701" s="6"/>
      <c r="L701" s="5"/>
      <c r="M701" s="5"/>
      <c r="N701" s="6"/>
      <c r="O701" s="7"/>
      <c r="P701" s="8" t="s">
        <v>21</v>
      </c>
      <c r="Q701" s="8" t="s">
        <v>22</v>
      </c>
    </row>
    <row r="702" customFormat="false" ht="23.85" hidden="false" customHeight="false" outlineLevel="0" collapsed="false">
      <c r="A702" s="2" t="n">
        <v>701</v>
      </c>
      <c r="B702" s="3" t="s">
        <v>2259</v>
      </c>
      <c r="C702" s="3" t="s">
        <v>24</v>
      </c>
      <c r="D702" s="4"/>
      <c r="E702" s="3"/>
      <c r="F702" s="3" t="s">
        <v>19</v>
      </c>
      <c r="G702" s="3" t="s">
        <v>2260</v>
      </c>
      <c r="H702" s="8" t="s">
        <v>2261</v>
      </c>
      <c r="I702" s="4" t="s">
        <v>2262</v>
      </c>
      <c r="J702" s="5" t="s">
        <v>20</v>
      </c>
      <c r="K702" s="6"/>
      <c r="L702" s="5"/>
      <c r="M702" s="5"/>
      <c r="N702" s="6"/>
      <c r="O702" s="7"/>
      <c r="P702" s="8" t="s">
        <v>21</v>
      </c>
      <c r="Q702" s="8" t="s">
        <v>22</v>
      </c>
    </row>
    <row r="703" customFormat="false" ht="15" hidden="false" customHeight="false" outlineLevel="0" collapsed="false">
      <c r="A703" s="2" t="n">
        <v>702</v>
      </c>
      <c r="B703" s="3" t="s">
        <v>2263</v>
      </c>
      <c r="C703" s="3" t="s">
        <v>91</v>
      </c>
      <c r="D703" s="4" t="s">
        <v>2264</v>
      </c>
      <c r="E703" s="3"/>
      <c r="F703" s="3" t="s">
        <v>19</v>
      </c>
      <c r="G703" s="3" t="s">
        <v>2265</v>
      </c>
      <c r="H703" s="8" t="s">
        <v>2266</v>
      </c>
      <c r="I703" s="4" t="s">
        <v>2267</v>
      </c>
      <c r="J703" s="5" t="s">
        <v>20</v>
      </c>
      <c r="K703" s="6"/>
      <c r="L703" s="5"/>
      <c r="M703" s="5"/>
      <c r="N703" s="6"/>
      <c r="O703" s="7"/>
      <c r="P703" s="8" t="s">
        <v>21</v>
      </c>
      <c r="Q703" s="8" t="s">
        <v>22</v>
      </c>
    </row>
    <row r="704" customFormat="false" ht="15" hidden="false" customHeight="false" outlineLevel="0" collapsed="false">
      <c r="A704" s="2" t="n">
        <v>703</v>
      </c>
      <c r="B704" s="3" t="s">
        <v>2268</v>
      </c>
      <c r="C704" s="3" t="s">
        <v>91</v>
      </c>
      <c r="D704" s="4" t="s">
        <v>2269</v>
      </c>
      <c r="E704" s="3" t="s">
        <v>148</v>
      </c>
      <c r="F704" s="3" t="s">
        <v>19</v>
      </c>
      <c r="G704" s="3" t="s">
        <v>2270</v>
      </c>
      <c r="H704" s="3"/>
      <c r="I704" s="4" t="s">
        <v>2271</v>
      </c>
      <c r="J704" s="5" t="s">
        <v>20</v>
      </c>
      <c r="K704" s="6"/>
      <c r="L704" s="5"/>
      <c r="M704" s="5"/>
      <c r="N704" s="6"/>
      <c r="O704" s="7"/>
      <c r="P704" s="8" t="s">
        <v>21</v>
      </c>
      <c r="Q704" s="8" t="s">
        <v>22</v>
      </c>
    </row>
    <row r="705" customFormat="false" ht="15" hidden="false" customHeight="false" outlineLevel="0" collapsed="false">
      <c r="A705" s="2" t="n">
        <v>704</v>
      </c>
      <c r="B705" s="3" t="s">
        <v>2272</v>
      </c>
      <c r="C705" s="3" t="s">
        <v>89</v>
      </c>
      <c r="D705" s="4"/>
      <c r="E705" s="3"/>
      <c r="F705" s="3" t="s">
        <v>19</v>
      </c>
      <c r="G705" s="3" t="s">
        <v>2273</v>
      </c>
      <c r="H705" s="8" t="s">
        <v>2274</v>
      </c>
      <c r="I705" s="4" t="s">
        <v>2275</v>
      </c>
      <c r="J705" s="5" t="s">
        <v>20</v>
      </c>
      <c r="K705" s="6"/>
      <c r="L705" s="5"/>
      <c r="M705" s="5"/>
      <c r="N705" s="6"/>
      <c r="O705" s="7"/>
      <c r="P705" s="8" t="s">
        <v>21</v>
      </c>
      <c r="Q705" s="8" t="s">
        <v>22</v>
      </c>
    </row>
    <row r="706" customFormat="false" ht="15" hidden="false" customHeight="false" outlineLevel="0" collapsed="false">
      <c r="A706" s="2" t="n">
        <v>705</v>
      </c>
      <c r="B706" s="3" t="s">
        <v>2276</v>
      </c>
      <c r="C706" s="3" t="s">
        <v>89</v>
      </c>
      <c r="D706" s="4"/>
      <c r="E706" s="3"/>
      <c r="F706" s="3" t="s">
        <v>19</v>
      </c>
      <c r="G706" s="3" t="s">
        <v>2277</v>
      </c>
      <c r="H706" s="3"/>
      <c r="I706" s="4"/>
      <c r="J706" s="5" t="s">
        <v>20</v>
      </c>
      <c r="K706" s="6"/>
      <c r="L706" s="5"/>
      <c r="M706" s="5"/>
      <c r="N706" s="6"/>
      <c r="O706" s="7"/>
      <c r="P706" s="8" t="s">
        <v>21</v>
      </c>
      <c r="Q706" s="8" t="s">
        <v>22</v>
      </c>
    </row>
    <row r="707" customFormat="false" ht="15" hidden="false" customHeight="false" outlineLevel="0" collapsed="false">
      <c r="A707" s="2" t="n">
        <v>706</v>
      </c>
      <c r="B707" s="3" t="s">
        <v>2278</v>
      </c>
      <c r="C707" s="3" t="s">
        <v>109</v>
      </c>
      <c r="D707" s="4" t="s">
        <v>2279</v>
      </c>
      <c r="E707" s="3" t="s">
        <v>31</v>
      </c>
      <c r="F707" s="3" t="s">
        <v>19</v>
      </c>
      <c r="G707" s="3" t="s">
        <v>2280</v>
      </c>
      <c r="H707" s="8" t="s">
        <v>2281</v>
      </c>
      <c r="I707" s="4" t="s">
        <v>2282</v>
      </c>
      <c r="J707" s="5" t="s">
        <v>20</v>
      </c>
      <c r="K707" s="6"/>
      <c r="L707" s="5"/>
      <c r="M707" s="5"/>
      <c r="N707" s="6"/>
      <c r="O707" s="7"/>
      <c r="P707" s="8" t="s">
        <v>21</v>
      </c>
      <c r="Q707" s="8" t="s">
        <v>22</v>
      </c>
    </row>
    <row r="708" customFormat="false" ht="15" hidden="false" customHeight="false" outlineLevel="0" collapsed="false">
      <c r="A708" s="2" t="n">
        <v>707</v>
      </c>
      <c r="B708" s="3" t="s">
        <v>2283</v>
      </c>
      <c r="C708" s="3" t="s">
        <v>91</v>
      </c>
      <c r="D708" s="4"/>
      <c r="E708" s="3"/>
      <c r="F708" s="3" t="s">
        <v>19</v>
      </c>
      <c r="G708" s="3"/>
      <c r="H708" s="8" t="s">
        <v>2284</v>
      </c>
      <c r="I708" s="4" t="s">
        <v>2285</v>
      </c>
      <c r="J708" s="5" t="s">
        <v>20</v>
      </c>
      <c r="K708" s="6"/>
      <c r="L708" s="5"/>
      <c r="M708" s="5"/>
      <c r="N708" s="6"/>
      <c r="O708" s="7"/>
      <c r="P708" s="8" t="s">
        <v>21</v>
      </c>
      <c r="Q708" s="8" t="s">
        <v>22</v>
      </c>
    </row>
    <row r="709" customFormat="false" ht="15" hidden="false" customHeight="false" outlineLevel="0" collapsed="false">
      <c r="A709" s="2" t="n">
        <v>708</v>
      </c>
      <c r="B709" s="3" t="s">
        <v>2286</v>
      </c>
      <c r="C709" s="3" t="s">
        <v>24</v>
      </c>
      <c r="D709" s="4"/>
      <c r="E709" s="3"/>
      <c r="F709" s="3" t="s">
        <v>19</v>
      </c>
      <c r="G709" s="3" t="s">
        <v>2287</v>
      </c>
      <c r="H709" s="8" t="s">
        <v>2288</v>
      </c>
      <c r="I709" s="4" t="s">
        <v>2289</v>
      </c>
      <c r="J709" s="5" t="s">
        <v>20</v>
      </c>
      <c r="K709" s="6"/>
      <c r="L709" s="5"/>
      <c r="M709" s="5"/>
      <c r="N709" s="6"/>
      <c r="O709" s="7"/>
      <c r="P709" s="8" t="s">
        <v>21</v>
      </c>
      <c r="Q709" s="8" t="s">
        <v>22</v>
      </c>
    </row>
    <row r="710" customFormat="false" ht="15" hidden="false" customHeight="false" outlineLevel="0" collapsed="false">
      <c r="A710" s="2" t="n">
        <v>709</v>
      </c>
      <c r="B710" s="3" t="s">
        <v>2290</v>
      </c>
      <c r="C710" s="3" t="s">
        <v>24</v>
      </c>
      <c r="D710" s="4" t="s">
        <v>2291</v>
      </c>
      <c r="E710" s="3"/>
      <c r="F710" s="3" t="s">
        <v>19</v>
      </c>
      <c r="G710" s="3"/>
      <c r="H710" s="3"/>
      <c r="I710" s="4"/>
      <c r="J710" s="5" t="s">
        <v>20</v>
      </c>
      <c r="K710" s="6"/>
      <c r="L710" s="5"/>
      <c r="M710" s="5"/>
      <c r="N710" s="6"/>
      <c r="O710" s="7"/>
      <c r="P710" s="8" t="s">
        <v>21</v>
      </c>
      <c r="Q710" s="8" t="s">
        <v>22</v>
      </c>
    </row>
    <row r="711" customFormat="false" ht="15" hidden="false" customHeight="false" outlineLevel="0" collapsed="false">
      <c r="A711" s="2" t="n">
        <v>710</v>
      </c>
      <c r="B711" s="3" t="s">
        <v>2292</v>
      </c>
      <c r="C711" s="3" t="s">
        <v>24</v>
      </c>
      <c r="D711" s="4"/>
      <c r="E711" s="3"/>
      <c r="F711" s="3" t="s">
        <v>19</v>
      </c>
      <c r="G711" s="3" t="s">
        <v>2293</v>
      </c>
      <c r="H711" s="8" t="s">
        <v>2294</v>
      </c>
      <c r="I711" s="4" t="s">
        <v>2295</v>
      </c>
      <c r="J711" s="5" t="s">
        <v>20</v>
      </c>
      <c r="K711" s="6"/>
      <c r="L711" s="5"/>
      <c r="M711" s="5"/>
      <c r="N711" s="6"/>
      <c r="O711" s="7"/>
      <c r="P711" s="8" t="s">
        <v>21</v>
      </c>
      <c r="Q711" s="8" t="s">
        <v>22</v>
      </c>
    </row>
    <row r="712" customFormat="false" ht="15" hidden="false" customHeight="false" outlineLevel="0" collapsed="false">
      <c r="A712" s="2" t="n">
        <v>711</v>
      </c>
      <c r="B712" s="3" t="s">
        <v>2296</v>
      </c>
      <c r="C712" s="3" t="s">
        <v>24</v>
      </c>
      <c r="D712" s="4" t="s">
        <v>2297</v>
      </c>
      <c r="E712" s="3"/>
      <c r="F712" s="3" t="s">
        <v>19</v>
      </c>
      <c r="G712" s="3" t="s">
        <v>2298</v>
      </c>
      <c r="H712" s="8" t="s">
        <v>2299</v>
      </c>
      <c r="I712" s="4" t="s">
        <v>2300</v>
      </c>
      <c r="J712" s="5" t="s">
        <v>20</v>
      </c>
      <c r="K712" s="6"/>
      <c r="L712" s="5"/>
      <c r="M712" s="5"/>
      <c r="N712" s="6"/>
      <c r="O712" s="7"/>
      <c r="P712" s="8" t="s">
        <v>21</v>
      </c>
      <c r="Q712" s="8" t="s">
        <v>22</v>
      </c>
    </row>
    <row r="713" customFormat="false" ht="15" hidden="false" customHeight="false" outlineLevel="0" collapsed="false">
      <c r="A713" s="2" t="n">
        <v>712</v>
      </c>
      <c r="B713" s="3" t="s">
        <v>2301</v>
      </c>
      <c r="C713" s="3" t="s">
        <v>24</v>
      </c>
      <c r="D713" s="4" t="s">
        <v>2302</v>
      </c>
      <c r="E713" s="3" t="s">
        <v>26</v>
      </c>
      <c r="F713" s="3" t="s">
        <v>19</v>
      </c>
      <c r="G713" s="3" t="s">
        <v>2303</v>
      </c>
      <c r="H713" s="3"/>
      <c r="I713" s="4"/>
      <c r="J713" s="5" t="s">
        <v>20</v>
      </c>
      <c r="K713" s="6"/>
      <c r="L713" s="5"/>
      <c r="M713" s="5"/>
      <c r="N713" s="6"/>
      <c r="O713" s="7"/>
      <c r="P713" s="8" t="s">
        <v>21</v>
      </c>
      <c r="Q713" s="8" t="s">
        <v>22</v>
      </c>
    </row>
    <row r="714" customFormat="false" ht="15" hidden="false" customHeight="false" outlineLevel="0" collapsed="false">
      <c r="A714" s="2" t="n">
        <v>713</v>
      </c>
      <c r="B714" s="3" t="s">
        <v>2304</v>
      </c>
      <c r="C714" s="3" t="s">
        <v>24</v>
      </c>
      <c r="D714" s="4"/>
      <c r="E714" s="3"/>
      <c r="F714" s="3" t="s">
        <v>19</v>
      </c>
      <c r="G714" s="3"/>
      <c r="H714" s="3"/>
      <c r="I714" s="4"/>
      <c r="J714" s="5" t="s">
        <v>20</v>
      </c>
      <c r="K714" s="6"/>
      <c r="L714" s="5"/>
      <c r="M714" s="5"/>
      <c r="N714" s="6"/>
      <c r="O714" s="7"/>
      <c r="P714" s="8" t="s">
        <v>21</v>
      </c>
      <c r="Q714" s="8" t="s">
        <v>22</v>
      </c>
    </row>
    <row r="715" customFormat="false" ht="15" hidden="false" customHeight="false" outlineLevel="0" collapsed="false">
      <c r="A715" s="2" t="n">
        <v>714</v>
      </c>
      <c r="B715" s="3" t="s">
        <v>2304</v>
      </c>
      <c r="C715" s="3" t="s">
        <v>24</v>
      </c>
      <c r="D715" s="4" t="s">
        <v>2305</v>
      </c>
      <c r="E715" s="3" t="s">
        <v>93</v>
      </c>
      <c r="F715" s="3" t="s">
        <v>19</v>
      </c>
      <c r="G715" s="3" t="s">
        <v>2306</v>
      </c>
      <c r="H715" s="8" t="s">
        <v>2307</v>
      </c>
      <c r="I715" s="4" t="s">
        <v>2308</v>
      </c>
      <c r="J715" s="5" t="s">
        <v>20</v>
      </c>
      <c r="K715" s="6"/>
      <c r="L715" s="5"/>
      <c r="M715" s="5"/>
      <c r="N715" s="6"/>
      <c r="O715" s="7"/>
      <c r="P715" s="8" t="s">
        <v>21</v>
      </c>
      <c r="Q715" s="8" t="s">
        <v>22</v>
      </c>
    </row>
    <row r="716" customFormat="false" ht="35.05" hidden="false" customHeight="false" outlineLevel="0" collapsed="false">
      <c r="A716" s="2" t="n">
        <v>715</v>
      </c>
      <c r="B716" s="3" t="s">
        <v>2304</v>
      </c>
      <c r="C716" s="3" t="s">
        <v>24</v>
      </c>
      <c r="D716" s="4"/>
      <c r="E716" s="3"/>
      <c r="F716" s="3" t="s">
        <v>19</v>
      </c>
      <c r="G716" s="3" t="s">
        <v>2309</v>
      </c>
      <c r="H716" s="8" t="s">
        <v>2310</v>
      </c>
      <c r="I716" s="4" t="s">
        <v>2311</v>
      </c>
      <c r="J716" s="5" t="s">
        <v>20</v>
      </c>
      <c r="K716" s="6"/>
      <c r="L716" s="5"/>
      <c r="M716" s="5"/>
      <c r="N716" s="6"/>
      <c r="O716" s="7"/>
      <c r="P716" s="8" t="s">
        <v>21</v>
      </c>
      <c r="Q716" s="8" t="s">
        <v>22</v>
      </c>
    </row>
    <row r="717" customFormat="false" ht="15" hidden="false" customHeight="false" outlineLevel="0" collapsed="false">
      <c r="A717" s="2" t="n">
        <v>716</v>
      </c>
      <c r="B717" s="3" t="s">
        <v>2312</v>
      </c>
      <c r="C717" s="3" t="s">
        <v>24</v>
      </c>
      <c r="D717" s="4"/>
      <c r="E717" s="3"/>
      <c r="F717" s="3" t="s">
        <v>19</v>
      </c>
      <c r="G717" s="3" t="s">
        <v>2313</v>
      </c>
      <c r="H717" s="3"/>
      <c r="I717" s="4"/>
      <c r="J717" s="5" t="s">
        <v>20</v>
      </c>
      <c r="K717" s="6"/>
      <c r="L717" s="5"/>
      <c r="M717" s="5"/>
      <c r="N717" s="6"/>
      <c r="O717" s="7"/>
      <c r="P717" s="8" t="s">
        <v>21</v>
      </c>
      <c r="Q717" s="8" t="s">
        <v>22</v>
      </c>
    </row>
    <row r="718" customFormat="false" ht="15" hidden="false" customHeight="false" outlineLevel="0" collapsed="false">
      <c r="A718" s="2" t="n">
        <v>717</v>
      </c>
      <c r="B718" s="3" t="s">
        <v>2314</v>
      </c>
      <c r="C718" s="3" t="s">
        <v>24</v>
      </c>
      <c r="D718" s="4" t="s">
        <v>2315</v>
      </c>
      <c r="E718" s="3" t="s">
        <v>26</v>
      </c>
      <c r="F718" s="3" t="s">
        <v>19</v>
      </c>
      <c r="G718" s="3" t="s">
        <v>2316</v>
      </c>
      <c r="H718" s="8" t="s">
        <v>2317</v>
      </c>
      <c r="I718" s="4"/>
      <c r="J718" s="5" t="s">
        <v>20</v>
      </c>
      <c r="K718" s="6"/>
      <c r="L718" s="5"/>
      <c r="M718" s="5"/>
      <c r="N718" s="6"/>
      <c r="O718" s="7"/>
      <c r="P718" s="8" t="s">
        <v>21</v>
      </c>
      <c r="Q718" s="8" t="s">
        <v>22</v>
      </c>
    </row>
    <row r="719" customFormat="false" ht="23.85" hidden="false" customHeight="false" outlineLevel="0" collapsed="false">
      <c r="A719" s="2" t="n">
        <v>718</v>
      </c>
      <c r="B719" s="3" t="s">
        <v>2318</v>
      </c>
      <c r="C719" s="3" t="s">
        <v>24</v>
      </c>
      <c r="D719" s="4"/>
      <c r="E719" s="3"/>
      <c r="F719" s="3" t="s">
        <v>19</v>
      </c>
      <c r="G719" s="3"/>
      <c r="H719" s="3"/>
      <c r="I719" s="4" t="s">
        <v>2319</v>
      </c>
      <c r="J719" s="5" t="s">
        <v>20</v>
      </c>
      <c r="K719" s="6"/>
      <c r="L719" s="5"/>
      <c r="M719" s="5"/>
      <c r="N719" s="6"/>
      <c r="O719" s="7"/>
      <c r="P719" s="8" t="s">
        <v>21</v>
      </c>
      <c r="Q719" s="8" t="s">
        <v>22</v>
      </c>
    </row>
    <row r="720" customFormat="false" ht="15" hidden="false" customHeight="false" outlineLevel="0" collapsed="false">
      <c r="A720" s="2" t="n">
        <v>719</v>
      </c>
      <c r="B720" s="3" t="s">
        <v>2320</v>
      </c>
      <c r="C720" s="3" t="s">
        <v>217</v>
      </c>
      <c r="D720" s="4"/>
      <c r="E720" s="3"/>
      <c r="F720" s="3" t="s">
        <v>19</v>
      </c>
      <c r="G720" s="3" t="s">
        <v>2321</v>
      </c>
      <c r="H720" s="3"/>
      <c r="I720" s="4" t="s">
        <v>2322</v>
      </c>
      <c r="J720" s="5" t="s">
        <v>20</v>
      </c>
      <c r="K720" s="6"/>
      <c r="L720" s="5"/>
      <c r="M720" s="5"/>
      <c r="N720" s="6"/>
      <c r="O720" s="7"/>
      <c r="P720" s="8" t="s">
        <v>21</v>
      </c>
      <c r="Q720" s="8" t="s">
        <v>22</v>
      </c>
    </row>
    <row r="721" customFormat="false" ht="15" hidden="false" customHeight="false" outlineLevel="0" collapsed="false">
      <c r="A721" s="2" t="n">
        <v>720</v>
      </c>
      <c r="B721" s="3" t="s">
        <v>2323</v>
      </c>
      <c r="C721" s="3" t="s">
        <v>24</v>
      </c>
      <c r="D721" s="4"/>
      <c r="E721" s="3"/>
      <c r="F721" s="3" t="s">
        <v>19</v>
      </c>
      <c r="G721" s="3" t="s">
        <v>2324</v>
      </c>
      <c r="H721" s="3"/>
      <c r="I721" s="4" t="s">
        <v>2325</v>
      </c>
      <c r="J721" s="5" t="s">
        <v>20</v>
      </c>
      <c r="K721" s="6"/>
      <c r="L721" s="5"/>
      <c r="M721" s="5"/>
      <c r="N721" s="6"/>
      <c r="O721" s="7"/>
      <c r="P721" s="8" t="s">
        <v>21</v>
      </c>
      <c r="Q721" s="8" t="s">
        <v>22</v>
      </c>
    </row>
    <row r="722" customFormat="false" ht="15" hidden="false" customHeight="false" outlineLevel="0" collapsed="false">
      <c r="A722" s="2" t="n">
        <v>721</v>
      </c>
      <c r="B722" s="3" t="s">
        <v>2326</v>
      </c>
      <c r="C722" s="3" t="s">
        <v>24</v>
      </c>
      <c r="D722" s="4"/>
      <c r="E722" s="3"/>
      <c r="F722" s="3" t="s">
        <v>19</v>
      </c>
      <c r="G722" s="3" t="s">
        <v>2327</v>
      </c>
      <c r="H722" s="3"/>
      <c r="I722" s="4"/>
      <c r="J722" s="5" t="s">
        <v>20</v>
      </c>
      <c r="K722" s="6"/>
      <c r="L722" s="5"/>
      <c r="M722" s="5"/>
      <c r="N722" s="6"/>
      <c r="O722" s="7"/>
      <c r="P722" s="8" t="s">
        <v>21</v>
      </c>
      <c r="Q722" s="8" t="s">
        <v>22</v>
      </c>
    </row>
    <row r="723" customFormat="false" ht="35.05" hidden="false" customHeight="false" outlineLevel="0" collapsed="false">
      <c r="A723" s="2" t="n">
        <v>722</v>
      </c>
      <c r="B723" s="3" t="s">
        <v>2328</v>
      </c>
      <c r="C723" s="3" t="s">
        <v>24</v>
      </c>
      <c r="D723" s="4" t="s">
        <v>2329</v>
      </c>
      <c r="E723" s="3" t="s">
        <v>93</v>
      </c>
      <c r="F723" s="3" t="s">
        <v>19</v>
      </c>
      <c r="G723" s="3" t="s">
        <v>2330</v>
      </c>
      <c r="H723" s="8" t="s">
        <v>2331</v>
      </c>
      <c r="I723" s="4" t="s">
        <v>2332</v>
      </c>
      <c r="J723" s="5" t="s">
        <v>20</v>
      </c>
      <c r="K723" s="6"/>
      <c r="L723" s="5"/>
      <c r="M723" s="5"/>
      <c r="N723" s="6"/>
      <c r="O723" s="7"/>
      <c r="P723" s="8" t="s">
        <v>21</v>
      </c>
      <c r="Q723" s="8" t="s">
        <v>22</v>
      </c>
    </row>
    <row r="724" customFormat="false" ht="15" hidden="false" customHeight="false" outlineLevel="0" collapsed="false">
      <c r="A724" s="2" t="n">
        <v>723</v>
      </c>
      <c r="B724" s="3" t="s">
        <v>2333</v>
      </c>
      <c r="C724" s="3" t="s">
        <v>24</v>
      </c>
      <c r="D724" s="4"/>
      <c r="E724" s="3"/>
      <c r="F724" s="3" t="s">
        <v>19</v>
      </c>
      <c r="G724" s="3" t="s">
        <v>2334</v>
      </c>
      <c r="H724" s="8" t="s">
        <v>2335</v>
      </c>
      <c r="I724" s="4" t="s">
        <v>2336</v>
      </c>
      <c r="J724" s="5" t="s">
        <v>20</v>
      </c>
      <c r="K724" s="6"/>
      <c r="L724" s="5"/>
      <c r="M724" s="5"/>
      <c r="N724" s="6"/>
      <c r="O724" s="7"/>
      <c r="P724" s="8" t="s">
        <v>21</v>
      </c>
      <c r="Q724" s="8" t="s">
        <v>22</v>
      </c>
    </row>
    <row r="725" customFormat="false" ht="15" hidden="false" customHeight="false" outlineLevel="0" collapsed="false">
      <c r="A725" s="2" t="n">
        <v>724</v>
      </c>
      <c r="B725" s="3" t="s">
        <v>2337</v>
      </c>
      <c r="C725" s="3" t="s">
        <v>24</v>
      </c>
      <c r="D725" s="4"/>
      <c r="E725" s="3"/>
      <c r="F725" s="3" t="s">
        <v>19</v>
      </c>
      <c r="G725" s="3" t="s">
        <v>2338</v>
      </c>
      <c r="H725" s="8" t="s">
        <v>2339</v>
      </c>
      <c r="I725" s="4" t="s">
        <v>2340</v>
      </c>
      <c r="J725" s="5" t="s">
        <v>20</v>
      </c>
      <c r="K725" s="6"/>
      <c r="L725" s="5"/>
      <c r="M725" s="5"/>
      <c r="N725" s="6"/>
      <c r="O725" s="7"/>
      <c r="P725" s="8" t="s">
        <v>21</v>
      </c>
      <c r="Q725" s="8" t="s">
        <v>22</v>
      </c>
    </row>
    <row r="726" customFormat="false" ht="23.85" hidden="false" customHeight="false" outlineLevel="0" collapsed="false">
      <c r="A726" s="2" t="n">
        <v>725</v>
      </c>
      <c r="B726" s="3" t="s">
        <v>2341</v>
      </c>
      <c r="C726" s="3" t="s">
        <v>24</v>
      </c>
      <c r="D726" s="4"/>
      <c r="E726" s="3"/>
      <c r="F726" s="3" t="s">
        <v>19</v>
      </c>
      <c r="G726" s="3" t="s">
        <v>2342</v>
      </c>
      <c r="H726" s="3"/>
      <c r="I726" s="4" t="s">
        <v>2343</v>
      </c>
      <c r="J726" s="5" t="s">
        <v>20</v>
      </c>
      <c r="K726" s="6"/>
      <c r="L726" s="5"/>
      <c r="M726" s="5"/>
      <c r="N726" s="6"/>
      <c r="O726" s="7"/>
      <c r="P726" s="8" t="s">
        <v>21</v>
      </c>
      <c r="Q726" s="8" t="s">
        <v>22</v>
      </c>
    </row>
    <row r="727" customFormat="false" ht="15" hidden="false" customHeight="false" outlineLevel="0" collapsed="false">
      <c r="A727" s="2" t="n">
        <v>726</v>
      </c>
      <c r="B727" s="3" t="s">
        <v>2344</v>
      </c>
      <c r="C727" s="3" t="s">
        <v>24</v>
      </c>
      <c r="D727" s="4"/>
      <c r="E727" s="3"/>
      <c r="F727" s="3" t="s">
        <v>19</v>
      </c>
      <c r="G727" s="3"/>
      <c r="H727" s="3"/>
      <c r="I727" s="4"/>
      <c r="J727" s="5" t="s">
        <v>20</v>
      </c>
      <c r="K727" s="6"/>
      <c r="L727" s="5"/>
      <c r="M727" s="5"/>
      <c r="N727" s="6"/>
      <c r="O727" s="7"/>
      <c r="P727" s="8" t="s">
        <v>21</v>
      </c>
      <c r="Q727" s="8" t="s">
        <v>22</v>
      </c>
    </row>
    <row r="728" customFormat="false" ht="23.85" hidden="false" customHeight="false" outlineLevel="0" collapsed="false">
      <c r="A728" s="2" t="n">
        <v>727</v>
      </c>
      <c r="B728" s="3" t="s">
        <v>2345</v>
      </c>
      <c r="C728" s="3" t="s">
        <v>24</v>
      </c>
      <c r="D728" s="4"/>
      <c r="E728" s="3"/>
      <c r="F728" s="3" t="s">
        <v>19</v>
      </c>
      <c r="G728" s="3"/>
      <c r="H728" s="3"/>
      <c r="I728" s="4" t="s">
        <v>2346</v>
      </c>
      <c r="J728" s="5" t="s">
        <v>20</v>
      </c>
      <c r="K728" s="6"/>
      <c r="L728" s="5"/>
      <c r="M728" s="5"/>
      <c r="N728" s="6"/>
      <c r="O728" s="7"/>
      <c r="P728" s="8" t="s">
        <v>21</v>
      </c>
      <c r="Q728" s="8" t="s">
        <v>22</v>
      </c>
    </row>
    <row r="729" customFormat="false" ht="15" hidden="false" customHeight="false" outlineLevel="0" collapsed="false">
      <c r="A729" s="2" t="n">
        <v>728</v>
      </c>
      <c r="B729" s="3" t="s">
        <v>2347</v>
      </c>
      <c r="C729" s="3" t="s">
        <v>2348</v>
      </c>
      <c r="D729" s="4" t="s">
        <v>2349</v>
      </c>
      <c r="E729" s="3" t="s">
        <v>579</v>
      </c>
      <c r="F729" s="3" t="s">
        <v>19</v>
      </c>
      <c r="G729" s="3" t="s">
        <v>2350</v>
      </c>
      <c r="H729" s="8" t="s">
        <v>2351</v>
      </c>
      <c r="I729" s="4"/>
      <c r="J729" s="5" t="s">
        <v>20</v>
      </c>
      <c r="K729" s="6"/>
      <c r="L729" s="5"/>
      <c r="M729" s="5"/>
      <c r="N729" s="6"/>
      <c r="O729" s="7"/>
      <c r="P729" s="8" t="s">
        <v>21</v>
      </c>
      <c r="Q729" s="8" t="s">
        <v>22</v>
      </c>
    </row>
    <row r="730" customFormat="false" ht="15" hidden="false" customHeight="false" outlineLevel="0" collapsed="false">
      <c r="A730" s="2" t="n">
        <v>729</v>
      </c>
      <c r="B730" s="3" t="s">
        <v>2352</v>
      </c>
      <c r="C730" s="3" t="s">
        <v>2353</v>
      </c>
      <c r="D730" s="4"/>
      <c r="E730" s="3"/>
      <c r="F730" s="3" t="s">
        <v>19</v>
      </c>
      <c r="G730" s="3" t="s">
        <v>2354</v>
      </c>
      <c r="H730" s="8" t="s">
        <v>2355</v>
      </c>
      <c r="I730" s="4" t="s">
        <v>2356</v>
      </c>
      <c r="J730" s="5" t="s">
        <v>20</v>
      </c>
      <c r="K730" s="6"/>
      <c r="L730" s="5"/>
      <c r="M730" s="5"/>
      <c r="N730" s="6"/>
      <c r="O730" s="7"/>
      <c r="P730" s="8" t="s">
        <v>21</v>
      </c>
      <c r="Q730" s="8" t="s">
        <v>22</v>
      </c>
    </row>
    <row r="731" customFormat="false" ht="15" hidden="false" customHeight="false" outlineLevel="0" collapsed="false">
      <c r="A731" s="2" t="n">
        <v>730</v>
      </c>
      <c r="B731" s="3" t="s">
        <v>2357</v>
      </c>
      <c r="C731" s="3" t="s">
        <v>2358</v>
      </c>
      <c r="D731" s="4"/>
      <c r="E731" s="3"/>
      <c r="F731" s="3" t="s">
        <v>19</v>
      </c>
      <c r="G731" s="3" t="s">
        <v>2359</v>
      </c>
      <c r="H731" s="8" t="s">
        <v>2360</v>
      </c>
      <c r="I731" s="4" t="s">
        <v>2356</v>
      </c>
      <c r="J731" s="5" t="s">
        <v>20</v>
      </c>
      <c r="K731" s="6"/>
      <c r="L731" s="5"/>
      <c r="M731" s="5"/>
      <c r="N731" s="6"/>
      <c r="O731" s="7"/>
      <c r="P731" s="8" t="s">
        <v>21</v>
      </c>
      <c r="Q731" s="8" t="s">
        <v>22</v>
      </c>
    </row>
    <row r="732" customFormat="false" ht="15" hidden="false" customHeight="false" outlineLevel="0" collapsed="false">
      <c r="A732" s="2" t="n">
        <v>731</v>
      </c>
      <c r="B732" s="3" t="s">
        <v>2361</v>
      </c>
      <c r="C732" s="3" t="s">
        <v>2362</v>
      </c>
      <c r="D732" s="4" t="s">
        <v>2363</v>
      </c>
      <c r="E732" s="3" t="s">
        <v>31</v>
      </c>
      <c r="F732" s="3" t="s">
        <v>19</v>
      </c>
      <c r="G732" s="3" t="s">
        <v>2364</v>
      </c>
      <c r="H732" s="8" t="s">
        <v>2365</v>
      </c>
      <c r="I732" s="4"/>
      <c r="J732" s="5" t="s">
        <v>20</v>
      </c>
      <c r="K732" s="6"/>
      <c r="L732" s="5"/>
      <c r="M732" s="5"/>
      <c r="N732" s="6"/>
      <c r="O732" s="7"/>
      <c r="P732" s="8" t="s">
        <v>21</v>
      </c>
      <c r="Q732" s="8" t="s">
        <v>22</v>
      </c>
    </row>
    <row r="733" customFormat="false" ht="15" hidden="false" customHeight="false" outlineLevel="0" collapsed="false">
      <c r="A733" s="2" t="n">
        <v>732</v>
      </c>
      <c r="B733" s="3" t="s">
        <v>2366</v>
      </c>
      <c r="C733" s="3" t="s">
        <v>91</v>
      </c>
      <c r="D733" s="4"/>
      <c r="E733" s="3"/>
      <c r="F733" s="3" t="s">
        <v>19</v>
      </c>
      <c r="G733" s="3"/>
      <c r="H733" s="3"/>
      <c r="I733" s="4"/>
      <c r="J733" s="5" t="s">
        <v>20</v>
      </c>
      <c r="K733" s="6"/>
      <c r="L733" s="5"/>
      <c r="M733" s="5"/>
      <c r="N733" s="6"/>
      <c r="O733" s="7"/>
      <c r="P733" s="8" t="s">
        <v>21</v>
      </c>
      <c r="Q733" s="8" t="s">
        <v>22</v>
      </c>
    </row>
    <row r="734" customFormat="false" ht="35.05" hidden="false" customHeight="false" outlineLevel="0" collapsed="false">
      <c r="A734" s="2" t="n">
        <v>733</v>
      </c>
      <c r="B734" s="3" t="s">
        <v>2367</v>
      </c>
      <c r="C734" s="3" t="s">
        <v>217</v>
      </c>
      <c r="D734" s="4"/>
      <c r="E734" s="3"/>
      <c r="F734" s="3" t="s">
        <v>19</v>
      </c>
      <c r="G734" s="3" t="s">
        <v>2368</v>
      </c>
      <c r="H734" s="8" t="s">
        <v>2369</v>
      </c>
      <c r="I734" s="4" t="s">
        <v>2370</v>
      </c>
      <c r="J734" s="5" t="s">
        <v>20</v>
      </c>
      <c r="K734" s="6"/>
      <c r="L734" s="5"/>
      <c r="M734" s="5"/>
      <c r="N734" s="6"/>
      <c r="O734" s="7"/>
      <c r="P734" s="8" t="s">
        <v>21</v>
      </c>
      <c r="Q734" s="8" t="s">
        <v>22</v>
      </c>
    </row>
    <row r="735" customFormat="false" ht="15" hidden="false" customHeight="false" outlineLevel="0" collapsed="false">
      <c r="A735" s="2" t="n">
        <v>734</v>
      </c>
      <c r="B735" s="3" t="s">
        <v>2371</v>
      </c>
      <c r="C735" s="3" t="s">
        <v>18</v>
      </c>
      <c r="D735" s="4"/>
      <c r="E735" s="3"/>
      <c r="F735" s="3" t="s">
        <v>19</v>
      </c>
      <c r="G735" s="3" t="s">
        <v>2372</v>
      </c>
      <c r="H735" s="8" t="s">
        <v>2373</v>
      </c>
      <c r="I735" s="4" t="s">
        <v>2374</v>
      </c>
      <c r="J735" s="5" t="s">
        <v>20</v>
      </c>
      <c r="K735" s="6"/>
      <c r="L735" s="5"/>
      <c r="M735" s="5"/>
      <c r="N735" s="6"/>
      <c r="O735" s="7"/>
      <c r="P735" s="8" t="s">
        <v>21</v>
      </c>
      <c r="Q735" s="8" t="s">
        <v>22</v>
      </c>
    </row>
    <row r="736" customFormat="false" ht="15" hidden="false" customHeight="false" outlineLevel="0" collapsed="false">
      <c r="A736" s="2" t="n">
        <v>735</v>
      </c>
      <c r="B736" s="3" t="s">
        <v>2375</v>
      </c>
      <c r="C736" s="3" t="s">
        <v>217</v>
      </c>
      <c r="D736" s="4"/>
      <c r="E736" s="3"/>
      <c r="F736" s="3" t="s">
        <v>19</v>
      </c>
      <c r="G736" s="3" t="s">
        <v>2376</v>
      </c>
      <c r="H736" s="8" t="s">
        <v>2377</v>
      </c>
      <c r="I736" s="4" t="s">
        <v>2378</v>
      </c>
      <c r="J736" s="5" t="s">
        <v>20</v>
      </c>
      <c r="K736" s="6"/>
      <c r="L736" s="5"/>
      <c r="M736" s="5"/>
      <c r="N736" s="6"/>
      <c r="O736" s="7"/>
      <c r="P736" s="8" t="s">
        <v>21</v>
      </c>
      <c r="Q736" s="8" t="s">
        <v>22</v>
      </c>
    </row>
    <row r="737" customFormat="false" ht="23.85" hidden="false" customHeight="false" outlineLevel="0" collapsed="false">
      <c r="A737" s="2" t="n">
        <v>736</v>
      </c>
      <c r="B737" s="3" t="s">
        <v>2379</v>
      </c>
      <c r="C737" s="3"/>
      <c r="D737" s="4" t="s">
        <v>2380</v>
      </c>
      <c r="E737" s="3" t="s">
        <v>148</v>
      </c>
      <c r="F737" s="3" t="s">
        <v>19</v>
      </c>
      <c r="G737" s="3" t="s">
        <v>2381</v>
      </c>
      <c r="H737" s="8" t="s">
        <v>2382</v>
      </c>
      <c r="I737" s="4" t="s">
        <v>2383</v>
      </c>
      <c r="J737" s="5" t="s">
        <v>20</v>
      </c>
      <c r="K737" s="6"/>
      <c r="L737" s="5"/>
      <c r="M737" s="5"/>
      <c r="N737" s="6"/>
      <c r="O737" s="7"/>
      <c r="P737" s="8" t="s">
        <v>21</v>
      </c>
      <c r="Q737" s="8" t="s">
        <v>22</v>
      </c>
    </row>
    <row r="738" customFormat="false" ht="15" hidden="false" customHeight="false" outlineLevel="0" collapsed="false">
      <c r="A738" s="2" t="n">
        <v>737</v>
      </c>
      <c r="B738" s="3" t="s">
        <v>2384</v>
      </c>
      <c r="C738" s="3" t="s">
        <v>2385</v>
      </c>
      <c r="D738" s="4"/>
      <c r="E738" s="3"/>
      <c r="F738" s="3" t="s">
        <v>19</v>
      </c>
      <c r="G738" s="3"/>
      <c r="H738" s="3"/>
      <c r="I738" s="4"/>
      <c r="J738" s="5" t="s">
        <v>20</v>
      </c>
      <c r="K738" s="6"/>
      <c r="L738" s="5"/>
      <c r="M738" s="5"/>
      <c r="N738" s="6"/>
      <c r="O738" s="7"/>
      <c r="P738" s="8" t="s">
        <v>21</v>
      </c>
      <c r="Q738" s="8" t="s">
        <v>22</v>
      </c>
    </row>
    <row r="739" customFormat="false" ht="15" hidden="false" customHeight="false" outlineLevel="0" collapsed="false">
      <c r="A739" s="2" t="n">
        <v>738</v>
      </c>
      <c r="B739" s="3" t="s">
        <v>2386</v>
      </c>
      <c r="C739" s="3" t="s">
        <v>64</v>
      </c>
      <c r="D739" s="4"/>
      <c r="E739" s="3"/>
      <c r="F739" s="3" t="s">
        <v>19</v>
      </c>
      <c r="G739" s="3" t="s">
        <v>2387</v>
      </c>
      <c r="H739" s="8" t="s">
        <v>2388</v>
      </c>
      <c r="I739" s="4" t="s">
        <v>2389</v>
      </c>
      <c r="J739" s="5" t="s">
        <v>20</v>
      </c>
      <c r="K739" s="6"/>
      <c r="L739" s="5"/>
      <c r="M739" s="5"/>
      <c r="N739" s="6"/>
      <c r="O739" s="7"/>
      <c r="P739" s="8" t="s">
        <v>21</v>
      </c>
      <c r="Q739" s="8" t="s">
        <v>22</v>
      </c>
    </row>
    <row r="740" customFormat="false" ht="15" hidden="false" customHeight="false" outlineLevel="0" collapsed="false">
      <c r="A740" s="2" t="n">
        <v>739</v>
      </c>
      <c r="B740" s="3" t="s">
        <v>2390</v>
      </c>
      <c r="C740" s="3" t="s">
        <v>120</v>
      </c>
      <c r="D740" s="4"/>
      <c r="E740" s="3"/>
      <c r="F740" s="3" t="s">
        <v>19</v>
      </c>
      <c r="G740" s="3" t="s">
        <v>2391</v>
      </c>
      <c r="H740" s="8" t="s">
        <v>2392</v>
      </c>
      <c r="I740" s="4" t="s">
        <v>2393</v>
      </c>
      <c r="J740" s="5" t="s">
        <v>20</v>
      </c>
      <c r="K740" s="6"/>
      <c r="L740" s="5"/>
      <c r="M740" s="5"/>
      <c r="N740" s="6"/>
      <c r="O740" s="7"/>
      <c r="P740" s="8" t="s">
        <v>21</v>
      </c>
      <c r="Q740" s="8" t="s">
        <v>22</v>
      </c>
    </row>
    <row r="741" customFormat="false" ht="15" hidden="false" customHeight="false" outlineLevel="0" collapsed="false">
      <c r="A741" s="2" t="n">
        <v>740</v>
      </c>
      <c r="B741" s="3" t="s">
        <v>2394</v>
      </c>
      <c r="C741" s="3" t="s">
        <v>140</v>
      </c>
      <c r="D741" s="4"/>
      <c r="E741" s="3"/>
      <c r="F741" s="3" t="s">
        <v>19</v>
      </c>
      <c r="G741" s="3" t="s">
        <v>2395</v>
      </c>
      <c r="H741" s="3"/>
      <c r="I741" s="4" t="s">
        <v>2396</v>
      </c>
      <c r="J741" s="5" t="s">
        <v>20</v>
      </c>
      <c r="K741" s="6"/>
      <c r="L741" s="5"/>
      <c r="M741" s="5"/>
      <c r="N741" s="6"/>
      <c r="O741" s="7"/>
      <c r="P741" s="8" t="s">
        <v>21</v>
      </c>
      <c r="Q741" s="8" t="s">
        <v>22</v>
      </c>
    </row>
    <row r="742" customFormat="false" ht="15" hidden="false" customHeight="false" outlineLevel="0" collapsed="false">
      <c r="A742" s="2" t="n">
        <v>741</v>
      </c>
      <c r="B742" s="3" t="s">
        <v>2397</v>
      </c>
      <c r="C742" s="3" t="s">
        <v>601</v>
      </c>
      <c r="D742" s="4" t="s">
        <v>2398</v>
      </c>
      <c r="E742" s="3" t="s">
        <v>93</v>
      </c>
      <c r="F742" s="3" t="s">
        <v>19</v>
      </c>
      <c r="G742" s="3" t="s">
        <v>2399</v>
      </c>
      <c r="H742" s="8" t="s">
        <v>2400</v>
      </c>
      <c r="I742" s="4" t="s">
        <v>2401</v>
      </c>
      <c r="J742" s="5" t="s">
        <v>20</v>
      </c>
      <c r="K742" s="6"/>
      <c r="L742" s="5"/>
      <c r="M742" s="5"/>
      <c r="N742" s="6"/>
      <c r="O742" s="7"/>
      <c r="P742" s="8" t="s">
        <v>21</v>
      </c>
      <c r="Q742" s="8" t="s">
        <v>22</v>
      </c>
    </row>
    <row r="743" customFormat="false" ht="15" hidden="false" customHeight="false" outlineLevel="0" collapsed="false">
      <c r="A743" s="2" t="n">
        <v>742</v>
      </c>
      <c r="B743" s="3" t="s">
        <v>2402</v>
      </c>
      <c r="C743" s="3" t="s">
        <v>2403</v>
      </c>
      <c r="D743" s="4"/>
      <c r="E743" s="3"/>
      <c r="F743" s="3" t="s">
        <v>19</v>
      </c>
      <c r="G743" s="3"/>
      <c r="H743" s="8" t="s">
        <v>2404</v>
      </c>
      <c r="I743" s="4" t="s">
        <v>2405</v>
      </c>
      <c r="J743" s="5" t="s">
        <v>20</v>
      </c>
      <c r="K743" s="6"/>
      <c r="L743" s="5"/>
      <c r="M743" s="5"/>
      <c r="N743" s="6"/>
      <c r="O743" s="7"/>
      <c r="P743" s="8" t="s">
        <v>21</v>
      </c>
      <c r="Q743" s="8" t="s">
        <v>22</v>
      </c>
    </row>
    <row r="744" customFormat="false" ht="15" hidden="false" customHeight="false" outlineLevel="0" collapsed="false">
      <c r="A744" s="2" t="n">
        <v>743</v>
      </c>
      <c r="B744" s="3" t="s">
        <v>2406</v>
      </c>
      <c r="C744" s="3" t="s">
        <v>135</v>
      </c>
      <c r="D744" s="4"/>
      <c r="E744" s="3"/>
      <c r="F744" s="3" t="s">
        <v>19</v>
      </c>
      <c r="G744" s="3" t="s">
        <v>2407</v>
      </c>
      <c r="H744" s="8" t="s">
        <v>2408</v>
      </c>
      <c r="I744" s="4" t="s">
        <v>2409</v>
      </c>
      <c r="J744" s="5" t="s">
        <v>20</v>
      </c>
      <c r="K744" s="6"/>
      <c r="L744" s="5"/>
      <c r="M744" s="5"/>
      <c r="N744" s="6"/>
      <c r="O744" s="7"/>
      <c r="P744" s="8" t="s">
        <v>21</v>
      </c>
      <c r="Q744" s="8" t="s">
        <v>22</v>
      </c>
    </row>
    <row r="745" customFormat="false" ht="15" hidden="false" customHeight="false" outlineLevel="0" collapsed="false">
      <c r="A745" s="2" t="n">
        <v>744</v>
      </c>
      <c r="B745" s="3" t="s">
        <v>2410</v>
      </c>
      <c r="C745" s="3" t="s">
        <v>18</v>
      </c>
      <c r="D745" s="4"/>
      <c r="E745" s="3"/>
      <c r="F745" s="3" t="s">
        <v>19</v>
      </c>
      <c r="G745" s="3"/>
      <c r="H745" s="3"/>
      <c r="I745" s="4" t="s">
        <v>2411</v>
      </c>
      <c r="J745" s="5" t="s">
        <v>20</v>
      </c>
      <c r="K745" s="6"/>
      <c r="L745" s="5"/>
      <c r="M745" s="5"/>
      <c r="N745" s="6"/>
      <c r="O745" s="7"/>
      <c r="P745" s="8" t="s">
        <v>21</v>
      </c>
      <c r="Q745" s="8" t="s">
        <v>22</v>
      </c>
    </row>
    <row r="746" customFormat="false" ht="15" hidden="false" customHeight="false" outlineLevel="0" collapsed="false">
      <c r="A746" s="2" t="n">
        <v>745</v>
      </c>
      <c r="B746" s="3" t="s">
        <v>2412</v>
      </c>
      <c r="C746" s="3"/>
      <c r="D746" s="4"/>
      <c r="E746" s="3"/>
      <c r="F746" s="3" t="s">
        <v>19</v>
      </c>
      <c r="G746" s="3" t="s">
        <v>2413</v>
      </c>
      <c r="H746" s="8" t="s">
        <v>2414</v>
      </c>
      <c r="I746" s="4" t="s">
        <v>2415</v>
      </c>
      <c r="J746" s="5" t="s">
        <v>20</v>
      </c>
      <c r="K746" s="6"/>
      <c r="L746" s="5"/>
      <c r="M746" s="5"/>
      <c r="N746" s="6"/>
      <c r="O746" s="7"/>
      <c r="P746" s="8" t="s">
        <v>21</v>
      </c>
      <c r="Q746" s="8" t="s">
        <v>22</v>
      </c>
    </row>
    <row r="747" customFormat="false" ht="23.85" hidden="false" customHeight="false" outlineLevel="0" collapsed="false">
      <c r="A747" s="2" t="n">
        <v>746</v>
      </c>
      <c r="B747" s="3" t="s">
        <v>2416</v>
      </c>
      <c r="C747" s="3" t="s">
        <v>2417</v>
      </c>
      <c r="D747" s="4"/>
      <c r="E747" s="3"/>
      <c r="F747" s="3" t="s">
        <v>19</v>
      </c>
      <c r="G747" s="3" t="s">
        <v>2418</v>
      </c>
      <c r="H747" s="8" t="s">
        <v>2419</v>
      </c>
      <c r="I747" s="4" t="s">
        <v>2420</v>
      </c>
      <c r="J747" s="5" t="s">
        <v>20</v>
      </c>
      <c r="K747" s="6"/>
      <c r="L747" s="5"/>
      <c r="M747" s="5"/>
      <c r="N747" s="6"/>
      <c r="O747" s="7"/>
      <c r="P747" s="8" t="s">
        <v>21</v>
      </c>
      <c r="Q747" s="8" t="s">
        <v>22</v>
      </c>
    </row>
    <row r="748" customFormat="false" ht="15" hidden="false" customHeight="false" outlineLevel="0" collapsed="false">
      <c r="A748" s="2" t="n">
        <v>747</v>
      </c>
      <c r="B748" s="3" t="s">
        <v>2421</v>
      </c>
      <c r="C748" s="3"/>
      <c r="D748" s="4"/>
      <c r="E748" s="3"/>
      <c r="F748" s="3" t="s">
        <v>19</v>
      </c>
      <c r="G748" s="3"/>
      <c r="H748" s="3"/>
      <c r="I748" s="4"/>
      <c r="J748" s="5" t="s">
        <v>20</v>
      </c>
      <c r="K748" s="6"/>
      <c r="L748" s="5"/>
      <c r="M748" s="5"/>
      <c r="N748" s="6"/>
      <c r="O748" s="7"/>
      <c r="P748" s="8" t="s">
        <v>21</v>
      </c>
      <c r="Q748" s="8" t="s">
        <v>22</v>
      </c>
    </row>
    <row r="749" customFormat="false" ht="15" hidden="false" customHeight="false" outlineLevel="0" collapsed="false">
      <c r="A749" s="2" t="n">
        <v>748</v>
      </c>
      <c r="B749" s="3" t="s">
        <v>2422</v>
      </c>
      <c r="C749" s="3"/>
      <c r="D749" s="4" t="s">
        <v>2423</v>
      </c>
      <c r="E749" s="3"/>
      <c r="F749" s="3" t="s">
        <v>19</v>
      </c>
      <c r="G749" s="3"/>
      <c r="H749" s="3"/>
      <c r="I749" s="4"/>
      <c r="J749" s="5" t="s">
        <v>20</v>
      </c>
      <c r="K749" s="6"/>
      <c r="L749" s="5"/>
      <c r="M749" s="5"/>
      <c r="N749" s="6"/>
      <c r="O749" s="7"/>
      <c r="P749" s="8" t="s">
        <v>21</v>
      </c>
      <c r="Q749" s="8" t="s">
        <v>22</v>
      </c>
    </row>
    <row r="750" customFormat="false" ht="15" hidden="false" customHeight="false" outlineLevel="0" collapsed="false">
      <c r="A750" s="2" t="n">
        <v>749</v>
      </c>
      <c r="B750" s="3" t="s">
        <v>2424</v>
      </c>
      <c r="C750" s="3"/>
      <c r="D750" s="4"/>
      <c r="E750" s="3"/>
      <c r="F750" s="3" t="s">
        <v>19</v>
      </c>
      <c r="G750" s="3"/>
      <c r="H750" s="3"/>
      <c r="I750" s="4" t="s">
        <v>2425</v>
      </c>
      <c r="J750" s="5" t="s">
        <v>20</v>
      </c>
      <c r="K750" s="6"/>
      <c r="L750" s="5"/>
      <c r="M750" s="5"/>
      <c r="N750" s="6"/>
      <c r="O750" s="7"/>
      <c r="P750" s="8" t="s">
        <v>21</v>
      </c>
      <c r="Q750" s="8" t="s">
        <v>22</v>
      </c>
    </row>
    <row r="751" customFormat="false" ht="15" hidden="false" customHeight="false" outlineLevel="0" collapsed="false">
      <c r="A751" s="2" t="n">
        <v>750</v>
      </c>
      <c r="B751" s="3" t="s">
        <v>2426</v>
      </c>
      <c r="C751" s="3" t="s">
        <v>181</v>
      </c>
      <c r="D751" s="4"/>
      <c r="E751" s="3"/>
      <c r="F751" s="3" t="s">
        <v>19</v>
      </c>
      <c r="G751" s="3"/>
      <c r="H751" s="3"/>
      <c r="I751" s="4" t="s">
        <v>2427</v>
      </c>
      <c r="J751" s="5" t="s">
        <v>20</v>
      </c>
      <c r="K751" s="6"/>
      <c r="L751" s="5"/>
      <c r="M751" s="5"/>
      <c r="N751" s="6"/>
      <c r="O751" s="7"/>
      <c r="P751" s="8" t="s">
        <v>21</v>
      </c>
      <c r="Q751" s="8" t="s">
        <v>22</v>
      </c>
    </row>
    <row r="752" customFormat="false" ht="15" hidden="false" customHeight="false" outlineLevel="0" collapsed="false">
      <c r="A752" s="2" t="n">
        <v>751</v>
      </c>
      <c r="B752" s="3" t="s">
        <v>2428</v>
      </c>
      <c r="C752" s="3" t="s">
        <v>120</v>
      </c>
      <c r="D752" s="4" t="s">
        <v>2429</v>
      </c>
      <c r="E752" s="3"/>
      <c r="F752" s="3" t="s">
        <v>19</v>
      </c>
      <c r="G752" s="3" t="s">
        <v>2430</v>
      </c>
      <c r="H752" s="8" t="s">
        <v>2431</v>
      </c>
      <c r="I752" s="4" t="s">
        <v>1351</v>
      </c>
      <c r="J752" s="5" t="s">
        <v>20</v>
      </c>
      <c r="K752" s="6"/>
      <c r="L752" s="5"/>
      <c r="M752" s="5"/>
      <c r="N752" s="6"/>
      <c r="O752" s="7"/>
      <c r="P752" s="8" t="s">
        <v>21</v>
      </c>
      <c r="Q752" s="8" t="s">
        <v>22</v>
      </c>
    </row>
    <row r="753" customFormat="false" ht="15" hidden="false" customHeight="false" outlineLevel="0" collapsed="false">
      <c r="A753" s="2" t="n">
        <v>752</v>
      </c>
      <c r="B753" s="3" t="s">
        <v>2432</v>
      </c>
      <c r="C753" s="3" t="s">
        <v>2433</v>
      </c>
      <c r="D753" s="4" t="s">
        <v>2434</v>
      </c>
      <c r="E753" s="3" t="s">
        <v>148</v>
      </c>
      <c r="F753" s="3" t="s">
        <v>19</v>
      </c>
      <c r="G753" s="3" t="s">
        <v>2435</v>
      </c>
      <c r="H753" s="3"/>
      <c r="I753" s="4" t="s">
        <v>2436</v>
      </c>
      <c r="J753" s="5" t="s">
        <v>20</v>
      </c>
      <c r="K753" s="6"/>
      <c r="L753" s="5"/>
      <c r="M753" s="5"/>
      <c r="N753" s="6"/>
      <c r="O753" s="7"/>
      <c r="P753" s="8" t="s">
        <v>21</v>
      </c>
      <c r="Q753" s="8" t="s">
        <v>22</v>
      </c>
    </row>
    <row r="754" customFormat="false" ht="23.85" hidden="false" customHeight="false" outlineLevel="0" collapsed="false">
      <c r="A754" s="2" t="n">
        <v>753</v>
      </c>
      <c r="B754" s="3" t="s">
        <v>2437</v>
      </c>
      <c r="C754" s="3"/>
      <c r="D754" s="4"/>
      <c r="E754" s="3"/>
      <c r="F754" s="3" t="s">
        <v>19</v>
      </c>
      <c r="G754" s="3"/>
      <c r="H754" s="3"/>
      <c r="I754" s="4" t="s">
        <v>2438</v>
      </c>
      <c r="J754" s="5" t="s">
        <v>20</v>
      </c>
      <c r="K754" s="6"/>
      <c r="L754" s="5"/>
      <c r="M754" s="5"/>
      <c r="N754" s="6"/>
      <c r="O754" s="7"/>
      <c r="P754" s="8" t="s">
        <v>21</v>
      </c>
      <c r="Q754" s="8" t="s">
        <v>22</v>
      </c>
    </row>
    <row r="755" customFormat="false" ht="15" hidden="false" customHeight="false" outlineLevel="0" collapsed="false">
      <c r="A755" s="2" t="n">
        <v>754</v>
      </c>
      <c r="B755" s="3" t="s">
        <v>2439</v>
      </c>
      <c r="C755" s="3"/>
      <c r="D755" s="4"/>
      <c r="E755" s="3"/>
      <c r="F755" s="3" t="s">
        <v>19</v>
      </c>
      <c r="G755" s="3"/>
      <c r="H755" s="3"/>
      <c r="I755" s="4"/>
      <c r="J755" s="5" t="s">
        <v>20</v>
      </c>
      <c r="K755" s="6"/>
      <c r="L755" s="5"/>
      <c r="M755" s="5"/>
      <c r="N755" s="6"/>
      <c r="O755" s="7"/>
      <c r="P755" s="8" t="s">
        <v>21</v>
      </c>
      <c r="Q755" s="8" t="s">
        <v>22</v>
      </c>
    </row>
    <row r="756" customFormat="false" ht="15" hidden="false" customHeight="false" outlineLevel="0" collapsed="false">
      <c r="A756" s="2" t="n">
        <v>755</v>
      </c>
      <c r="B756" s="3" t="s">
        <v>2440</v>
      </c>
      <c r="C756" s="3" t="s">
        <v>2441</v>
      </c>
      <c r="D756" s="4" t="s">
        <v>2442</v>
      </c>
      <c r="E756" s="3" t="s">
        <v>93</v>
      </c>
      <c r="F756" s="3" t="s">
        <v>19</v>
      </c>
      <c r="G756" s="3" t="s">
        <v>2443</v>
      </c>
      <c r="H756" s="8" t="s">
        <v>2444</v>
      </c>
      <c r="I756" s="4" t="s">
        <v>2445</v>
      </c>
      <c r="J756" s="5" t="s">
        <v>20</v>
      </c>
      <c r="K756" s="6"/>
      <c r="L756" s="5"/>
      <c r="M756" s="5"/>
      <c r="N756" s="6"/>
      <c r="O756" s="7"/>
      <c r="P756" s="8" t="s">
        <v>21</v>
      </c>
      <c r="Q756" s="8" t="s">
        <v>22</v>
      </c>
    </row>
    <row r="757" customFormat="false" ht="15" hidden="false" customHeight="false" outlineLevel="0" collapsed="false">
      <c r="A757" s="2" t="n">
        <v>756</v>
      </c>
      <c r="B757" s="3" t="s">
        <v>2446</v>
      </c>
      <c r="C757" s="3"/>
      <c r="D757" s="4" t="s">
        <v>2447</v>
      </c>
      <c r="E757" s="3" t="s">
        <v>148</v>
      </c>
      <c r="F757" s="3" t="s">
        <v>19</v>
      </c>
      <c r="G757" s="3" t="s">
        <v>2448</v>
      </c>
      <c r="H757" s="8" t="s">
        <v>2449</v>
      </c>
      <c r="I757" s="4" t="s">
        <v>2450</v>
      </c>
      <c r="J757" s="5" t="s">
        <v>20</v>
      </c>
      <c r="K757" s="6"/>
      <c r="L757" s="5"/>
      <c r="M757" s="5"/>
      <c r="N757" s="6"/>
      <c r="O757" s="7"/>
      <c r="P757" s="8" t="s">
        <v>21</v>
      </c>
      <c r="Q757" s="8" t="s">
        <v>22</v>
      </c>
    </row>
    <row r="758" customFormat="false" ht="15" hidden="false" customHeight="false" outlineLevel="0" collapsed="false">
      <c r="A758" s="2" t="n">
        <v>757</v>
      </c>
      <c r="B758" s="3" t="s">
        <v>2451</v>
      </c>
      <c r="C758" s="3"/>
      <c r="D758" s="4"/>
      <c r="E758" s="3" t="s">
        <v>31</v>
      </c>
      <c r="F758" s="3" t="s">
        <v>19</v>
      </c>
      <c r="G758" s="3"/>
      <c r="H758" s="8" t="s">
        <v>2452</v>
      </c>
      <c r="I758" s="4" t="s">
        <v>2453</v>
      </c>
      <c r="J758" s="5" t="s">
        <v>20</v>
      </c>
      <c r="K758" s="6"/>
      <c r="L758" s="5"/>
      <c r="M758" s="5"/>
      <c r="N758" s="6"/>
      <c r="O758" s="7"/>
      <c r="P758" s="8" t="s">
        <v>21</v>
      </c>
      <c r="Q758" s="8" t="s">
        <v>22</v>
      </c>
    </row>
    <row r="759" customFormat="false" ht="15" hidden="false" customHeight="false" outlineLevel="0" collapsed="false">
      <c r="A759" s="2" t="n">
        <v>758</v>
      </c>
      <c r="B759" s="3" t="s">
        <v>2454</v>
      </c>
      <c r="C759" s="3"/>
      <c r="D759" s="4" t="s">
        <v>2455</v>
      </c>
      <c r="E759" s="3" t="s">
        <v>2456</v>
      </c>
      <c r="F759" s="3" t="s">
        <v>19</v>
      </c>
      <c r="G759" s="3" t="s">
        <v>2457</v>
      </c>
      <c r="H759" s="8" t="s">
        <v>2458</v>
      </c>
      <c r="I759" s="4" t="s">
        <v>2450</v>
      </c>
      <c r="J759" s="5" t="s">
        <v>20</v>
      </c>
      <c r="K759" s="6"/>
      <c r="L759" s="5"/>
      <c r="M759" s="5"/>
      <c r="N759" s="6"/>
      <c r="O759" s="7"/>
      <c r="P759" s="8" t="s">
        <v>21</v>
      </c>
      <c r="Q759" s="8" t="s">
        <v>22</v>
      </c>
    </row>
    <row r="760" customFormat="false" ht="15" hidden="false" customHeight="false" outlineLevel="0" collapsed="false">
      <c r="A760" s="2" t="n">
        <v>759</v>
      </c>
      <c r="B760" s="3" t="s">
        <v>2459</v>
      </c>
      <c r="C760" s="3"/>
      <c r="D760" s="4"/>
      <c r="E760" s="3"/>
      <c r="F760" s="3" t="s">
        <v>19</v>
      </c>
      <c r="G760" s="3" t="s">
        <v>2460</v>
      </c>
      <c r="H760" s="8" t="s">
        <v>2461</v>
      </c>
      <c r="I760" s="4" t="s">
        <v>2462</v>
      </c>
      <c r="J760" s="5" t="s">
        <v>20</v>
      </c>
      <c r="K760" s="6"/>
      <c r="L760" s="5"/>
      <c r="M760" s="5"/>
      <c r="N760" s="6"/>
      <c r="O760" s="7"/>
      <c r="P760" s="8" t="s">
        <v>21</v>
      </c>
      <c r="Q760" s="8" t="s">
        <v>22</v>
      </c>
    </row>
    <row r="761" customFormat="false" ht="15" hidden="false" customHeight="false" outlineLevel="0" collapsed="false">
      <c r="A761" s="2" t="n">
        <v>760</v>
      </c>
      <c r="B761" s="3" t="s">
        <v>2463</v>
      </c>
      <c r="C761" s="3"/>
      <c r="D761" s="4"/>
      <c r="E761" s="3"/>
      <c r="F761" s="3" t="s">
        <v>19</v>
      </c>
      <c r="G761" s="3"/>
      <c r="H761" s="3"/>
      <c r="I761" s="4"/>
      <c r="J761" s="5" t="s">
        <v>20</v>
      </c>
      <c r="K761" s="6"/>
      <c r="L761" s="5"/>
      <c r="M761" s="5"/>
      <c r="N761" s="6"/>
      <c r="O761" s="7"/>
      <c r="P761" s="8" t="s">
        <v>21</v>
      </c>
      <c r="Q761" s="8" t="s">
        <v>22</v>
      </c>
    </row>
    <row r="762" customFormat="false" ht="15" hidden="false" customHeight="false" outlineLevel="0" collapsed="false">
      <c r="A762" s="2" t="n">
        <v>761</v>
      </c>
      <c r="B762" s="3" t="s">
        <v>2464</v>
      </c>
      <c r="C762" s="3" t="s">
        <v>217</v>
      </c>
      <c r="D762" s="4" t="s">
        <v>2465</v>
      </c>
      <c r="E762" s="3"/>
      <c r="F762" s="3" t="s">
        <v>19</v>
      </c>
      <c r="G762" s="3"/>
      <c r="H762" s="3"/>
      <c r="I762" s="4"/>
      <c r="J762" s="5" t="s">
        <v>20</v>
      </c>
      <c r="K762" s="6"/>
      <c r="L762" s="5"/>
      <c r="M762" s="5"/>
      <c r="N762" s="6"/>
      <c r="O762" s="7"/>
      <c r="P762" s="8" t="s">
        <v>21</v>
      </c>
      <c r="Q762" s="8" t="s">
        <v>22</v>
      </c>
    </row>
    <row r="763" customFormat="false" ht="15" hidden="false" customHeight="false" outlineLevel="0" collapsed="false">
      <c r="A763" s="2" t="n">
        <v>762</v>
      </c>
      <c r="B763" s="3" t="s">
        <v>2466</v>
      </c>
      <c r="C763" s="3"/>
      <c r="D763" s="4"/>
      <c r="E763" s="3" t="s">
        <v>31</v>
      </c>
      <c r="F763" s="3" t="s">
        <v>19</v>
      </c>
      <c r="G763" s="3"/>
      <c r="H763" s="3"/>
      <c r="I763" s="4"/>
      <c r="J763" s="5" t="s">
        <v>20</v>
      </c>
      <c r="K763" s="6"/>
      <c r="L763" s="5"/>
      <c r="M763" s="5"/>
      <c r="N763" s="6"/>
      <c r="O763" s="7"/>
      <c r="P763" s="8" t="s">
        <v>21</v>
      </c>
      <c r="Q763" s="8" t="s">
        <v>22</v>
      </c>
    </row>
    <row r="764" customFormat="false" ht="15" hidden="false" customHeight="false" outlineLevel="0" collapsed="false">
      <c r="A764" s="2" t="n">
        <v>763</v>
      </c>
      <c r="B764" s="3" t="s">
        <v>2467</v>
      </c>
      <c r="C764" s="3" t="s">
        <v>2468</v>
      </c>
      <c r="D764" s="4" t="s">
        <v>2469</v>
      </c>
      <c r="E764" s="3" t="s">
        <v>579</v>
      </c>
      <c r="F764" s="3" t="s">
        <v>19</v>
      </c>
      <c r="G764" s="3"/>
      <c r="H764" s="8" t="s">
        <v>2470</v>
      </c>
      <c r="I764" s="4" t="s">
        <v>2471</v>
      </c>
      <c r="J764" s="5" t="s">
        <v>20</v>
      </c>
      <c r="K764" s="6"/>
      <c r="L764" s="5"/>
      <c r="M764" s="5"/>
      <c r="N764" s="6"/>
      <c r="O764" s="7"/>
      <c r="P764" s="8" t="s">
        <v>21</v>
      </c>
      <c r="Q764" s="8" t="s">
        <v>22</v>
      </c>
    </row>
    <row r="765" customFormat="false" ht="23.85" hidden="false" customHeight="false" outlineLevel="0" collapsed="false">
      <c r="A765" s="2" t="n">
        <v>764</v>
      </c>
      <c r="B765" s="3" t="s">
        <v>2467</v>
      </c>
      <c r="C765" s="3" t="s">
        <v>116</v>
      </c>
      <c r="D765" s="4" t="s">
        <v>2472</v>
      </c>
      <c r="E765" s="3" t="s">
        <v>93</v>
      </c>
      <c r="F765" s="3" t="s">
        <v>19</v>
      </c>
      <c r="G765" s="3" t="s">
        <v>2473</v>
      </c>
      <c r="H765" s="8" t="s">
        <v>2474</v>
      </c>
      <c r="I765" s="4" t="s">
        <v>2475</v>
      </c>
      <c r="J765" s="5" t="s">
        <v>20</v>
      </c>
      <c r="K765" s="6"/>
      <c r="L765" s="5"/>
      <c r="M765" s="5"/>
      <c r="N765" s="6"/>
      <c r="O765" s="7"/>
      <c r="P765" s="8" t="s">
        <v>21</v>
      </c>
      <c r="Q765" s="8" t="s">
        <v>22</v>
      </c>
    </row>
    <row r="766" customFormat="false" ht="15" hidden="false" customHeight="false" outlineLevel="0" collapsed="false">
      <c r="A766" s="2" t="n">
        <v>765</v>
      </c>
      <c r="B766" s="3" t="s">
        <v>2467</v>
      </c>
      <c r="C766" s="3" t="s">
        <v>2476</v>
      </c>
      <c r="D766" s="4" t="s">
        <v>2477</v>
      </c>
      <c r="E766" s="3" t="s">
        <v>57</v>
      </c>
      <c r="F766" s="3" t="s">
        <v>19</v>
      </c>
      <c r="G766" s="3" t="s">
        <v>2478</v>
      </c>
      <c r="H766" s="8" t="s">
        <v>2479</v>
      </c>
      <c r="I766" s="4"/>
      <c r="J766" s="5" t="s">
        <v>20</v>
      </c>
      <c r="K766" s="6"/>
      <c r="L766" s="5"/>
      <c r="M766" s="5"/>
      <c r="N766" s="6"/>
      <c r="O766" s="7"/>
      <c r="P766" s="8" t="s">
        <v>21</v>
      </c>
      <c r="Q766" s="8" t="s">
        <v>22</v>
      </c>
    </row>
    <row r="767" customFormat="false" ht="15" hidden="false" customHeight="false" outlineLevel="0" collapsed="false">
      <c r="A767" s="2" t="n">
        <v>766</v>
      </c>
      <c r="B767" s="3" t="s">
        <v>2480</v>
      </c>
      <c r="C767" s="3" t="s">
        <v>89</v>
      </c>
      <c r="D767" s="4" t="s">
        <v>2481</v>
      </c>
      <c r="E767" s="3"/>
      <c r="F767" s="3" t="s">
        <v>19</v>
      </c>
      <c r="G767" s="3"/>
      <c r="H767" s="3"/>
      <c r="I767" s="4" t="s">
        <v>2482</v>
      </c>
      <c r="J767" s="5" t="s">
        <v>20</v>
      </c>
      <c r="K767" s="6"/>
      <c r="L767" s="5"/>
      <c r="M767" s="5"/>
      <c r="N767" s="6"/>
      <c r="O767" s="7"/>
      <c r="P767" s="8" t="s">
        <v>21</v>
      </c>
      <c r="Q767" s="8" t="s">
        <v>22</v>
      </c>
    </row>
    <row r="768" customFormat="false" ht="15" hidden="false" customHeight="false" outlineLevel="0" collapsed="false">
      <c r="A768" s="2" t="n">
        <v>767</v>
      </c>
      <c r="B768" s="3" t="s">
        <v>2483</v>
      </c>
      <c r="C768" s="3" t="s">
        <v>277</v>
      </c>
      <c r="D768" s="4"/>
      <c r="E768" s="3"/>
      <c r="F768" s="3" t="s">
        <v>19</v>
      </c>
      <c r="G768" s="3"/>
      <c r="H768" s="3"/>
      <c r="I768" s="4" t="s">
        <v>2484</v>
      </c>
      <c r="J768" s="5" t="s">
        <v>20</v>
      </c>
      <c r="K768" s="6"/>
      <c r="L768" s="5"/>
      <c r="M768" s="5"/>
      <c r="N768" s="6"/>
      <c r="O768" s="7"/>
      <c r="P768" s="8" t="s">
        <v>21</v>
      </c>
      <c r="Q768" s="8" t="s">
        <v>22</v>
      </c>
    </row>
    <row r="769" customFormat="false" ht="15" hidden="false" customHeight="false" outlineLevel="0" collapsed="false">
      <c r="A769" s="2" t="n">
        <v>768</v>
      </c>
      <c r="B769" s="3" t="s">
        <v>2485</v>
      </c>
      <c r="C769" s="3"/>
      <c r="D769" s="4"/>
      <c r="E769" s="3"/>
      <c r="F769" s="3" t="s">
        <v>19</v>
      </c>
      <c r="G769" s="3" t="s">
        <v>2486</v>
      </c>
      <c r="H769" s="3"/>
      <c r="I769" s="4" t="s">
        <v>2487</v>
      </c>
      <c r="J769" s="5" t="s">
        <v>20</v>
      </c>
      <c r="K769" s="6"/>
      <c r="L769" s="5"/>
      <c r="M769" s="5"/>
      <c r="N769" s="6"/>
      <c r="O769" s="7"/>
      <c r="P769" s="8" t="s">
        <v>21</v>
      </c>
      <c r="Q769" s="8" t="s">
        <v>22</v>
      </c>
    </row>
    <row r="770" customFormat="false" ht="15" hidden="false" customHeight="false" outlineLevel="0" collapsed="false">
      <c r="A770" s="2" t="n">
        <v>769</v>
      </c>
      <c r="B770" s="3" t="s">
        <v>2488</v>
      </c>
      <c r="C770" s="3"/>
      <c r="D770" s="4"/>
      <c r="E770" s="3"/>
      <c r="F770" s="3" t="s">
        <v>19</v>
      </c>
      <c r="G770" s="3"/>
      <c r="H770" s="3"/>
      <c r="I770" s="4" t="s">
        <v>2489</v>
      </c>
      <c r="J770" s="5" t="s">
        <v>20</v>
      </c>
      <c r="K770" s="6"/>
      <c r="L770" s="5"/>
      <c r="M770" s="5"/>
      <c r="N770" s="6"/>
      <c r="O770" s="7"/>
      <c r="P770" s="8" t="s">
        <v>21</v>
      </c>
      <c r="Q770" s="8" t="s">
        <v>22</v>
      </c>
    </row>
    <row r="771" customFormat="false" ht="15" hidden="false" customHeight="false" outlineLevel="0" collapsed="false">
      <c r="A771" s="2" t="n">
        <v>770</v>
      </c>
      <c r="B771" s="3" t="s">
        <v>2490</v>
      </c>
      <c r="C771" s="3" t="s">
        <v>71</v>
      </c>
      <c r="D771" s="4"/>
      <c r="E771" s="3"/>
      <c r="F771" s="3" t="s">
        <v>19</v>
      </c>
      <c r="G771" s="3" t="s">
        <v>2491</v>
      </c>
      <c r="H771" s="8" t="s">
        <v>2492</v>
      </c>
      <c r="I771" s="4" t="s">
        <v>2493</v>
      </c>
      <c r="J771" s="5" t="s">
        <v>20</v>
      </c>
      <c r="K771" s="6"/>
      <c r="L771" s="5"/>
      <c r="M771" s="5"/>
      <c r="N771" s="6"/>
      <c r="O771" s="7"/>
      <c r="P771" s="8" t="s">
        <v>21</v>
      </c>
      <c r="Q771" s="8" t="s">
        <v>22</v>
      </c>
    </row>
    <row r="772" customFormat="false" ht="23.85" hidden="false" customHeight="false" outlineLevel="0" collapsed="false">
      <c r="A772" s="2" t="n">
        <v>771</v>
      </c>
      <c r="B772" s="3" t="s">
        <v>2494</v>
      </c>
      <c r="C772" s="3" t="s">
        <v>116</v>
      </c>
      <c r="D772" s="4"/>
      <c r="E772" s="3"/>
      <c r="F772" s="3" t="s">
        <v>19</v>
      </c>
      <c r="G772" s="3" t="s">
        <v>2495</v>
      </c>
      <c r="H772" s="8" t="s">
        <v>2496</v>
      </c>
      <c r="I772" s="4" t="s">
        <v>2497</v>
      </c>
      <c r="J772" s="5" t="s">
        <v>20</v>
      </c>
      <c r="K772" s="6"/>
      <c r="L772" s="5"/>
      <c r="M772" s="5"/>
      <c r="N772" s="6"/>
      <c r="O772" s="7"/>
      <c r="P772" s="8" t="s">
        <v>21</v>
      </c>
      <c r="Q772" s="8" t="s">
        <v>22</v>
      </c>
    </row>
    <row r="773" customFormat="false" ht="15" hidden="false" customHeight="false" outlineLevel="0" collapsed="false">
      <c r="A773" s="2" t="n">
        <v>772</v>
      </c>
      <c r="B773" s="3" t="s">
        <v>2498</v>
      </c>
      <c r="C773" s="3"/>
      <c r="D773" s="4" t="s">
        <v>663</v>
      </c>
      <c r="E773" s="3" t="s">
        <v>31</v>
      </c>
      <c r="F773" s="3" t="s">
        <v>19</v>
      </c>
      <c r="G773" s="3" t="s">
        <v>2499</v>
      </c>
      <c r="H773" s="8" t="s">
        <v>2500</v>
      </c>
      <c r="I773" s="4" t="s">
        <v>2501</v>
      </c>
      <c r="J773" s="5" t="s">
        <v>20</v>
      </c>
      <c r="K773" s="6"/>
      <c r="L773" s="5"/>
      <c r="M773" s="5"/>
      <c r="N773" s="6"/>
      <c r="O773" s="7"/>
      <c r="P773" s="8" t="s">
        <v>21</v>
      </c>
      <c r="Q773" s="8" t="s">
        <v>22</v>
      </c>
    </row>
    <row r="774" customFormat="false" ht="15" hidden="false" customHeight="false" outlineLevel="0" collapsed="false">
      <c r="A774" s="2" t="n">
        <v>773</v>
      </c>
      <c r="B774" s="3" t="s">
        <v>2502</v>
      </c>
      <c r="C774" s="3" t="s">
        <v>24</v>
      </c>
      <c r="D774" s="4"/>
      <c r="E774" s="3"/>
      <c r="F774" s="3" t="s">
        <v>19</v>
      </c>
      <c r="G774" s="3"/>
      <c r="H774" s="8" t="s">
        <v>2503</v>
      </c>
      <c r="I774" s="4" t="s">
        <v>2504</v>
      </c>
      <c r="J774" s="5" t="s">
        <v>20</v>
      </c>
      <c r="K774" s="6"/>
      <c r="L774" s="5"/>
      <c r="M774" s="5"/>
      <c r="N774" s="6"/>
      <c r="O774" s="7"/>
      <c r="P774" s="8" t="s">
        <v>21</v>
      </c>
      <c r="Q774" s="8" t="s">
        <v>22</v>
      </c>
    </row>
    <row r="775" customFormat="false" ht="15" hidden="false" customHeight="false" outlineLevel="0" collapsed="false">
      <c r="A775" s="2" t="n">
        <v>774</v>
      </c>
      <c r="B775" s="3" t="s">
        <v>2505</v>
      </c>
      <c r="C775" s="3"/>
      <c r="D775" s="4"/>
      <c r="E775" s="3"/>
      <c r="F775" s="3" t="s">
        <v>19</v>
      </c>
      <c r="G775" s="3" t="s">
        <v>2506</v>
      </c>
      <c r="H775" s="8" t="s">
        <v>2507</v>
      </c>
      <c r="I775" s="4" t="s">
        <v>2508</v>
      </c>
      <c r="J775" s="5" t="s">
        <v>20</v>
      </c>
      <c r="K775" s="6"/>
      <c r="L775" s="5"/>
      <c r="M775" s="5"/>
      <c r="N775" s="6"/>
      <c r="O775" s="7"/>
      <c r="P775" s="8" t="s">
        <v>21</v>
      </c>
      <c r="Q775" s="8" t="s">
        <v>22</v>
      </c>
    </row>
    <row r="776" customFormat="false" ht="15" hidden="false" customHeight="false" outlineLevel="0" collapsed="false">
      <c r="A776" s="2" t="n">
        <v>775</v>
      </c>
      <c r="B776" s="3" t="s">
        <v>2509</v>
      </c>
      <c r="C776" s="3" t="s">
        <v>2510</v>
      </c>
      <c r="D776" s="4"/>
      <c r="E776" s="3"/>
      <c r="F776" s="3" t="s">
        <v>19</v>
      </c>
      <c r="G776" s="3" t="s">
        <v>2511</v>
      </c>
      <c r="H776" s="8" t="s">
        <v>2512</v>
      </c>
      <c r="I776" s="4"/>
      <c r="J776" s="5" t="s">
        <v>20</v>
      </c>
      <c r="K776" s="6"/>
      <c r="L776" s="5"/>
      <c r="M776" s="5"/>
      <c r="N776" s="6"/>
      <c r="O776" s="7"/>
      <c r="P776" s="8" t="s">
        <v>21</v>
      </c>
      <c r="Q776" s="8" t="s">
        <v>22</v>
      </c>
    </row>
    <row r="777" customFormat="false" ht="15" hidden="false" customHeight="false" outlineLevel="0" collapsed="false">
      <c r="A777" s="2" t="n">
        <v>776</v>
      </c>
      <c r="B777" s="3" t="s">
        <v>2513</v>
      </c>
      <c r="C777" s="3" t="s">
        <v>116</v>
      </c>
      <c r="D777" s="4" t="s">
        <v>2514</v>
      </c>
      <c r="E777" s="3" t="s">
        <v>148</v>
      </c>
      <c r="F777" s="3" t="s">
        <v>19</v>
      </c>
      <c r="G777" s="3" t="s">
        <v>2515</v>
      </c>
      <c r="H777" s="3"/>
      <c r="I777" s="4" t="s">
        <v>2516</v>
      </c>
      <c r="J777" s="5" t="s">
        <v>20</v>
      </c>
      <c r="K777" s="6"/>
      <c r="L777" s="5"/>
      <c r="M777" s="5"/>
      <c r="N777" s="6"/>
      <c r="O777" s="7"/>
      <c r="P777" s="8" t="s">
        <v>21</v>
      </c>
      <c r="Q777" s="8" t="s">
        <v>22</v>
      </c>
    </row>
    <row r="778" customFormat="false" ht="23.85" hidden="false" customHeight="false" outlineLevel="0" collapsed="false">
      <c r="A778" s="2" t="n">
        <v>777</v>
      </c>
      <c r="B778" s="3" t="s">
        <v>2517</v>
      </c>
      <c r="C778" s="3" t="s">
        <v>116</v>
      </c>
      <c r="D778" s="4"/>
      <c r="E778" s="3"/>
      <c r="F778" s="3" t="s">
        <v>19</v>
      </c>
      <c r="G778" s="3"/>
      <c r="H778" s="8" t="s">
        <v>2518</v>
      </c>
      <c r="I778" s="4" t="s">
        <v>2519</v>
      </c>
      <c r="J778" s="5" t="s">
        <v>20</v>
      </c>
      <c r="K778" s="6"/>
      <c r="L778" s="5"/>
      <c r="M778" s="5"/>
      <c r="N778" s="6"/>
      <c r="O778" s="7"/>
      <c r="P778" s="8" t="s">
        <v>21</v>
      </c>
      <c r="Q778" s="8" t="s">
        <v>22</v>
      </c>
    </row>
    <row r="779" customFormat="false" ht="15" hidden="false" customHeight="false" outlineLevel="0" collapsed="false">
      <c r="A779" s="2" t="n">
        <v>778</v>
      </c>
      <c r="B779" s="3" t="s">
        <v>2520</v>
      </c>
      <c r="C779" s="3" t="s">
        <v>601</v>
      </c>
      <c r="D779" s="4"/>
      <c r="E779" s="3"/>
      <c r="F779" s="3" t="s">
        <v>19</v>
      </c>
      <c r="G779" s="3"/>
      <c r="H779" s="3"/>
      <c r="I779" s="4"/>
      <c r="J779" s="5" t="s">
        <v>20</v>
      </c>
      <c r="K779" s="6"/>
      <c r="L779" s="5"/>
      <c r="M779" s="5"/>
      <c r="N779" s="6"/>
      <c r="O779" s="7"/>
      <c r="P779" s="8" t="s">
        <v>21</v>
      </c>
      <c r="Q779" s="8" t="s">
        <v>22</v>
      </c>
    </row>
    <row r="780" customFormat="false" ht="15" hidden="false" customHeight="false" outlineLevel="0" collapsed="false">
      <c r="A780" s="2" t="n">
        <v>779</v>
      </c>
      <c r="B780" s="3" t="s">
        <v>2521</v>
      </c>
      <c r="C780" s="3" t="s">
        <v>116</v>
      </c>
      <c r="D780" s="4"/>
      <c r="E780" s="3"/>
      <c r="F780" s="3" t="s">
        <v>19</v>
      </c>
      <c r="G780" s="3"/>
      <c r="H780" s="3"/>
      <c r="I780" s="4" t="s">
        <v>633</v>
      </c>
      <c r="J780" s="5" t="s">
        <v>20</v>
      </c>
      <c r="K780" s="6"/>
      <c r="L780" s="5"/>
      <c r="M780" s="5"/>
      <c r="N780" s="6"/>
      <c r="O780" s="7"/>
      <c r="P780" s="8" t="s">
        <v>21</v>
      </c>
      <c r="Q780" s="8" t="s">
        <v>22</v>
      </c>
    </row>
    <row r="781" customFormat="false" ht="15" hidden="false" customHeight="false" outlineLevel="0" collapsed="false">
      <c r="A781" s="2" t="n">
        <v>780</v>
      </c>
      <c r="B781" s="3" t="s">
        <v>2522</v>
      </c>
      <c r="C781" s="3" t="s">
        <v>64</v>
      </c>
      <c r="D781" s="4"/>
      <c r="E781" s="3"/>
      <c r="F781" s="3" t="s">
        <v>19</v>
      </c>
      <c r="G781" s="3"/>
      <c r="H781" s="8" t="s">
        <v>2523</v>
      </c>
      <c r="I781" s="4" t="s">
        <v>2524</v>
      </c>
      <c r="J781" s="5" t="s">
        <v>20</v>
      </c>
      <c r="K781" s="6"/>
      <c r="L781" s="5"/>
      <c r="M781" s="5"/>
      <c r="N781" s="6"/>
      <c r="O781" s="7"/>
      <c r="P781" s="8" t="s">
        <v>21</v>
      </c>
      <c r="Q781" s="8" t="s">
        <v>22</v>
      </c>
    </row>
    <row r="782" customFormat="false" ht="23.85" hidden="false" customHeight="false" outlineLevel="0" collapsed="false">
      <c r="A782" s="2" t="n">
        <v>781</v>
      </c>
      <c r="B782" s="3" t="s">
        <v>2525</v>
      </c>
      <c r="C782" s="3"/>
      <c r="D782" s="4" t="s">
        <v>2526</v>
      </c>
      <c r="E782" s="3" t="s">
        <v>148</v>
      </c>
      <c r="F782" s="3" t="s">
        <v>19</v>
      </c>
      <c r="G782" s="3" t="s">
        <v>2527</v>
      </c>
      <c r="H782" s="8" t="s">
        <v>2528</v>
      </c>
      <c r="I782" s="4" t="s">
        <v>2529</v>
      </c>
      <c r="J782" s="5" t="s">
        <v>20</v>
      </c>
      <c r="K782" s="6"/>
      <c r="L782" s="5"/>
      <c r="M782" s="5"/>
      <c r="N782" s="6"/>
      <c r="O782" s="7"/>
      <c r="P782" s="8" t="s">
        <v>21</v>
      </c>
      <c r="Q782" s="8" t="s">
        <v>22</v>
      </c>
    </row>
    <row r="783" customFormat="false" ht="15" hidden="false" customHeight="false" outlineLevel="0" collapsed="false">
      <c r="A783" s="2" t="n">
        <v>782</v>
      </c>
      <c r="B783" s="3" t="s">
        <v>2530</v>
      </c>
      <c r="C783" s="3"/>
      <c r="D783" s="4" t="s">
        <v>2531</v>
      </c>
      <c r="E783" s="3" t="s">
        <v>31</v>
      </c>
      <c r="F783" s="3" t="s">
        <v>19</v>
      </c>
      <c r="G783" s="3" t="s">
        <v>2532</v>
      </c>
      <c r="H783" s="8" t="s">
        <v>2533</v>
      </c>
      <c r="I783" s="4"/>
      <c r="J783" s="5" t="s">
        <v>20</v>
      </c>
      <c r="K783" s="6"/>
      <c r="L783" s="5"/>
      <c r="M783" s="5"/>
      <c r="N783" s="6"/>
      <c r="O783" s="7"/>
      <c r="P783" s="8" t="s">
        <v>21</v>
      </c>
      <c r="Q783" s="8" t="s">
        <v>22</v>
      </c>
    </row>
    <row r="784" customFormat="false" ht="15" hidden="false" customHeight="false" outlineLevel="0" collapsed="false">
      <c r="A784" s="2" t="n">
        <v>783</v>
      </c>
      <c r="B784" s="3" t="s">
        <v>2534</v>
      </c>
      <c r="C784" s="3" t="s">
        <v>2535</v>
      </c>
      <c r="D784" s="4"/>
      <c r="E784" s="3"/>
      <c r="F784" s="3" t="s">
        <v>19</v>
      </c>
      <c r="G784" s="3"/>
      <c r="H784" s="8" t="s">
        <v>2536</v>
      </c>
      <c r="I784" s="4" t="s">
        <v>2537</v>
      </c>
      <c r="J784" s="5" t="s">
        <v>20</v>
      </c>
      <c r="K784" s="6"/>
      <c r="L784" s="5"/>
      <c r="M784" s="5"/>
      <c r="N784" s="6"/>
      <c r="O784" s="7"/>
      <c r="P784" s="8" t="s">
        <v>21</v>
      </c>
      <c r="Q784" s="8" t="s">
        <v>22</v>
      </c>
    </row>
    <row r="785" customFormat="false" ht="15" hidden="false" customHeight="false" outlineLevel="0" collapsed="false">
      <c r="A785" s="2" t="n">
        <v>784</v>
      </c>
      <c r="B785" s="3" t="s">
        <v>2538</v>
      </c>
      <c r="C785" s="3" t="s">
        <v>2539</v>
      </c>
      <c r="D785" s="4"/>
      <c r="E785" s="3"/>
      <c r="F785" s="3" t="s">
        <v>19</v>
      </c>
      <c r="G785" s="3"/>
      <c r="H785" s="3"/>
      <c r="I785" s="4"/>
      <c r="J785" s="5" t="s">
        <v>20</v>
      </c>
      <c r="K785" s="6"/>
      <c r="L785" s="5"/>
      <c r="M785" s="5"/>
      <c r="N785" s="6"/>
      <c r="O785" s="7"/>
      <c r="P785" s="8" t="s">
        <v>21</v>
      </c>
      <c r="Q785" s="8" t="s">
        <v>22</v>
      </c>
    </row>
    <row r="786" customFormat="false" ht="23.85" hidden="false" customHeight="false" outlineLevel="0" collapsed="false">
      <c r="A786" s="2" t="n">
        <v>785</v>
      </c>
      <c r="B786" s="3" t="s">
        <v>2540</v>
      </c>
      <c r="C786" s="3" t="s">
        <v>71</v>
      </c>
      <c r="D786" s="4" t="s">
        <v>2541</v>
      </c>
      <c r="E786" s="3"/>
      <c r="F786" s="3" t="s">
        <v>19</v>
      </c>
      <c r="G786" s="3"/>
      <c r="H786" s="8" t="s">
        <v>2542</v>
      </c>
      <c r="I786" s="4" t="s">
        <v>2543</v>
      </c>
      <c r="J786" s="5" t="s">
        <v>20</v>
      </c>
      <c r="K786" s="6"/>
      <c r="L786" s="5"/>
      <c r="M786" s="5"/>
      <c r="N786" s="6"/>
      <c r="O786" s="7"/>
      <c r="P786" s="8" t="s">
        <v>21</v>
      </c>
      <c r="Q786" s="8" t="s">
        <v>22</v>
      </c>
    </row>
    <row r="787" customFormat="false" ht="15" hidden="false" customHeight="false" outlineLevel="0" collapsed="false">
      <c r="A787" s="2" t="n">
        <v>786</v>
      </c>
      <c r="B787" s="3" t="s">
        <v>2544</v>
      </c>
      <c r="C787" s="3"/>
      <c r="D787" s="4" t="s">
        <v>2545</v>
      </c>
      <c r="E787" s="3"/>
      <c r="F787" s="3" t="s">
        <v>19</v>
      </c>
      <c r="G787" s="3"/>
      <c r="H787" s="3"/>
      <c r="I787" s="4" t="s">
        <v>2546</v>
      </c>
      <c r="J787" s="5" t="s">
        <v>20</v>
      </c>
      <c r="K787" s="6"/>
      <c r="L787" s="5"/>
      <c r="M787" s="5"/>
      <c r="N787" s="6"/>
      <c r="O787" s="7"/>
      <c r="P787" s="8" t="s">
        <v>21</v>
      </c>
      <c r="Q787" s="8" t="s">
        <v>22</v>
      </c>
    </row>
    <row r="788" customFormat="false" ht="23.85" hidden="false" customHeight="false" outlineLevel="0" collapsed="false">
      <c r="A788" s="2" t="n">
        <v>787</v>
      </c>
      <c r="B788" s="3" t="s">
        <v>2547</v>
      </c>
      <c r="C788" s="3" t="s">
        <v>24</v>
      </c>
      <c r="D788" s="4" t="s">
        <v>2548</v>
      </c>
      <c r="E788" s="3" t="s">
        <v>2549</v>
      </c>
      <c r="F788" s="3" t="s">
        <v>19</v>
      </c>
      <c r="G788" s="3" t="s">
        <v>2550</v>
      </c>
      <c r="H788" s="8" t="s">
        <v>2551</v>
      </c>
      <c r="I788" s="4" t="s">
        <v>2552</v>
      </c>
      <c r="J788" s="5" t="s">
        <v>20</v>
      </c>
      <c r="K788" s="6"/>
      <c r="L788" s="5"/>
      <c r="M788" s="5"/>
      <c r="N788" s="6"/>
      <c r="O788" s="7"/>
      <c r="P788" s="8" t="s">
        <v>21</v>
      </c>
      <c r="Q788" s="8" t="s">
        <v>22</v>
      </c>
    </row>
    <row r="789" customFormat="false" ht="15" hidden="false" customHeight="false" outlineLevel="0" collapsed="false">
      <c r="A789" s="2" t="n">
        <v>788</v>
      </c>
      <c r="B789" s="3" t="s">
        <v>2553</v>
      </c>
      <c r="C789" s="3" t="s">
        <v>2554</v>
      </c>
      <c r="D789" s="4"/>
      <c r="E789" s="3"/>
      <c r="F789" s="3" t="s">
        <v>19</v>
      </c>
      <c r="G789" s="3" t="s">
        <v>2555</v>
      </c>
      <c r="H789" s="8" t="s">
        <v>2556</v>
      </c>
      <c r="I789" s="4" t="s">
        <v>2557</v>
      </c>
      <c r="J789" s="5" t="s">
        <v>20</v>
      </c>
      <c r="K789" s="6"/>
      <c r="L789" s="5"/>
      <c r="M789" s="5"/>
      <c r="N789" s="6"/>
      <c r="O789" s="7"/>
      <c r="P789" s="8" t="s">
        <v>21</v>
      </c>
      <c r="Q789" s="8" t="s">
        <v>22</v>
      </c>
    </row>
    <row r="790" customFormat="false" ht="15" hidden="false" customHeight="false" outlineLevel="0" collapsed="false">
      <c r="A790" s="2" t="n">
        <v>789</v>
      </c>
      <c r="B790" s="3" t="s">
        <v>2558</v>
      </c>
      <c r="C790" s="3"/>
      <c r="D790" s="4"/>
      <c r="E790" s="3"/>
      <c r="F790" s="3" t="s">
        <v>19</v>
      </c>
      <c r="G790" s="3" t="s">
        <v>2559</v>
      </c>
      <c r="H790" s="8" t="s">
        <v>2560</v>
      </c>
      <c r="I790" s="4" t="s">
        <v>2561</v>
      </c>
      <c r="J790" s="5" t="s">
        <v>20</v>
      </c>
      <c r="K790" s="6"/>
      <c r="L790" s="5"/>
      <c r="M790" s="5"/>
      <c r="N790" s="6"/>
      <c r="O790" s="7"/>
      <c r="P790" s="8" t="s">
        <v>21</v>
      </c>
      <c r="Q790" s="8" t="s">
        <v>22</v>
      </c>
    </row>
    <row r="791" customFormat="false" ht="15" hidden="false" customHeight="false" outlineLevel="0" collapsed="false">
      <c r="A791" s="2" t="n">
        <v>790</v>
      </c>
      <c r="B791" s="3" t="s">
        <v>2562</v>
      </c>
      <c r="C791" s="3" t="s">
        <v>120</v>
      </c>
      <c r="D791" s="4"/>
      <c r="E791" s="3"/>
      <c r="F791" s="3" t="s">
        <v>19</v>
      </c>
      <c r="G791" s="3" t="s">
        <v>2563</v>
      </c>
      <c r="H791" s="8" t="s">
        <v>2564</v>
      </c>
      <c r="I791" s="4" t="s">
        <v>2565</v>
      </c>
      <c r="J791" s="5" t="s">
        <v>20</v>
      </c>
      <c r="K791" s="6"/>
      <c r="L791" s="5"/>
      <c r="M791" s="5"/>
      <c r="N791" s="6"/>
      <c r="O791" s="7"/>
      <c r="P791" s="8" t="s">
        <v>21</v>
      </c>
      <c r="Q791" s="8" t="s">
        <v>22</v>
      </c>
    </row>
    <row r="792" customFormat="false" ht="15" hidden="false" customHeight="false" outlineLevel="0" collapsed="false">
      <c r="A792" s="2" t="n">
        <v>791</v>
      </c>
      <c r="B792" s="3" t="s">
        <v>2566</v>
      </c>
      <c r="C792" s="3"/>
      <c r="D792" s="4"/>
      <c r="E792" s="3"/>
      <c r="F792" s="3" t="s">
        <v>19</v>
      </c>
      <c r="G792" s="3"/>
      <c r="H792" s="3"/>
      <c r="I792" s="4"/>
      <c r="J792" s="5" t="s">
        <v>20</v>
      </c>
      <c r="K792" s="6"/>
      <c r="L792" s="5"/>
      <c r="M792" s="5"/>
      <c r="N792" s="6"/>
      <c r="O792" s="7"/>
      <c r="P792" s="8" t="s">
        <v>21</v>
      </c>
      <c r="Q792" s="8" t="s">
        <v>22</v>
      </c>
    </row>
    <row r="793" customFormat="false" ht="15" hidden="false" customHeight="false" outlineLevel="0" collapsed="false">
      <c r="A793" s="2" t="n">
        <v>792</v>
      </c>
      <c r="B793" s="3" t="s">
        <v>2567</v>
      </c>
      <c r="C793" s="3"/>
      <c r="D793" s="4"/>
      <c r="E793" s="3"/>
      <c r="F793" s="3" t="s">
        <v>19</v>
      </c>
      <c r="G793" s="3"/>
      <c r="H793" s="3"/>
      <c r="I793" s="4"/>
      <c r="J793" s="5" t="s">
        <v>20</v>
      </c>
      <c r="K793" s="6"/>
      <c r="L793" s="5"/>
      <c r="M793" s="5"/>
      <c r="N793" s="6"/>
      <c r="O793" s="7"/>
      <c r="P793" s="8" t="s">
        <v>21</v>
      </c>
      <c r="Q793" s="8" t="s">
        <v>22</v>
      </c>
    </row>
    <row r="794" customFormat="false" ht="15" hidden="false" customHeight="false" outlineLevel="0" collapsed="false">
      <c r="A794" s="2" t="n">
        <v>793</v>
      </c>
      <c r="B794" s="3" t="s">
        <v>2568</v>
      </c>
      <c r="C794" s="3"/>
      <c r="D794" s="4" t="s">
        <v>2569</v>
      </c>
      <c r="E794" s="3" t="s">
        <v>57</v>
      </c>
      <c r="F794" s="3" t="s">
        <v>19</v>
      </c>
      <c r="G794" s="3"/>
      <c r="H794" s="3"/>
      <c r="I794" s="4"/>
      <c r="J794" s="5" t="s">
        <v>20</v>
      </c>
      <c r="K794" s="6"/>
      <c r="L794" s="5"/>
      <c r="M794" s="5"/>
      <c r="N794" s="6"/>
      <c r="O794" s="7"/>
      <c r="P794" s="8" t="s">
        <v>21</v>
      </c>
      <c r="Q794" s="8" t="s">
        <v>22</v>
      </c>
    </row>
    <row r="795" customFormat="false" ht="23.85" hidden="false" customHeight="false" outlineLevel="0" collapsed="false">
      <c r="A795" s="2" t="n">
        <v>794</v>
      </c>
      <c r="B795" s="3" t="s">
        <v>2570</v>
      </c>
      <c r="C795" s="3"/>
      <c r="D795" s="4"/>
      <c r="E795" s="3"/>
      <c r="F795" s="3" t="s">
        <v>19</v>
      </c>
      <c r="G795" s="3"/>
      <c r="H795" s="3"/>
      <c r="I795" s="4" t="s">
        <v>2571</v>
      </c>
      <c r="J795" s="5" t="s">
        <v>20</v>
      </c>
      <c r="K795" s="6"/>
      <c r="L795" s="5"/>
      <c r="M795" s="5"/>
      <c r="N795" s="6"/>
      <c r="O795" s="7"/>
      <c r="P795" s="8" t="s">
        <v>21</v>
      </c>
      <c r="Q795" s="8" t="s">
        <v>22</v>
      </c>
    </row>
    <row r="796" customFormat="false" ht="15" hidden="false" customHeight="false" outlineLevel="0" collapsed="false">
      <c r="A796" s="2" t="n">
        <v>795</v>
      </c>
      <c r="B796" s="3" t="s">
        <v>2572</v>
      </c>
      <c r="C796" s="3" t="s">
        <v>120</v>
      </c>
      <c r="D796" s="4"/>
      <c r="E796" s="3"/>
      <c r="F796" s="3" t="s">
        <v>19</v>
      </c>
      <c r="G796" s="3" t="s">
        <v>2573</v>
      </c>
      <c r="H796" s="8" t="s">
        <v>2574</v>
      </c>
      <c r="I796" s="4" t="s">
        <v>2575</v>
      </c>
      <c r="J796" s="5" t="s">
        <v>20</v>
      </c>
      <c r="K796" s="6"/>
      <c r="L796" s="5"/>
      <c r="M796" s="5"/>
      <c r="N796" s="6"/>
      <c r="O796" s="7"/>
      <c r="P796" s="8" t="s">
        <v>21</v>
      </c>
      <c r="Q796" s="8" t="s">
        <v>22</v>
      </c>
    </row>
    <row r="797" customFormat="false" ht="15" hidden="false" customHeight="false" outlineLevel="0" collapsed="false">
      <c r="A797" s="2" t="n">
        <v>796</v>
      </c>
      <c r="B797" s="3" t="s">
        <v>2576</v>
      </c>
      <c r="C797" s="3" t="s">
        <v>169</v>
      </c>
      <c r="D797" s="4" t="s">
        <v>2577</v>
      </c>
      <c r="E797" s="3"/>
      <c r="F797" s="3" t="s">
        <v>19</v>
      </c>
      <c r="G797" s="3"/>
      <c r="H797" s="3"/>
      <c r="I797" s="4" t="s">
        <v>2578</v>
      </c>
      <c r="J797" s="5" t="s">
        <v>20</v>
      </c>
      <c r="K797" s="6"/>
      <c r="L797" s="5"/>
      <c r="M797" s="5"/>
      <c r="N797" s="6"/>
      <c r="O797" s="7"/>
      <c r="P797" s="8" t="s">
        <v>21</v>
      </c>
      <c r="Q797" s="8" t="s">
        <v>22</v>
      </c>
    </row>
    <row r="798" customFormat="false" ht="15" hidden="false" customHeight="false" outlineLevel="0" collapsed="false">
      <c r="A798" s="2" t="n">
        <v>797</v>
      </c>
      <c r="B798" s="3" t="s">
        <v>2579</v>
      </c>
      <c r="C798" s="3" t="s">
        <v>326</v>
      </c>
      <c r="D798" s="4"/>
      <c r="E798" s="3"/>
      <c r="F798" s="3" t="s">
        <v>19</v>
      </c>
      <c r="G798" s="3" t="s">
        <v>2580</v>
      </c>
      <c r="H798" s="8" t="s">
        <v>2581</v>
      </c>
      <c r="I798" s="4" t="s">
        <v>2582</v>
      </c>
      <c r="J798" s="5" t="s">
        <v>20</v>
      </c>
      <c r="K798" s="6"/>
      <c r="L798" s="5"/>
      <c r="M798" s="5"/>
      <c r="N798" s="6"/>
      <c r="O798" s="7"/>
      <c r="P798" s="8" t="s">
        <v>21</v>
      </c>
      <c r="Q798" s="8" t="s">
        <v>22</v>
      </c>
    </row>
    <row r="799" customFormat="false" ht="15" hidden="false" customHeight="false" outlineLevel="0" collapsed="false">
      <c r="A799" s="2" t="n">
        <v>798</v>
      </c>
      <c r="B799" s="3" t="s">
        <v>2583</v>
      </c>
      <c r="C799" s="3"/>
      <c r="D799" s="4" t="s">
        <v>2584</v>
      </c>
      <c r="E799" s="3" t="s">
        <v>579</v>
      </c>
      <c r="F799" s="3" t="s">
        <v>19</v>
      </c>
      <c r="G799" s="3" t="s">
        <v>2585</v>
      </c>
      <c r="H799" s="8" t="s">
        <v>2586</v>
      </c>
      <c r="I799" s="4" t="s">
        <v>2587</v>
      </c>
      <c r="J799" s="5" t="s">
        <v>20</v>
      </c>
      <c r="K799" s="6"/>
      <c r="L799" s="5"/>
      <c r="M799" s="5"/>
      <c r="N799" s="6"/>
      <c r="O799" s="7"/>
      <c r="P799" s="8" t="s">
        <v>21</v>
      </c>
      <c r="Q799" s="8" t="s">
        <v>22</v>
      </c>
    </row>
    <row r="800" customFormat="false" ht="15" hidden="false" customHeight="false" outlineLevel="0" collapsed="false">
      <c r="A800" s="2" t="n">
        <v>799</v>
      </c>
      <c r="B800" s="3" t="s">
        <v>2588</v>
      </c>
      <c r="C800" s="3"/>
      <c r="D800" s="4" t="s">
        <v>2589</v>
      </c>
      <c r="E800" s="3"/>
      <c r="F800" s="3" t="s">
        <v>19</v>
      </c>
      <c r="G800" s="3" t="s">
        <v>2590</v>
      </c>
      <c r="H800" s="8" t="s">
        <v>2591</v>
      </c>
      <c r="I800" s="4" t="s">
        <v>2592</v>
      </c>
      <c r="J800" s="5" t="s">
        <v>20</v>
      </c>
      <c r="K800" s="6"/>
      <c r="L800" s="5"/>
      <c r="M800" s="5"/>
      <c r="N800" s="6"/>
      <c r="O800" s="7"/>
      <c r="P800" s="8" t="s">
        <v>21</v>
      </c>
      <c r="Q800" s="8" t="s">
        <v>22</v>
      </c>
    </row>
    <row r="801" customFormat="false" ht="15" hidden="false" customHeight="false" outlineLevel="0" collapsed="false">
      <c r="A801" s="2" t="n">
        <v>800</v>
      </c>
      <c r="B801" s="3" t="s">
        <v>2593</v>
      </c>
      <c r="C801" s="3" t="s">
        <v>91</v>
      </c>
      <c r="D801" s="4"/>
      <c r="E801" s="3"/>
      <c r="F801" s="3" t="s">
        <v>19</v>
      </c>
      <c r="G801" s="3"/>
      <c r="H801" s="3"/>
      <c r="I801" s="4"/>
      <c r="J801" s="5" t="s">
        <v>20</v>
      </c>
      <c r="K801" s="6"/>
      <c r="L801" s="5"/>
      <c r="M801" s="5"/>
      <c r="N801" s="6"/>
      <c r="O801" s="7"/>
      <c r="P801" s="8" t="s">
        <v>21</v>
      </c>
      <c r="Q801" s="8" t="s">
        <v>22</v>
      </c>
    </row>
    <row r="802" customFormat="false" ht="23.85" hidden="false" customHeight="false" outlineLevel="0" collapsed="false">
      <c r="A802" s="2" t="n">
        <v>801</v>
      </c>
      <c r="B802" s="3" t="s">
        <v>2594</v>
      </c>
      <c r="C802" s="3" t="s">
        <v>601</v>
      </c>
      <c r="D802" s="4"/>
      <c r="E802" s="3"/>
      <c r="F802" s="3" t="s">
        <v>19</v>
      </c>
      <c r="G802" s="3"/>
      <c r="H802" s="3"/>
      <c r="I802" s="4" t="s">
        <v>2595</v>
      </c>
      <c r="J802" s="5" t="s">
        <v>20</v>
      </c>
      <c r="K802" s="6"/>
      <c r="L802" s="5"/>
      <c r="M802" s="5"/>
      <c r="N802" s="6"/>
      <c r="O802" s="7"/>
      <c r="P802" s="8" t="s">
        <v>21</v>
      </c>
      <c r="Q802" s="8" t="s">
        <v>22</v>
      </c>
    </row>
    <row r="803" customFormat="false" ht="15" hidden="false" customHeight="false" outlineLevel="0" collapsed="false">
      <c r="A803" s="2" t="n">
        <v>802</v>
      </c>
      <c r="B803" s="3" t="s">
        <v>2596</v>
      </c>
      <c r="C803" s="3" t="s">
        <v>24</v>
      </c>
      <c r="D803" s="4"/>
      <c r="E803" s="3"/>
      <c r="F803" s="3" t="s">
        <v>19</v>
      </c>
      <c r="G803" s="3" t="s">
        <v>2597</v>
      </c>
      <c r="H803" s="3"/>
      <c r="I803" s="4"/>
      <c r="J803" s="5" t="s">
        <v>20</v>
      </c>
      <c r="K803" s="6"/>
      <c r="L803" s="5"/>
      <c r="M803" s="5"/>
      <c r="N803" s="6"/>
      <c r="O803" s="7"/>
      <c r="P803" s="8" t="s">
        <v>21</v>
      </c>
      <c r="Q803" s="8" t="s">
        <v>22</v>
      </c>
    </row>
    <row r="804" customFormat="false" ht="15" hidden="false" customHeight="false" outlineLevel="0" collapsed="false">
      <c r="A804" s="2" t="n">
        <v>803</v>
      </c>
      <c r="B804" s="3" t="s">
        <v>2598</v>
      </c>
      <c r="C804" s="3" t="s">
        <v>120</v>
      </c>
      <c r="D804" s="4"/>
      <c r="E804" s="3"/>
      <c r="F804" s="3" t="s">
        <v>19</v>
      </c>
      <c r="G804" s="3"/>
      <c r="H804" s="3"/>
      <c r="I804" s="4"/>
      <c r="J804" s="5" t="s">
        <v>20</v>
      </c>
      <c r="K804" s="6"/>
      <c r="L804" s="5"/>
      <c r="M804" s="5"/>
      <c r="N804" s="6"/>
      <c r="O804" s="7"/>
      <c r="P804" s="8" t="s">
        <v>21</v>
      </c>
      <c r="Q804" s="8" t="s">
        <v>22</v>
      </c>
    </row>
    <row r="805" customFormat="false" ht="15" hidden="false" customHeight="false" outlineLevel="0" collapsed="false">
      <c r="A805" s="2" t="n">
        <v>804</v>
      </c>
      <c r="B805" s="3" t="s">
        <v>2599</v>
      </c>
      <c r="C805" s="3"/>
      <c r="D805" s="4" t="s">
        <v>2600</v>
      </c>
      <c r="E805" s="3"/>
      <c r="F805" s="3" t="s">
        <v>19</v>
      </c>
      <c r="G805" s="3"/>
      <c r="H805" s="3"/>
      <c r="I805" s="4" t="s">
        <v>2601</v>
      </c>
      <c r="J805" s="5" t="s">
        <v>20</v>
      </c>
      <c r="K805" s="6"/>
      <c r="L805" s="5"/>
      <c r="M805" s="5"/>
      <c r="N805" s="6"/>
      <c r="O805" s="7"/>
      <c r="P805" s="8" t="s">
        <v>21</v>
      </c>
      <c r="Q805" s="8" t="s">
        <v>22</v>
      </c>
    </row>
    <row r="806" customFormat="false" ht="23.85" hidden="false" customHeight="false" outlineLevel="0" collapsed="false">
      <c r="A806" s="2" t="n">
        <v>805</v>
      </c>
      <c r="B806" s="3" t="s">
        <v>2602</v>
      </c>
      <c r="C806" s="3" t="s">
        <v>71</v>
      </c>
      <c r="D806" s="4" t="s">
        <v>2603</v>
      </c>
      <c r="E806" s="3" t="s">
        <v>93</v>
      </c>
      <c r="F806" s="3" t="s">
        <v>19</v>
      </c>
      <c r="G806" s="3" t="s">
        <v>2604</v>
      </c>
      <c r="H806" s="8" t="s">
        <v>2605</v>
      </c>
      <c r="I806" s="4" t="s">
        <v>2606</v>
      </c>
      <c r="J806" s="5" t="s">
        <v>20</v>
      </c>
      <c r="K806" s="6"/>
      <c r="L806" s="5"/>
      <c r="M806" s="5"/>
      <c r="N806" s="6"/>
      <c r="O806" s="7"/>
      <c r="P806" s="8" t="s">
        <v>21</v>
      </c>
      <c r="Q806" s="8" t="s">
        <v>22</v>
      </c>
    </row>
    <row r="807" customFormat="false" ht="15" hidden="false" customHeight="false" outlineLevel="0" collapsed="false">
      <c r="A807" s="2" t="n">
        <v>806</v>
      </c>
      <c r="B807" s="3" t="s">
        <v>2607</v>
      </c>
      <c r="C807" s="3" t="s">
        <v>837</v>
      </c>
      <c r="D807" s="4"/>
      <c r="E807" s="3"/>
      <c r="F807" s="3" t="s">
        <v>19</v>
      </c>
      <c r="G807" s="3"/>
      <c r="H807" s="3"/>
      <c r="I807" s="4"/>
      <c r="J807" s="5" t="s">
        <v>20</v>
      </c>
      <c r="K807" s="6"/>
      <c r="L807" s="5"/>
      <c r="M807" s="5"/>
      <c r="N807" s="6"/>
      <c r="O807" s="7"/>
      <c r="P807" s="8" t="s">
        <v>21</v>
      </c>
      <c r="Q807" s="8" t="s">
        <v>22</v>
      </c>
    </row>
    <row r="808" customFormat="false" ht="15" hidden="false" customHeight="false" outlineLevel="0" collapsed="false">
      <c r="A808" s="2" t="n">
        <v>807</v>
      </c>
      <c r="B808" s="3" t="s">
        <v>2608</v>
      </c>
      <c r="C808" s="3" t="s">
        <v>234</v>
      </c>
      <c r="D808" s="4" t="s">
        <v>2481</v>
      </c>
      <c r="E808" s="3"/>
      <c r="F808" s="3" t="s">
        <v>19</v>
      </c>
      <c r="G808" s="3" t="s">
        <v>2609</v>
      </c>
      <c r="H808" s="8" t="s">
        <v>2610</v>
      </c>
      <c r="I808" s="4" t="s">
        <v>2611</v>
      </c>
      <c r="J808" s="5" t="s">
        <v>20</v>
      </c>
      <c r="K808" s="6"/>
      <c r="L808" s="5"/>
      <c r="M808" s="5"/>
      <c r="N808" s="6"/>
      <c r="O808" s="7"/>
      <c r="P808" s="8" t="s">
        <v>21</v>
      </c>
      <c r="Q808" s="8" t="s">
        <v>22</v>
      </c>
    </row>
    <row r="809" customFormat="false" ht="15" hidden="false" customHeight="false" outlineLevel="0" collapsed="false">
      <c r="A809" s="2" t="n">
        <v>808</v>
      </c>
      <c r="B809" s="3" t="s">
        <v>2612</v>
      </c>
      <c r="C809" s="3" t="s">
        <v>678</v>
      </c>
      <c r="D809" s="4"/>
      <c r="E809" s="3"/>
      <c r="F809" s="3" t="s">
        <v>19</v>
      </c>
      <c r="G809" s="3"/>
      <c r="H809" s="3"/>
      <c r="I809" s="4"/>
      <c r="J809" s="5" t="s">
        <v>20</v>
      </c>
      <c r="K809" s="6"/>
      <c r="L809" s="5"/>
      <c r="M809" s="5"/>
      <c r="N809" s="6"/>
      <c r="O809" s="7"/>
      <c r="P809" s="8" t="s">
        <v>21</v>
      </c>
      <c r="Q809" s="8" t="s">
        <v>22</v>
      </c>
    </row>
    <row r="810" customFormat="false" ht="15" hidden="false" customHeight="false" outlineLevel="0" collapsed="false">
      <c r="A810" s="2" t="n">
        <v>809</v>
      </c>
      <c r="B810" s="3" t="s">
        <v>2613</v>
      </c>
      <c r="C810" s="3" t="s">
        <v>2614</v>
      </c>
      <c r="D810" s="4"/>
      <c r="E810" s="3"/>
      <c r="F810" s="3" t="s">
        <v>19</v>
      </c>
      <c r="G810" s="3"/>
      <c r="H810" s="3"/>
      <c r="I810" s="4" t="s">
        <v>2615</v>
      </c>
      <c r="J810" s="5" t="s">
        <v>20</v>
      </c>
      <c r="K810" s="6"/>
      <c r="L810" s="5"/>
      <c r="M810" s="5"/>
      <c r="N810" s="6"/>
      <c r="O810" s="7"/>
      <c r="P810" s="8" t="s">
        <v>21</v>
      </c>
      <c r="Q810" s="8" t="s">
        <v>22</v>
      </c>
    </row>
    <row r="811" customFormat="false" ht="15" hidden="false" customHeight="false" outlineLevel="0" collapsed="false">
      <c r="A811" s="2" t="n">
        <v>810</v>
      </c>
      <c r="B811" s="3" t="s">
        <v>2616</v>
      </c>
      <c r="C811" s="3" t="s">
        <v>71</v>
      </c>
      <c r="D811" s="4"/>
      <c r="E811" s="3"/>
      <c r="F811" s="3" t="s">
        <v>19</v>
      </c>
      <c r="G811" s="3" t="s">
        <v>2617</v>
      </c>
      <c r="H811" s="8" t="s">
        <v>2618</v>
      </c>
      <c r="I811" s="4" t="s">
        <v>2243</v>
      </c>
      <c r="J811" s="5" t="s">
        <v>20</v>
      </c>
      <c r="K811" s="6"/>
      <c r="L811" s="5"/>
      <c r="M811" s="5"/>
      <c r="N811" s="6"/>
      <c r="O811" s="7"/>
      <c r="P811" s="8" t="s">
        <v>21</v>
      </c>
      <c r="Q811" s="8" t="s">
        <v>22</v>
      </c>
    </row>
    <row r="812" customFormat="false" ht="15" hidden="false" customHeight="false" outlineLevel="0" collapsed="false">
      <c r="A812" s="2" t="n">
        <v>811</v>
      </c>
      <c r="B812" s="3" t="s">
        <v>2619</v>
      </c>
      <c r="C812" s="3" t="s">
        <v>181</v>
      </c>
      <c r="D812" s="4"/>
      <c r="E812" s="3"/>
      <c r="F812" s="3" t="s">
        <v>19</v>
      </c>
      <c r="G812" s="3"/>
      <c r="H812" s="8" t="s">
        <v>2620</v>
      </c>
      <c r="I812" s="4" t="s">
        <v>2621</v>
      </c>
      <c r="J812" s="5" t="s">
        <v>20</v>
      </c>
      <c r="K812" s="6"/>
      <c r="L812" s="5"/>
      <c r="M812" s="5"/>
      <c r="N812" s="6"/>
      <c r="O812" s="7"/>
      <c r="P812" s="8" t="s">
        <v>21</v>
      </c>
      <c r="Q812" s="8" t="s">
        <v>22</v>
      </c>
    </row>
    <row r="813" customFormat="false" ht="15" hidden="false" customHeight="false" outlineLevel="0" collapsed="false">
      <c r="A813" s="2" t="n">
        <v>812</v>
      </c>
      <c r="B813" s="3" t="s">
        <v>2622</v>
      </c>
      <c r="C813" s="3" t="s">
        <v>277</v>
      </c>
      <c r="D813" s="4"/>
      <c r="E813" s="3"/>
      <c r="F813" s="3" t="s">
        <v>19</v>
      </c>
      <c r="G813" s="3" t="s">
        <v>2623</v>
      </c>
      <c r="H813" s="8" t="s">
        <v>2624</v>
      </c>
      <c r="I813" s="4" t="s">
        <v>648</v>
      </c>
      <c r="J813" s="5" t="s">
        <v>20</v>
      </c>
      <c r="K813" s="6"/>
      <c r="L813" s="5"/>
      <c r="M813" s="5"/>
      <c r="N813" s="6"/>
      <c r="O813" s="7"/>
      <c r="P813" s="8" t="s">
        <v>21</v>
      </c>
      <c r="Q813" s="8" t="s">
        <v>22</v>
      </c>
    </row>
    <row r="814" customFormat="false" ht="15" hidden="false" customHeight="false" outlineLevel="0" collapsed="false">
      <c r="A814" s="2" t="n">
        <v>813</v>
      </c>
      <c r="B814" s="3" t="s">
        <v>2625</v>
      </c>
      <c r="C814" s="3" t="s">
        <v>2626</v>
      </c>
      <c r="D814" s="4"/>
      <c r="E814" s="3"/>
      <c r="F814" s="3" t="s">
        <v>19</v>
      </c>
      <c r="G814" s="3" t="s">
        <v>2627</v>
      </c>
      <c r="H814" s="8" t="s">
        <v>2628</v>
      </c>
      <c r="I814" s="4"/>
      <c r="J814" s="5" t="s">
        <v>20</v>
      </c>
      <c r="K814" s="6"/>
      <c r="L814" s="5"/>
      <c r="M814" s="5"/>
      <c r="N814" s="6"/>
      <c r="O814" s="7"/>
      <c r="P814" s="8" t="s">
        <v>21</v>
      </c>
      <c r="Q814" s="8" t="s">
        <v>22</v>
      </c>
    </row>
    <row r="815" customFormat="false" ht="23.85" hidden="false" customHeight="false" outlineLevel="0" collapsed="false">
      <c r="A815" s="2" t="n">
        <v>814</v>
      </c>
      <c r="B815" s="3" t="s">
        <v>2629</v>
      </c>
      <c r="C815" s="3"/>
      <c r="D815" s="4"/>
      <c r="E815" s="3"/>
      <c r="F815" s="3" t="s">
        <v>19</v>
      </c>
      <c r="G815" s="3"/>
      <c r="H815" s="3"/>
      <c r="I815" s="4" t="s">
        <v>2630</v>
      </c>
      <c r="J815" s="5" t="s">
        <v>20</v>
      </c>
      <c r="K815" s="6"/>
      <c r="L815" s="5"/>
      <c r="M815" s="5"/>
      <c r="N815" s="6"/>
      <c r="O815" s="7"/>
      <c r="P815" s="8" t="s">
        <v>21</v>
      </c>
      <c r="Q815" s="8" t="s">
        <v>22</v>
      </c>
    </row>
    <row r="816" customFormat="false" ht="15" hidden="false" customHeight="false" outlineLevel="0" collapsed="false">
      <c r="A816" s="2" t="n">
        <v>815</v>
      </c>
      <c r="B816" s="3" t="s">
        <v>2631</v>
      </c>
      <c r="C816" s="3" t="s">
        <v>135</v>
      </c>
      <c r="D816" s="4" t="s">
        <v>2632</v>
      </c>
      <c r="E816" s="3"/>
      <c r="F816" s="3" t="s">
        <v>19</v>
      </c>
      <c r="G816" s="3" t="s">
        <v>2633</v>
      </c>
      <c r="H816" s="8" t="s">
        <v>2634</v>
      </c>
      <c r="I816" s="4" t="s">
        <v>2635</v>
      </c>
      <c r="J816" s="5" t="s">
        <v>20</v>
      </c>
      <c r="K816" s="6"/>
      <c r="L816" s="5"/>
      <c r="M816" s="5"/>
      <c r="N816" s="6"/>
      <c r="O816" s="7"/>
      <c r="P816" s="8" t="s">
        <v>21</v>
      </c>
      <c r="Q816" s="8" t="s">
        <v>22</v>
      </c>
    </row>
    <row r="817" customFormat="false" ht="15" hidden="false" customHeight="false" outlineLevel="0" collapsed="false">
      <c r="A817" s="2" t="n">
        <v>816</v>
      </c>
      <c r="B817" s="3" t="s">
        <v>2636</v>
      </c>
      <c r="C817" s="3" t="s">
        <v>2637</v>
      </c>
      <c r="D817" s="4"/>
      <c r="E817" s="3"/>
      <c r="F817" s="3" t="s">
        <v>19</v>
      </c>
      <c r="G817" s="3" t="s">
        <v>2638</v>
      </c>
      <c r="H817" s="8" t="s">
        <v>2639</v>
      </c>
      <c r="I817" s="4" t="s">
        <v>2640</v>
      </c>
      <c r="J817" s="5" t="s">
        <v>20</v>
      </c>
      <c r="K817" s="6"/>
      <c r="L817" s="5"/>
      <c r="M817" s="5"/>
      <c r="N817" s="6"/>
      <c r="O817" s="7"/>
      <c r="P817" s="8" t="s">
        <v>21</v>
      </c>
      <c r="Q817" s="8" t="s">
        <v>22</v>
      </c>
    </row>
    <row r="818" customFormat="false" ht="15" hidden="false" customHeight="false" outlineLevel="0" collapsed="false">
      <c r="A818" s="2" t="n">
        <v>817</v>
      </c>
      <c r="B818" s="3" t="s">
        <v>2641</v>
      </c>
      <c r="C818" s="3"/>
      <c r="D818" s="4"/>
      <c r="E818" s="3"/>
      <c r="F818" s="3" t="s">
        <v>19</v>
      </c>
      <c r="G818" s="3"/>
      <c r="H818" s="3"/>
      <c r="I818" s="4"/>
      <c r="J818" s="5" t="s">
        <v>20</v>
      </c>
      <c r="K818" s="6"/>
      <c r="L818" s="5"/>
      <c r="M818" s="5"/>
      <c r="N818" s="6"/>
      <c r="O818" s="7"/>
      <c r="P818" s="8" t="s">
        <v>21</v>
      </c>
      <c r="Q818" s="8" t="s">
        <v>22</v>
      </c>
    </row>
    <row r="819" customFormat="false" ht="15" hidden="false" customHeight="false" outlineLevel="0" collapsed="false">
      <c r="A819" s="2" t="n">
        <v>818</v>
      </c>
      <c r="B819" s="3" t="s">
        <v>2642</v>
      </c>
      <c r="C819" s="3" t="s">
        <v>2643</v>
      </c>
      <c r="D819" s="4"/>
      <c r="E819" s="3"/>
      <c r="F819" s="3" t="s">
        <v>19</v>
      </c>
      <c r="G819" s="3" t="s">
        <v>2644</v>
      </c>
      <c r="H819" s="8" t="s">
        <v>2645</v>
      </c>
      <c r="I819" s="4" t="s">
        <v>2646</v>
      </c>
      <c r="J819" s="5" t="s">
        <v>20</v>
      </c>
      <c r="K819" s="6"/>
      <c r="L819" s="5"/>
      <c r="M819" s="5"/>
      <c r="N819" s="6"/>
      <c r="O819" s="7"/>
      <c r="P819" s="8" t="s">
        <v>21</v>
      </c>
      <c r="Q819" s="8" t="s">
        <v>22</v>
      </c>
    </row>
    <row r="820" customFormat="false" ht="15" hidden="false" customHeight="false" outlineLevel="0" collapsed="false">
      <c r="A820" s="2" t="n">
        <v>819</v>
      </c>
      <c r="B820" s="3" t="s">
        <v>2647</v>
      </c>
      <c r="C820" s="3" t="s">
        <v>109</v>
      </c>
      <c r="D820" s="4"/>
      <c r="E820" s="3"/>
      <c r="F820" s="3" t="s">
        <v>19</v>
      </c>
      <c r="G820" s="3" t="s">
        <v>2648</v>
      </c>
      <c r="H820" s="3"/>
      <c r="I820" s="4" t="s">
        <v>2649</v>
      </c>
      <c r="J820" s="5" t="s">
        <v>20</v>
      </c>
      <c r="K820" s="6"/>
      <c r="L820" s="5"/>
      <c r="M820" s="5"/>
      <c r="N820" s="6"/>
      <c r="O820" s="7"/>
      <c r="P820" s="8" t="s">
        <v>21</v>
      </c>
      <c r="Q820" s="8" t="s">
        <v>22</v>
      </c>
    </row>
    <row r="821" customFormat="false" ht="23.85" hidden="false" customHeight="false" outlineLevel="0" collapsed="false">
      <c r="A821" s="2" t="n">
        <v>820</v>
      </c>
      <c r="B821" s="3" t="s">
        <v>2650</v>
      </c>
      <c r="C821" s="3" t="s">
        <v>120</v>
      </c>
      <c r="D821" s="4"/>
      <c r="E821" s="3"/>
      <c r="F821" s="3" t="s">
        <v>19</v>
      </c>
      <c r="G821" s="3" t="s">
        <v>2651</v>
      </c>
      <c r="H821" s="8" t="s">
        <v>2652</v>
      </c>
      <c r="I821" s="4" t="s">
        <v>2653</v>
      </c>
      <c r="J821" s="5" t="s">
        <v>20</v>
      </c>
      <c r="K821" s="6"/>
      <c r="L821" s="5"/>
      <c r="M821" s="5"/>
      <c r="N821" s="6"/>
      <c r="O821" s="7"/>
      <c r="P821" s="8" t="s">
        <v>21</v>
      </c>
      <c r="Q821" s="8" t="s">
        <v>22</v>
      </c>
    </row>
    <row r="822" customFormat="false" ht="15" hidden="false" customHeight="false" outlineLevel="0" collapsed="false">
      <c r="A822" s="2" t="n">
        <v>821</v>
      </c>
      <c r="B822" s="3" t="s">
        <v>2654</v>
      </c>
      <c r="C822" s="3"/>
      <c r="D822" s="4"/>
      <c r="E822" s="3"/>
      <c r="F822" s="3" t="s">
        <v>19</v>
      </c>
      <c r="G822" s="3"/>
      <c r="H822" s="3"/>
      <c r="I822" s="4" t="s">
        <v>1406</v>
      </c>
      <c r="J822" s="5" t="s">
        <v>20</v>
      </c>
      <c r="K822" s="6"/>
      <c r="L822" s="5"/>
      <c r="M822" s="5"/>
      <c r="N822" s="6"/>
      <c r="O822" s="7"/>
      <c r="P822" s="8" t="s">
        <v>21</v>
      </c>
      <c r="Q822" s="8" t="s">
        <v>22</v>
      </c>
    </row>
    <row r="823" customFormat="false" ht="15" hidden="false" customHeight="false" outlineLevel="0" collapsed="false">
      <c r="A823" s="2" t="n">
        <v>822</v>
      </c>
      <c r="B823" s="3" t="s">
        <v>2655</v>
      </c>
      <c r="C823" s="3" t="s">
        <v>24</v>
      </c>
      <c r="D823" s="4" t="s">
        <v>2656</v>
      </c>
      <c r="E823" s="3" t="s">
        <v>148</v>
      </c>
      <c r="F823" s="3" t="s">
        <v>19</v>
      </c>
      <c r="G823" s="3" t="s">
        <v>2657</v>
      </c>
      <c r="H823" s="8" t="s">
        <v>2658</v>
      </c>
      <c r="I823" s="4" t="s">
        <v>2659</v>
      </c>
      <c r="J823" s="5" t="s">
        <v>20</v>
      </c>
      <c r="K823" s="6"/>
      <c r="L823" s="5"/>
      <c r="M823" s="5"/>
      <c r="N823" s="6"/>
      <c r="O823" s="7"/>
      <c r="P823" s="8" t="s">
        <v>21</v>
      </c>
      <c r="Q823" s="8" t="s">
        <v>22</v>
      </c>
    </row>
    <row r="824" customFormat="false" ht="15" hidden="false" customHeight="false" outlineLevel="0" collapsed="false">
      <c r="A824" s="2" t="n">
        <v>823</v>
      </c>
      <c r="B824" s="3" t="s">
        <v>2660</v>
      </c>
      <c r="C824" s="3" t="s">
        <v>2661</v>
      </c>
      <c r="D824" s="4"/>
      <c r="E824" s="3"/>
      <c r="F824" s="3" t="s">
        <v>19</v>
      </c>
      <c r="G824" s="3" t="s">
        <v>2662</v>
      </c>
      <c r="H824" s="8" t="s">
        <v>2663</v>
      </c>
      <c r="I824" s="4" t="s">
        <v>2664</v>
      </c>
      <c r="J824" s="5" t="s">
        <v>20</v>
      </c>
      <c r="K824" s="6"/>
      <c r="L824" s="5"/>
      <c r="M824" s="5"/>
      <c r="N824" s="6"/>
      <c r="O824" s="7"/>
      <c r="P824" s="8" t="s">
        <v>21</v>
      </c>
      <c r="Q824" s="8" t="s">
        <v>22</v>
      </c>
    </row>
    <row r="825" customFormat="false" ht="15" hidden="false" customHeight="false" outlineLevel="0" collapsed="false">
      <c r="A825" s="2" t="n">
        <v>824</v>
      </c>
      <c r="B825" s="3" t="s">
        <v>2665</v>
      </c>
      <c r="C825" s="3"/>
      <c r="D825" s="4" t="s">
        <v>2666</v>
      </c>
      <c r="E825" s="3"/>
      <c r="F825" s="3" t="s">
        <v>19</v>
      </c>
      <c r="G825" s="3"/>
      <c r="H825" s="3"/>
      <c r="I825" s="4"/>
      <c r="J825" s="5" t="s">
        <v>20</v>
      </c>
      <c r="K825" s="6"/>
      <c r="L825" s="5"/>
      <c r="M825" s="5"/>
      <c r="N825" s="6"/>
      <c r="O825" s="7"/>
      <c r="P825" s="8" t="s">
        <v>21</v>
      </c>
      <c r="Q825" s="8" t="s">
        <v>22</v>
      </c>
    </row>
    <row r="826" customFormat="false" ht="15" hidden="false" customHeight="false" outlineLevel="0" collapsed="false">
      <c r="A826" s="2" t="n">
        <v>825</v>
      </c>
      <c r="B826" s="3" t="s">
        <v>2667</v>
      </c>
      <c r="C826" s="3" t="s">
        <v>2668</v>
      </c>
      <c r="D826" s="4"/>
      <c r="E826" s="3"/>
      <c r="F826" s="3" t="s">
        <v>19</v>
      </c>
      <c r="G826" s="3"/>
      <c r="H826" s="8" t="s">
        <v>2669</v>
      </c>
      <c r="I826" s="4" t="s">
        <v>474</v>
      </c>
      <c r="J826" s="5" t="s">
        <v>20</v>
      </c>
      <c r="K826" s="6"/>
      <c r="L826" s="5"/>
      <c r="M826" s="5"/>
      <c r="N826" s="6"/>
      <c r="O826" s="7"/>
      <c r="P826" s="8" t="s">
        <v>21</v>
      </c>
      <c r="Q826" s="8" t="s">
        <v>22</v>
      </c>
    </row>
    <row r="827" customFormat="false" ht="15" hidden="false" customHeight="false" outlineLevel="0" collapsed="false">
      <c r="A827" s="2" t="n">
        <v>826</v>
      </c>
      <c r="B827" s="3" t="s">
        <v>2670</v>
      </c>
      <c r="C827" s="3" t="s">
        <v>71</v>
      </c>
      <c r="D827" s="4"/>
      <c r="E827" s="3"/>
      <c r="F827" s="3" t="s">
        <v>19</v>
      </c>
      <c r="G827" s="3" t="s">
        <v>2671</v>
      </c>
      <c r="H827" s="8" t="s">
        <v>2672</v>
      </c>
      <c r="I827" s="4" t="s">
        <v>2673</v>
      </c>
      <c r="J827" s="5" t="s">
        <v>20</v>
      </c>
      <c r="K827" s="6"/>
      <c r="L827" s="5"/>
      <c r="M827" s="5"/>
      <c r="N827" s="6"/>
      <c r="O827" s="7"/>
      <c r="P827" s="8" t="s">
        <v>21</v>
      </c>
      <c r="Q827" s="8" t="s">
        <v>22</v>
      </c>
    </row>
    <row r="828" customFormat="false" ht="15" hidden="false" customHeight="false" outlineLevel="0" collapsed="false">
      <c r="A828" s="2" t="n">
        <v>827</v>
      </c>
      <c r="B828" s="3" t="s">
        <v>2674</v>
      </c>
      <c r="C828" s="3" t="s">
        <v>2675</v>
      </c>
      <c r="D828" s="4"/>
      <c r="E828" s="3"/>
      <c r="F828" s="3" t="s">
        <v>19</v>
      </c>
      <c r="G828" s="3"/>
      <c r="H828" s="8" t="s">
        <v>2676</v>
      </c>
      <c r="I828" s="4" t="s">
        <v>2677</v>
      </c>
      <c r="J828" s="5" t="s">
        <v>20</v>
      </c>
      <c r="K828" s="6"/>
      <c r="L828" s="5"/>
      <c r="M828" s="5"/>
      <c r="N828" s="6"/>
      <c r="O828" s="7"/>
      <c r="P828" s="8" t="s">
        <v>21</v>
      </c>
      <c r="Q828" s="8" t="s">
        <v>22</v>
      </c>
    </row>
    <row r="829" customFormat="false" ht="15" hidden="false" customHeight="false" outlineLevel="0" collapsed="false">
      <c r="A829" s="2" t="n">
        <v>828</v>
      </c>
      <c r="B829" s="3" t="s">
        <v>2678</v>
      </c>
      <c r="C829" s="3" t="s">
        <v>1086</v>
      </c>
      <c r="D829" s="4"/>
      <c r="E829" s="3"/>
      <c r="F829" s="3" t="s">
        <v>19</v>
      </c>
      <c r="G829" s="3" t="s">
        <v>2679</v>
      </c>
      <c r="H829" s="8" t="s">
        <v>2680</v>
      </c>
      <c r="I829" s="4" t="s">
        <v>1560</v>
      </c>
      <c r="J829" s="5" t="s">
        <v>20</v>
      </c>
      <c r="K829" s="6"/>
      <c r="L829" s="5"/>
      <c r="M829" s="5"/>
      <c r="N829" s="6"/>
      <c r="O829" s="7"/>
      <c r="P829" s="8" t="s">
        <v>21</v>
      </c>
      <c r="Q829" s="8" t="s">
        <v>22</v>
      </c>
    </row>
    <row r="830" customFormat="false" ht="15" hidden="false" customHeight="false" outlineLevel="0" collapsed="false">
      <c r="A830" s="2" t="n">
        <v>829</v>
      </c>
      <c r="B830" s="3" t="s">
        <v>2681</v>
      </c>
      <c r="C830" s="3" t="s">
        <v>2682</v>
      </c>
      <c r="D830" s="4"/>
      <c r="E830" s="3"/>
      <c r="F830" s="3" t="s">
        <v>19</v>
      </c>
      <c r="G830" s="3" t="s">
        <v>2683</v>
      </c>
      <c r="H830" s="8" t="s">
        <v>2684</v>
      </c>
      <c r="I830" s="4" t="s">
        <v>2685</v>
      </c>
      <c r="J830" s="5" t="s">
        <v>20</v>
      </c>
      <c r="K830" s="6"/>
      <c r="L830" s="5"/>
      <c r="M830" s="5"/>
      <c r="N830" s="6"/>
      <c r="O830" s="7"/>
      <c r="P830" s="8" t="s">
        <v>21</v>
      </c>
      <c r="Q830" s="8" t="s">
        <v>22</v>
      </c>
    </row>
    <row r="831" customFormat="false" ht="15" hidden="false" customHeight="false" outlineLevel="0" collapsed="false">
      <c r="A831" s="2" t="n">
        <v>830</v>
      </c>
      <c r="B831" s="3" t="s">
        <v>2686</v>
      </c>
      <c r="C831" s="3"/>
      <c r="D831" s="4"/>
      <c r="E831" s="3"/>
      <c r="F831" s="3" t="s">
        <v>19</v>
      </c>
      <c r="G831" s="3"/>
      <c r="H831" s="3"/>
      <c r="I831" s="4" t="s">
        <v>2687</v>
      </c>
      <c r="J831" s="5" t="s">
        <v>20</v>
      </c>
      <c r="K831" s="6"/>
      <c r="L831" s="5"/>
      <c r="M831" s="5"/>
      <c r="N831" s="6"/>
      <c r="O831" s="7"/>
      <c r="P831" s="8" t="s">
        <v>21</v>
      </c>
      <c r="Q831" s="8" t="s">
        <v>22</v>
      </c>
    </row>
    <row r="832" customFormat="false" ht="15" hidden="false" customHeight="false" outlineLevel="0" collapsed="false">
      <c r="A832" s="2" t="n">
        <v>831</v>
      </c>
      <c r="B832" s="3" t="s">
        <v>2688</v>
      </c>
      <c r="C832" s="3"/>
      <c r="D832" s="4"/>
      <c r="E832" s="3"/>
      <c r="F832" s="3" t="s">
        <v>19</v>
      </c>
      <c r="G832" s="3"/>
      <c r="H832" s="3"/>
      <c r="I832" s="4" t="s">
        <v>2689</v>
      </c>
      <c r="J832" s="5" t="s">
        <v>20</v>
      </c>
      <c r="K832" s="6"/>
      <c r="L832" s="5"/>
      <c r="M832" s="5"/>
      <c r="N832" s="6"/>
      <c r="O832" s="7"/>
      <c r="P832" s="8" t="s">
        <v>21</v>
      </c>
      <c r="Q832" s="8" t="s">
        <v>22</v>
      </c>
    </row>
    <row r="833" customFormat="false" ht="15" hidden="false" customHeight="false" outlineLevel="0" collapsed="false">
      <c r="A833" s="2" t="n">
        <v>832</v>
      </c>
      <c r="B833" s="3" t="s">
        <v>2690</v>
      </c>
      <c r="C833" s="3"/>
      <c r="D833" s="4"/>
      <c r="E833" s="3"/>
      <c r="F833" s="3" t="s">
        <v>19</v>
      </c>
      <c r="G833" s="3" t="s">
        <v>2691</v>
      </c>
      <c r="H833" s="8" t="s">
        <v>2692</v>
      </c>
      <c r="I833" s="4" t="s">
        <v>2693</v>
      </c>
      <c r="J833" s="5" t="s">
        <v>20</v>
      </c>
      <c r="K833" s="6"/>
      <c r="L833" s="5"/>
      <c r="M833" s="5"/>
      <c r="N833" s="6"/>
      <c r="O833" s="7"/>
      <c r="P833" s="8" t="s">
        <v>21</v>
      </c>
      <c r="Q833" s="8" t="s">
        <v>22</v>
      </c>
    </row>
    <row r="834" customFormat="false" ht="15" hidden="false" customHeight="false" outlineLevel="0" collapsed="false">
      <c r="A834" s="2" t="n">
        <v>833</v>
      </c>
      <c r="B834" s="3" t="s">
        <v>2694</v>
      </c>
      <c r="C834" s="3" t="s">
        <v>120</v>
      </c>
      <c r="D834" s="4"/>
      <c r="E834" s="3"/>
      <c r="F834" s="3" t="s">
        <v>19</v>
      </c>
      <c r="G834" s="3" t="s">
        <v>2695</v>
      </c>
      <c r="H834" s="8" t="s">
        <v>2696</v>
      </c>
      <c r="I834" s="4" t="s">
        <v>2697</v>
      </c>
      <c r="J834" s="5" t="s">
        <v>20</v>
      </c>
      <c r="K834" s="6"/>
      <c r="L834" s="5"/>
      <c r="M834" s="5"/>
      <c r="N834" s="6"/>
      <c r="O834" s="7"/>
      <c r="P834" s="8" t="s">
        <v>21</v>
      </c>
      <c r="Q834" s="8" t="s">
        <v>22</v>
      </c>
    </row>
    <row r="835" customFormat="false" ht="15" hidden="false" customHeight="false" outlineLevel="0" collapsed="false">
      <c r="A835" s="2" t="n">
        <v>834</v>
      </c>
      <c r="B835" s="3" t="s">
        <v>2698</v>
      </c>
      <c r="C835" s="3"/>
      <c r="D835" s="4"/>
      <c r="E835" s="3"/>
      <c r="F835" s="3" t="s">
        <v>19</v>
      </c>
      <c r="G835" s="3"/>
      <c r="H835" s="3"/>
      <c r="I835" s="4"/>
      <c r="J835" s="5" t="s">
        <v>20</v>
      </c>
      <c r="K835" s="6"/>
      <c r="L835" s="5"/>
      <c r="M835" s="5"/>
      <c r="N835" s="6"/>
      <c r="O835" s="7"/>
      <c r="P835" s="8" t="s">
        <v>21</v>
      </c>
      <c r="Q835" s="8" t="s">
        <v>22</v>
      </c>
    </row>
    <row r="836" customFormat="false" ht="23.85" hidden="false" customHeight="false" outlineLevel="0" collapsed="false">
      <c r="A836" s="2" t="n">
        <v>835</v>
      </c>
      <c r="B836" s="3" t="s">
        <v>2699</v>
      </c>
      <c r="C836" s="3"/>
      <c r="D836" s="4" t="s">
        <v>2700</v>
      </c>
      <c r="E836" s="3" t="s">
        <v>93</v>
      </c>
      <c r="F836" s="3" t="s">
        <v>19</v>
      </c>
      <c r="G836" s="3" t="s">
        <v>2701</v>
      </c>
      <c r="H836" s="8" t="s">
        <v>2702</v>
      </c>
      <c r="I836" s="4" t="s">
        <v>2703</v>
      </c>
      <c r="J836" s="5" t="s">
        <v>20</v>
      </c>
      <c r="K836" s="6"/>
      <c r="L836" s="5"/>
      <c r="M836" s="5"/>
      <c r="N836" s="6"/>
      <c r="O836" s="7"/>
      <c r="P836" s="8" t="s">
        <v>21</v>
      </c>
      <c r="Q836" s="8" t="s">
        <v>22</v>
      </c>
    </row>
    <row r="837" customFormat="false" ht="23.85" hidden="false" customHeight="false" outlineLevel="0" collapsed="false">
      <c r="A837" s="2" t="n">
        <v>836</v>
      </c>
      <c r="B837" s="3" t="s">
        <v>2704</v>
      </c>
      <c r="C837" s="3" t="s">
        <v>217</v>
      </c>
      <c r="D837" s="4"/>
      <c r="E837" s="3"/>
      <c r="F837" s="3" t="s">
        <v>19</v>
      </c>
      <c r="G837" s="3"/>
      <c r="H837" s="3"/>
      <c r="I837" s="4" t="s">
        <v>2705</v>
      </c>
      <c r="J837" s="5" t="s">
        <v>20</v>
      </c>
      <c r="K837" s="6"/>
      <c r="L837" s="5"/>
      <c r="M837" s="5"/>
      <c r="N837" s="6"/>
      <c r="O837" s="7"/>
      <c r="P837" s="8" t="s">
        <v>21</v>
      </c>
      <c r="Q837" s="8" t="s">
        <v>22</v>
      </c>
    </row>
    <row r="838" customFormat="false" ht="15" hidden="false" customHeight="false" outlineLevel="0" collapsed="false">
      <c r="A838" s="2" t="n">
        <v>837</v>
      </c>
      <c r="B838" s="3" t="s">
        <v>2706</v>
      </c>
      <c r="C838" s="3"/>
      <c r="D838" s="4" t="s">
        <v>2707</v>
      </c>
      <c r="E838" s="3"/>
      <c r="F838" s="3" t="s">
        <v>19</v>
      </c>
      <c r="G838" s="3"/>
      <c r="H838" s="3"/>
      <c r="I838" s="4" t="s">
        <v>2450</v>
      </c>
      <c r="J838" s="5" t="s">
        <v>20</v>
      </c>
      <c r="K838" s="6"/>
      <c r="L838" s="5"/>
      <c r="M838" s="5"/>
      <c r="N838" s="6"/>
      <c r="O838" s="7"/>
      <c r="P838" s="8" t="s">
        <v>21</v>
      </c>
      <c r="Q838" s="8" t="s">
        <v>22</v>
      </c>
    </row>
    <row r="839" customFormat="false" ht="15" hidden="false" customHeight="false" outlineLevel="0" collapsed="false">
      <c r="A839" s="2" t="n">
        <v>838</v>
      </c>
      <c r="B839" s="3" t="s">
        <v>2708</v>
      </c>
      <c r="C839" s="3" t="s">
        <v>91</v>
      </c>
      <c r="D839" s="4" t="s">
        <v>2709</v>
      </c>
      <c r="E839" s="3"/>
      <c r="F839" s="3" t="s">
        <v>19</v>
      </c>
      <c r="G839" s="3" t="s">
        <v>2710</v>
      </c>
      <c r="H839" s="8" t="s">
        <v>2711</v>
      </c>
      <c r="I839" s="4" t="s">
        <v>2712</v>
      </c>
      <c r="J839" s="5" t="s">
        <v>20</v>
      </c>
      <c r="K839" s="6"/>
      <c r="L839" s="5"/>
      <c r="M839" s="5"/>
      <c r="N839" s="6"/>
      <c r="O839" s="7"/>
      <c r="P839" s="8" t="s">
        <v>21</v>
      </c>
      <c r="Q839" s="8" t="s">
        <v>22</v>
      </c>
    </row>
    <row r="840" customFormat="false" ht="23.85" hidden="false" customHeight="false" outlineLevel="0" collapsed="false">
      <c r="A840" s="2" t="n">
        <v>839</v>
      </c>
      <c r="B840" s="3" t="s">
        <v>2713</v>
      </c>
      <c r="C840" s="3" t="s">
        <v>217</v>
      </c>
      <c r="D840" s="4"/>
      <c r="E840" s="3"/>
      <c r="F840" s="3" t="s">
        <v>19</v>
      </c>
      <c r="G840" s="3" t="s">
        <v>2714</v>
      </c>
      <c r="H840" s="8" t="s">
        <v>2715</v>
      </c>
      <c r="I840" s="4" t="s">
        <v>2716</v>
      </c>
      <c r="J840" s="5" t="s">
        <v>20</v>
      </c>
      <c r="K840" s="6"/>
      <c r="L840" s="5"/>
      <c r="M840" s="5"/>
      <c r="N840" s="6"/>
      <c r="O840" s="7"/>
      <c r="P840" s="8" t="s">
        <v>21</v>
      </c>
      <c r="Q840" s="8" t="s">
        <v>22</v>
      </c>
    </row>
    <row r="841" customFormat="false" ht="15" hidden="false" customHeight="false" outlineLevel="0" collapsed="false">
      <c r="A841" s="2" t="n">
        <v>840</v>
      </c>
      <c r="B841" s="3" t="s">
        <v>2717</v>
      </c>
      <c r="C841" s="3" t="s">
        <v>2718</v>
      </c>
      <c r="D841" s="4"/>
      <c r="E841" s="3"/>
      <c r="F841" s="3" t="s">
        <v>19</v>
      </c>
      <c r="G841" s="3"/>
      <c r="H841" s="8" t="s">
        <v>2719</v>
      </c>
      <c r="I841" s="4" t="s">
        <v>2720</v>
      </c>
      <c r="J841" s="5" t="s">
        <v>20</v>
      </c>
      <c r="K841" s="6"/>
      <c r="L841" s="5"/>
      <c r="M841" s="5"/>
      <c r="N841" s="6"/>
      <c r="O841" s="7"/>
      <c r="P841" s="8" t="s">
        <v>21</v>
      </c>
      <c r="Q841" s="8" t="s">
        <v>22</v>
      </c>
    </row>
    <row r="842" customFormat="false" ht="15" hidden="false" customHeight="false" outlineLevel="0" collapsed="false">
      <c r="A842" s="2" t="n">
        <v>841</v>
      </c>
      <c r="B842" s="3" t="s">
        <v>2721</v>
      </c>
      <c r="C842" s="3" t="s">
        <v>89</v>
      </c>
      <c r="D842" s="4"/>
      <c r="E842" s="3"/>
      <c r="F842" s="3" t="s">
        <v>19</v>
      </c>
      <c r="G842" s="3" t="s">
        <v>2722</v>
      </c>
      <c r="H842" s="3"/>
      <c r="I842" s="4" t="s">
        <v>2723</v>
      </c>
      <c r="J842" s="5" t="s">
        <v>20</v>
      </c>
      <c r="K842" s="6"/>
      <c r="L842" s="5"/>
      <c r="M842" s="5"/>
      <c r="N842" s="6"/>
      <c r="O842" s="7"/>
      <c r="P842" s="8" t="s">
        <v>21</v>
      </c>
      <c r="Q842" s="8" t="s">
        <v>22</v>
      </c>
    </row>
    <row r="843" customFormat="false" ht="15" hidden="false" customHeight="false" outlineLevel="0" collapsed="false">
      <c r="A843" s="2" t="n">
        <v>842</v>
      </c>
      <c r="B843" s="3" t="s">
        <v>2724</v>
      </c>
      <c r="C843" s="3" t="s">
        <v>91</v>
      </c>
      <c r="D843" s="4" t="s">
        <v>2725</v>
      </c>
      <c r="E843" s="3" t="s">
        <v>148</v>
      </c>
      <c r="F843" s="3" t="s">
        <v>19</v>
      </c>
      <c r="G843" s="3"/>
      <c r="H843" s="8" t="s">
        <v>2726</v>
      </c>
      <c r="I843" s="4" t="s">
        <v>2450</v>
      </c>
      <c r="J843" s="5" t="s">
        <v>20</v>
      </c>
      <c r="K843" s="6"/>
      <c r="L843" s="5"/>
      <c r="M843" s="5"/>
      <c r="N843" s="6"/>
      <c r="O843" s="7"/>
      <c r="P843" s="8" t="s">
        <v>21</v>
      </c>
      <c r="Q843" s="8" t="s">
        <v>22</v>
      </c>
    </row>
    <row r="844" customFormat="false" ht="23.85" hidden="false" customHeight="false" outlineLevel="0" collapsed="false">
      <c r="A844" s="2" t="n">
        <v>843</v>
      </c>
      <c r="B844" s="3" t="s">
        <v>2727</v>
      </c>
      <c r="C844" s="3" t="s">
        <v>24</v>
      </c>
      <c r="D844" s="4" t="s">
        <v>714</v>
      </c>
      <c r="E844" s="3"/>
      <c r="F844" s="3" t="s">
        <v>19</v>
      </c>
      <c r="G844" s="3"/>
      <c r="H844" s="3"/>
      <c r="I844" s="4" t="s">
        <v>2728</v>
      </c>
      <c r="J844" s="5" t="s">
        <v>20</v>
      </c>
      <c r="K844" s="6"/>
      <c r="L844" s="5"/>
      <c r="M844" s="5"/>
      <c r="N844" s="6"/>
      <c r="O844" s="7"/>
      <c r="P844" s="8" t="s">
        <v>21</v>
      </c>
      <c r="Q844" s="8" t="s">
        <v>22</v>
      </c>
    </row>
    <row r="845" customFormat="false" ht="15" hidden="false" customHeight="false" outlineLevel="0" collapsed="false">
      <c r="A845" s="2" t="n">
        <v>844</v>
      </c>
      <c r="B845" s="3" t="s">
        <v>2729</v>
      </c>
      <c r="C845" s="3" t="s">
        <v>2730</v>
      </c>
      <c r="D845" s="4"/>
      <c r="E845" s="3"/>
      <c r="F845" s="3" t="s">
        <v>19</v>
      </c>
      <c r="G845" s="3" t="s">
        <v>2731</v>
      </c>
      <c r="H845" s="8" t="s">
        <v>2732</v>
      </c>
      <c r="I845" s="4" t="s">
        <v>2733</v>
      </c>
      <c r="J845" s="5" t="s">
        <v>20</v>
      </c>
      <c r="K845" s="6"/>
      <c r="L845" s="5"/>
      <c r="M845" s="5"/>
      <c r="N845" s="6"/>
      <c r="O845" s="7"/>
      <c r="P845" s="8" t="s">
        <v>21</v>
      </c>
      <c r="Q845" s="8" t="s">
        <v>22</v>
      </c>
    </row>
    <row r="846" customFormat="false" ht="15" hidden="false" customHeight="false" outlineLevel="0" collapsed="false">
      <c r="A846" s="2" t="n">
        <v>845</v>
      </c>
      <c r="B846" s="3" t="s">
        <v>2734</v>
      </c>
      <c r="C846" s="3" t="s">
        <v>972</v>
      </c>
      <c r="D846" s="4"/>
      <c r="E846" s="3"/>
      <c r="F846" s="3" t="s">
        <v>19</v>
      </c>
      <c r="G846" s="3" t="s">
        <v>2735</v>
      </c>
      <c r="H846" s="8" t="s">
        <v>2736</v>
      </c>
      <c r="I846" s="4" t="s">
        <v>2737</v>
      </c>
      <c r="J846" s="5" t="s">
        <v>20</v>
      </c>
      <c r="K846" s="6"/>
      <c r="L846" s="5"/>
      <c r="M846" s="5"/>
      <c r="N846" s="6"/>
      <c r="O846" s="7"/>
      <c r="P846" s="8" t="s">
        <v>21</v>
      </c>
      <c r="Q846" s="8" t="s">
        <v>22</v>
      </c>
    </row>
    <row r="847" customFormat="false" ht="23.85" hidden="false" customHeight="false" outlineLevel="0" collapsed="false">
      <c r="A847" s="2" t="n">
        <v>846</v>
      </c>
      <c r="B847" s="3" t="s">
        <v>2738</v>
      </c>
      <c r="C847" s="3" t="s">
        <v>89</v>
      </c>
      <c r="D847" s="4" t="s">
        <v>2739</v>
      </c>
      <c r="E847" s="3"/>
      <c r="F847" s="3" t="s">
        <v>19</v>
      </c>
      <c r="G847" s="3" t="s">
        <v>2740</v>
      </c>
      <c r="H847" s="8" t="s">
        <v>2741</v>
      </c>
      <c r="I847" s="4" t="s">
        <v>2742</v>
      </c>
      <c r="J847" s="5" t="s">
        <v>20</v>
      </c>
      <c r="K847" s="6"/>
      <c r="L847" s="5"/>
      <c r="M847" s="5"/>
      <c r="N847" s="6"/>
      <c r="O847" s="7"/>
      <c r="P847" s="8" t="s">
        <v>21</v>
      </c>
      <c r="Q847" s="8" t="s">
        <v>22</v>
      </c>
    </row>
    <row r="848" customFormat="false" ht="15" hidden="false" customHeight="false" outlineLevel="0" collapsed="false">
      <c r="A848" s="2" t="n">
        <v>847</v>
      </c>
      <c r="B848" s="3" t="s">
        <v>2743</v>
      </c>
      <c r="C848" s="3" t="s">
        <v>153</v>
      </c>
      <c r="D848" s="4" t="s">
        <v>2744</v>
      </c>
      <c r="E848" s="3" t="s">
        <v>57</v>
      </c>
      <c r="F848" s="3" t="s">
        <v>19</v>
      </c>
      <c r="G848" s="3"/>
      <c r="H848" s="3"/>
      <c r="I848" s="4" t="s">
        <v>2745</v>
      </c>
      <c r="J848" s="5" t="s">
        <v>20</v>
      </c>
      <c r="K848" s="6"/>
      <c r="L848" s="5"/>
      <c r="M848" s="5"/>
      <c r="N848" s="6"/>
      <c r="O848" s="7"/>
      <c r="P848" s="8" t="s">
        <v>21</v>
      </c>
      <c r="Q848" s="8" t="s">
        <v>22</v>
      </c>
    </row>
    <row r="849" customFormat="false" ht="15" hidden="false" customHeight="false" outlineLevel="0" collapsed="false">
      <c r="A849" s="2" t="n">
        <v>848</v>
      </c>
      <c r="B849" s="3" t="s">
        <v>2746</v>
      </c>
      <c r="C849" s="3" t="s">
        <v>116</v>
      </c>
      <c r="D849" s="4" t="s">
        <v>2747</v>
      </c>
      <c r="E849" s="3" t="s">
        <v>93</v>
      </c>
      <c r="F849" s="3" t="s">
        <v>19</v>
      </c>
      <c r="G849" s="3" t="s">
        <v>2748</v>
      </c>
      <c r="H849" s="3"/>
      <c r="I849" s="4" t="s">
        <v>2749</v>
      </c>
      <c r="J849" s="5" t="s">
        <v>20</v>
      </c>
      <c r="K849" s="6"/>
      <c r="L849" s="5"/>
      <c r="M849" s="5"/>
      <c r="N849" s="6"/>
      <c r="O849" s="7"/>
      <c r="P849" s="8" t="s">
        <v>21</v>
      </c>
      <c r="Q849" s="8" t="s">
        <v>22</v>
      </c>
    </row>
    <row r="850" customFormat="false" ht="15" hidden="false" customHeight="false" outlineLevel="0" collapsed="false">
      <c r="A850" s="2" t="n">
        <v>849</v>
      </c>
      <c r="B850" s="3" t="s">
        <v>2750</v>
      </c>
      <c r="C850" s="3" t="s">
        <v>24</v>
      </c>
      <c r="D850" s="4" t="s">
        <v>2751</v>
      </c>
      <c r="E850" s="3" t="s">
        <v>148</v>
      </c>
      <c r="F850" s="3" t="s">
        <v>19</v>
      </c>
      <c r="G850" s="3" t="s">
        <v>2752</v>
      </c>
      <c r="H850" s="8" t="s">
        <v>2753</v>
      </c>
      <c r="I850" s="4" t="s">
        <v>2754</v>
      </c>
      <c r="J850" s="5" t="s">
        <v>20</v>
      </c>
      <c r="K850" s="6"/>
      <c r="L850" s="5"/>
      <c r="M850" s="5"/>
      <c r="N850" s="6"/>
      <c r="O850" s="7"/>
      <c r="P850" s="8" t="s">
        <v>21</v>
      </c>
      <c r="Q850" s="8" t="s">
        <v>22</v>
      </c>
    </row>
    <row r="851" customFormat="false" ht="15" hidden="false" customHeight="false" outlineLevel="0" collapsed="false">
      <c r="A851" s="2" t="n">
        <v>850</v>
      </c>
      <c r="B851" s="3" t="s">
        <v>2755</v>
      </c>
      <c r="C851" s="3" t="s">
        <v>120</v>
      </c>
      <c r="D851" s="4"/>
      <c r="E851" s="3"/>
      <c r="F851" s="3" t="s">
        <v>19</v>
      </c>
      <c r="G851" s="3" t="s">
        <v>2756</v>
      </c>
      <c r="H851" s="8" t="s">
        <v>2757</v>
      </c>
      <c r="I851" s="4" t="s">
        <v>2758</v>
      </c>
      <c r="J851" s="5" t="s">
        <v>20</v>
      </c>
      <c r="K851" s="6"/>
      <c r="L851" s="5"/>
      <c r="M851" s="5"/>
      <c r="N851" s="6"/>
      <c r="O851" s="7"/>
      <c r="P851" s="8" t="s">
        <v>21</v>
      </c>
      <c r="Q851" s="8" t="s">
        <v>22</v>
      </c>
    </row>
    <row r="852" customFormat="false" ht="15" hidden="false" customHeight="false" outlineLevel="0" collapsed="false">
      <c r="A852" s="2" t="n">
        <v>851</v>
      </c>
      <c r="B852" s="3" t="s">
        <v>2759</v>
      </c>
      <c r="C852" s="3"/>
      <c r="D852" s="4" t="s">
        <v>2760</v>
      </c>
      <c r="E852" s="3" t="s">
        <v>93</v>
      </c>
      <c r="F852" s="3" t="s">
        <v>19</v>
      </c>
      <c r="G852" s="3" t="s">
        <v>2761</v>
      </c>
      <c r="H852" s="3"/>
      <c r="I852" s="4"/>
      <c r="J852" s="5" t="s">
        <v>20</v>
      </c>
      <c r="K852" s="6"/>
      <c r="L852" s="5"/>
      <c r="M852" s="5"/>
      <c r="N852" s="6"/>
      <c r="O852" s="7"/>
      <c r="P852" s="8" t="s">
        <v>21</v>
      </c>
      <c r="Q852" s="8" t="s">
        <v>22</v>
      </c>
    </row>
    <row r="853" customFormat="false" ht="15" hidden="false" customHeight="false" outlineLevel="0" collapsed="false">
      <c r="A853" s="2" t="n">
        <v>852</v>
      </c>
      <c r="B853" s="3" t="s">
        <v>2762</v>
      </c>
      <c r="C853" s="3" t="s">
        <v>91</v>
      </c>
      <c r="D853" s="4"/>
      <c r="E853" s="3"/>
      <c r="F853" s="3" t="s">
        <v>19</v>
      </c>
      <c r="G853" s="3" t="s">
        <v>2763</v>
      </c>
      <c r="H853" s="8" t="s">
        <v>2764</v>
      </c>
      <c r="I853" s="4" t="s">
        <v>2765</v>
      </c>
      <c r="J853" s="5" t="s">
        <v>20</v>
      </c>
      <c r="K853" s="6"/>
      <c r="L853" s="5"/>
      <c r="M853" s="5"/>
      <c r="N853" s="6"/>
      <c r="O853" s="7"/>
      <c r="P853" s="8" t="s">
        <v>21</v>
      </c>
      <c r="Q853" s="8" t="s">
        <v>22</v>
      </c>
    </row>
    <row r="854" customFormat="false" ht="15" hidden="false" customHeight="false" outlineLevel="0" collapsed="false">
      <c r="A854" s="2" t="n">
        <v>853</v>
      </c>
      <c r="B854" s="3" t="s">
        <v>2766</v>
      </c>
      <c r="C854" s="3" t="s">
        <v>2767</v>
      </c>
      <c r="D854" s="4"/>
      <c r="E854" s="3"/>
      <c r="F854" s="3" t="s">
        <v>19</v>
      </c>
      <c r="G854" s="3" t="s">
        <v>2768</v>
      </c>
      <c r="H854" s="8" t="s">
        <v>2769</v>
      </c>
      <c r="I854" s="4" t="s">
        <v>2770</v>
      </c>
      <c r="J854" s="5" t="s">
        <v>20</v>
      </c>
      <c r="K854" s="6"/>
      <c r="L854" s="5"/>
      <c r="M854" s="5"/>
      <c r="N854" s="6"/>
      <c r="O854" s="7"/>
      <c r="P854" s="8" t="s">
        <v>21</v>
      </c>
      <c r="Q854" s="8" t="s">
        <v>22</v>
      </c>
    </row>
    <row r="855" customFormat="false" ht="15" hidden="false" customHeight="false" outlineLevel="0" collapsed="false">
      <c r="A855" s="2" t="n">
        <v>854</v>
      </c>
      <c r="B855" s="3" t="s">
        <v>2771</v>
      </c>
      <c r="C855" s="3" t="s">
        <v>116</v>
      </c>
      <c r="D855" s="4"/>
      <c r="E855" s="3"/>
      <c r="F855" s="3" t="s">
        <v>19</v>
      </c>
      <c r="G855" s="3"/>
      <c r="H855" s="3"/>
      <c r="I855" s="4"/>
      <c r="J855" s="5" t="s">
        <v>20</v>
      </c>
      <c r="K855" s="6"/>
      <c r="L855" s="5"/>
      <c r="M855" s="5"/>
      <c r="N855" s="6"/>
      <c r="O855" s="7"/>
      <c r="P855" s="8" t="s">
        <v>21</v>
      </c>
      <c r="Q855" s="8" t="s">
        <v>22</v>
      </c>
    </row>
    <row r="856" customFormat="false" ht="15" hidden="false" customHeight="false" outlineLevel="0" collapsed="false">
      <c r="A856" s="2" t="n">
        <v>855</v>
      </c>
      <c r="B856" s="3" t="s">
        <v>2772</v>
      </c>
      <c r="C856" s="3" t="s">
        <v>62</v>
      </c>
      <c r="D856" s="4" t="s">
        <v>2773</v>
      </c>
      <c r="E856" s="3" t="s">
        <v>26</v>
      </c>
      <c r="F856" s="3" t="s">
        <v>19</v>
      </c>
      <c r="G856" s="3" t="s">
        <v>2774</v>
      </c>
      <c r="H856" s="3"/>
      <c r="I856" s="4"/>
      <c r="J856" s="5" t="s">
        <v>20</v>
      </c>
      <c r="K856" s="6"/>
      <c r="L856" s="5"/>
      <c r="M856" s="5"/>
      <c r="N856" s="6"/>
      <c r="O856" s="7"/>
      <c r="P856" s="8" t="s">
        <v>21</v>
      </c>
      <c r="Q856" s="8" t="s">
        <v>22</v>
      </c>
    </row>
    <row r="857" customFormat="false" ht="23.85" hidden="false" customHeight="false" outlineLevel="0" collapsed="false">
      <c r="A857" s="2" t="n">
        <v>856</v>
      </c>
      <c r="B857" s="3" t="s">
        <v>2775</v>
      </c>
      <c r="C857" s="3" t="s">
        <v>62</v>
      </c>
      <c r="D857" s="4" t="s">
        <v>2776</v>
      </c>
      <c r="E857" s="3" t="s">
        <v>57</v>
      </c>
      <c r="F857" s="3" t="s">
        <v>19</v>
      </c>
      <c r="G857" s="3" t="s">
        <v>2777</v>
      </c>
      <c r="H857" s="3"/>
      <c r="I857" s="4" t="s">
        <v>2778</v>
      </c>
      <c r="J857" s="5" t="s">
        <v>20</v>
      </c>
      <c r="K857" s="6"/>
      <c r="L857" s="5"/>
      <c r="M857" s="5"/>
      <c r="N857" s="6"/>
      <c r="O857" s="7"/>
      <c r="P857" s="8" t="s">
        <v>21</v>
      </c>
      <c r="Q857" s="8" t="s">
        <v>22</v>
      </c>
    </row>
    <row r="858" customFormat="false" ht="15" hidden="false" customHeight="false" outlineLevel="0" collapsed="false">
      <c r="A858" s="2" t="n">
        <v>857</v>
      </c>
      <c r="B858" s="3" t="s">
        <v>2779</v>
      </c>
      <c r="C858" s="3"/>
      <c r="D858" s="4"/>
      <c r="E858" s="3"/>
      <c r="F858" s="3" t="s">
        <v>19</v>
      </c>
      <c r="G858" s="3"/>
      <c r="H858" s="3"/>
      <c r="I858" s="4"/>
      <c r="J858" s="5" t="s">
        <v>20</v>
      </c>
      <c r="K858" s="6"/>
      <c r="L858" s="5"/>
      <c r="M858" s="5"/>
      <c r="N858" s="6"/>
      <c r="O858" s="7"/>
      <c r="P858" s="8" t="s">
        <v>21</v>
      </c>
      <c r="Q858" s="8" t="s">
        <v>22</v>
      </c>
    </row>
    <row r="859" customFormat="false" ht="15" hidden="false" customHeight="false" outlineLevel="0" collapsed="false">
      <c r="A859" s="2" t="n">
        <v>858</v>
      </c>
      <c r="B859" s="3" t="s">
        <v>2780</v>
      </c>
      <c r="C859" s="3" t="s">
        <v>41</v>
      </c>
      <c r="D859" s="4"/>
      <c r="E859" s="3"/>
      <c r="F859" s="3" t="s">
        <v>19</v>
      </c>
      <c r="G859" s="3" t="s">
        <v>2781</v>
      </c>
      <c r="H859" s="8" t="s">
        <v>2782</v>
      </c>
      <c r="I859" s="4" t="s">
        <v>2783</v>
      </c>
      <c r="J859" s="5" t="s">
        <v>20</v>
      </c>
      <c r="K859" s="6"/>
      <c r="L859" s="5"/>
      <c r="M859" s="5"/>
      <c r="N859" s="6"/>
      <c r="O859" s="7"/>
      <c r="P859" s="8" t="s">
        <v>21</v>
      </c>
      <c r="Q859" s="8" t="s">
        <v>22</v>
      </c>
    </row>
    <row r="860" customFormat="false" ht="15" hidden="false" customHeight="false" outlineLevel="0" collapsed="false">
      <c r="A860" s="2" t="n">
        <v>859</v>
      </c>
      <c r="B860" s="3" t="s">
        <v>2784</v>
      </c>
      <c r="C860" s="3" t="s">
        <v>116</v>
      </c>
      <c r="D860" s="4"/>
      <c r="E860" s="3"/>
      <c r="F860" s="3" t="s">
        <v>19</v>
      </c>
      <c r="G860" s="3" t="s">
        <v>2785</v>
      </c>
      <c r="H860" s="8" t="s">
        <v>2786</v>
      </c>
      <c r="I860" s="4" t="s">
        <v>2787</v>
      </c>
      <c r="J860" s="5" t="s">
        <v>20</v>
      </c>
      <c r="K860" s="6"/>
      <c r="L860" s="5"/>
      <c r="M860" s="5"/>
      <c r="N860" s="6"/>
      <c r="O860" s="7"/>
      <c r="P860" s="8" t="s">
        <v>21</v>
      </c>
      <c r="Q860" s="8" t="s">
        <v>22</v>
      </c>
    </row>
    <row r="861" customFormat="false" ht="15" hidden="false" customHeight="false" outlineLevel="0" collapsed="false">
      <c r="A861" s="2" t="n">
        <v>860</v>
      </c>
      <c r="B861" s="3" t="s">
        <v>2788</v>
      </c>
      <c r="C861" s="3" t="s">
        <v>71</v>
      </c>
      <c r="D861" s="4"/>
      <c r="E861" s="3"/>
      <c r="F861" s="3" t="s">
        <v>19</v>
      </c>
      <c r="G861" s="3" t="s">
        <v>2789</v>
      </c>
      <c r="H861" s="8" t="s">
        <v>2790</v>
      </c>
      <c r="I861" s="4" t="s">
        <v>2791</v>
      </c>
      <c r="J861" s="5" t="s">
        <v>20</v>
      </c>
      <c r="K861" s="6"/>
      <c r="L861" s="5"/>
      <c r="M861" s="5"/>
      <c r="N861" s="6"/>
      <c r="O861" s="7"/>
      <c r="P861" s="8" t="s">
        <v>21</v>
      </c>
      <c r="Q861" s="8" t="s">
        <v>22</v>
      </c>
    </row>
    <row r="862" customFormat="false" ht="23.85" hidden="false" customHeight="false" outlineLevel="0" collapsed="false">
      <c r="A862" s="2" t="n">
        <v>861</v>
      </c>
      <c r="B862" s="3" t="s">
        <v>2792</v>
      </c>
      <c r="C862" s="3" t="s">
        <v>678</v>
      </c>
      <c r="D862" s="4"/>
      <c r="E862" s="3"/>
      <c r="F862" s="3" t="s">
        <v>19</v>
      </c>
      <c r="G862" s="3"/>
      <c r="H862" s="8" t="s">
        <v>2793</v>
      </c>
      <c r="I862" s="4" t="s">
        <v>2794</v>
      </c>
      <c r="J862" s="5" t="s">
        <v>20</v>
      </c>
      <c r="K862" s="6"/>
      <c r="L862" s="5"/>
      <c r="M862" s="5"/>
      <c r="N862" s="6"/>
      <c r="O862" s="7"/>
      <c r="P862" s="8" t="s">
        <v>21</v>
      </c>
      <c r="Q862" s="8" t="s">
        <v>22</v>
      </c>
    </row>
    <row r="863" customFormat="false" ht="15" hidden="false" customHeight="false" outlineLevel="0" collapsed="false">
      <c r="A863" s="2" t="n">
        <v>862</v>
      </c>
      <c r="B863" s="3" t="s">
        <v>2795</v>
      </c>
      <c r="C863" s="3" t="s">
        <v>2510</v>
      </c>
      <c r="D863" s="4"/>
      <c r="E863" s="3"/>
      <c r="F863" s="3" t="s">
        <v>19</v>
      </c>
      <c r="G863" s="3" t="s">
        <v>2796</v>
      </c>
      <c r="H863" s="8" t="s">
        <v>2797</v>
      </c>
      <c r="I863" s="4" t="s">
        <v>794</v>
      </c>
      <c r="J863" s="5" t="s">
        <v>20</v>
      </c>
      <c r="K863" s="6"/>
      <c r="L863" s="5"/>
      <c r="M863" s="5"/>
      <c r="N863" s="6"/>
      <c r="O863" s="7"/>
      <c r="P863" s="8" t="s">
        <v>21</v>
      </c>
      <c r="Q863" s="8" t="s">
        <v>22</v>
      </c>
    </row>
    <row r="864" customFormat="false" ht="15" hidden="false" customHeight="false" outlineLevel="0" collapsed="false">
      <c r="A864" s="2" t="n">
        <v>863</v>
      </c>
      <c r="B864" s="3" t="s">
        <v>2798</v>
      </c>
      <c r="C864" s="3" t="s">
        <v>116</v>
      </c>
      <c r="D864" s="4"/>
      <c r="E864" s="3"/>
      <c r="F864" s="3" t="s">
        <v>19</v>
      </c>
      <c r="G864" s="3" t="s">
        <v>2799</v>
      </c>
      <c r="H864" s="8" t="s">
        <v>2800</v>
      </c>
      <c r="I864" s="4" t="s">
        <v>2801</v>
      </c>
      <c r="J864" s="5" t="s">
        <v>20</v>
      </c>
      <c r="K864" s="6"/>
      <c r="L864" s="5"/>
      <c r="M864" s="5"/>
      <c r="N864" s="6"/>
      <c r="O864" s="7"/>
      <c r="P864" s="8" t="s">
        <v>21</v>
      </c>
      <c r="Q864" s="8" t="s">
        <v>22</v>
      </c>
    </row>
    <row r="865" customFormat="false" ht="15" hidden="false" customHeight="false" outlineLevel="0" collapsed="false">
      <c r="A865" s="2" t="n">
        <v>864</v>
      </c>
      <c r="B865" s="3" t="s">
        <v>2802</v>
      </c>
      <c r="C865" s="3" t="s">
        <v>153</v>
      </c>
      <c r="D865" s="4" t="s">
        <v>2803</v>
      </c>
      <c r="E865" s="3"/>
      <c r="F865" s="3" t="s">
        <v>19</v>
      </c>
      <c r="G865" s="3"/>
      <c r="H865" s="3"/>
      <c r="I865" s="4" t="s">
        <v>2804</v>
      </c>
      <c r="J865" s="5" t="s">
        <v>20</v>
      </c>
      <c r="K865" s="6"/>
      <c r="L865" s="5"/>
      <c r="M865" s="5"/>
      <c r="N865" s="6"/>
      <c r="O865" s="7"/>
      <c r="P865" s="8" t="s">
        <v>21</v>
      </c>
      <c r="Q865" s="8" t="s">
        <v>22</v>
      </c>
    </row>
    <row r="866" customFormat="false" ht="15" hidden="false" customHeight="false" outlineLevel="0" collapsed="false">
      <c r="A866" s="2" t="n">
        <v>865</v>
      </c>
      <c r="B866" s="3" t="s">
        <v>2805</v>
      </c>
      <c r="C866" s="3" t="s">
        <v>76</v>
      </c>
      <c r="D866" s="4"/>
      <c r="E866" s="3"/>
      <c r="F866" s="3" t="s">
        <v>19</v>
      </c>
      <c r="G866" s="3" t="s">
        <v>2806</v>
      </c>
      <c r="H866" s="8" t="s">
        <v>2807</v>
      </c>
      <c r="I866" s="4" t="s">
        <v>2808</v>
      </c>
      <c r="J866" s="5" t="s">
        <v>20</v>
      </c>
      <c r="K866" s="6"/>
      <c r="L866" s="5"/>
      <c r="M866" s="5"/>
      <c r="N866" s="6"/>
      <c r="O866" s="7"/>
      <c r="P866" s="8" t="s">
        <v>21</v>
      </c>
      <c r="Q866" s="8" t="s">
        <v>22</v>
      </c>
    </row>
    <row r="867" customFormat="false" ht="15" hidden="false" customHeight="false" outlineLevel="0" collapsed="false">
      <c r="A867" s="2" t="n">
        <v>866</v>
      </c>
      <c r="B867" s="3" t="s">
        <v>2809</v>
      </c>
      <c r="C867" s="3" t="s">
        <v>71</v>
      </c>
      <c r="D867" s="4"/>
      <c r="E867" s="3"/>
      <c r="F867" s="3" t="s">
        <v>19</v>
      </c>
      <c r="G867" s="3" t="s">
        <v>2810</v>
      </c>
      <c r="H867" s="8" t="s">
        <v>2811</v>
      </c>
      <c r="I867" s="4" t="s">
        <v>2812</v>
      </c>
      <c r="J867" s="5" t="s">
        <v>20</v>
      </c>
      <c r="K867" s="6"/>
      <c r="L867" s="5"/>
      <c r="M867" s="5"/>
      <c r="N867" s="6"/>
      <c r="O867" s="7"/>
      <c r="P867" s="8" t="s">
        <v>21</v>
      </c>
      <c r="Q867" s="8" t="s">
        <v>22</v>
      </c>
    </row>
    <row r="868" customFormat="false" ht="15" hidden="false" customHeight="false" outlineLevel="0" collapsed="false">
      <c r="A868" s="2" t="n">
        <v>867</v>
      </c>
      <c r="B868" s="3" t="s">
        <v>2813</v>
      </c>
      <c r="C868" s="3" t="s">
        <v>76</v>
      </c>
      <c r="D868" s="4"/>
      <c r="E868" s="3"/>
      <c r="F868" s="3" t="s">
        <v>19</v>
      </c>
      <c r="G868" s="3"/>
      <c r="H868" s="8" t="s">
        <v>2814</v>
      </c>
      <c r="I868" s="4" t="s">
        <v>2815</v>
      </c>
      <c r="J868" s="5" t="s">
        <v>20</v>
      </c>
      <c r="K868" s="6"/>
      <c r="L868" s="5"/>
      <c r="M868" s="5"/>
      <c r="N868" s="6"/>
      <c r="O868" s="7"/>
      <c r="P868" s="8" t="s">
        <v>21</v>
      </c>
      <c r="Q868" s="8" t="s">
        <v>22</v>
      </c>
    </row>
    <row r="869" customFormat="false" ht="23.85" hidden="false" customHeight="false" outlineLevel="0" collapsed="false">
      <c r="A869" s="2" t="n">
        <v>868</v>
      </c>
      <c r="B869" s="3" t="s">
        <v>2816</v>
      </c>
      <c r="C869" s="3" t="s">
        <v>71</v>
      </c>
      <c r="D869" s="4"/>
      <c r="E869" s="3"/>
      <c r="F869" s="3" t="s">
        <v>19</v>
      </c>
      <c r="G869" s="3" t="s">
        <v>2817</v>
      </c>
      <c r="H869" s="8" t="s">
        <v>2818</v>
      </c>
      <c r="I869" s="4" t="s">
        <v>2819</v>
      </c>
      <c r="J869" s="5" t="s">
        <v>20</v>
      </c>
      <c r="K869" s="6"/>
      <c r="L869" s="5"/>
      <c r="M869" s="5"/>
      <c r="N869" s="6"/>
      <c r="O869" s="7"/>
      <c r="P869" s="8" t="s">
        <v>21</v>
      </c>
      <c r="Q869" s="8" t="s">
        <v>22</v>
      </c>
    </row>
    <row r="870" customFormat="false" ht="15" hidden="false" customHeight="false" outlineLevel="0" collapsed="false">
      <c r="A870" s="2" t="n">
        <v>869</v>
      </c>
      <c r="B870" s="3" t="s">
        <v>2820</v>
      </c>
      <c r="C870" s="3" t="s">
        <v>89</v>
      </c>
      <c r="D870" s="4"/>
      <c r="E870" s="3"/>
      <c r="F870" s="3" t="s">
        <v>19</v>
      </c>
      <c r="G870" s="3" t="s">
        <v>2821</v>
      </c>
      <c r="H870" s="8" t="s">
        <v>2822</v>
      </c>
      <c r="I870" s="4"/>
      <c r="J870" s="5" t="s">
        <v>20</v>
      </c>
      <c r="K870" s="6"/>
      <c r="L870" s="5"/>
      <c r="M870" s="5"/>
      <c r="N870" s="6"/>
      <c r="O870" s="7"/>
      <c r="P870" s="8" t="s">
        <v>21</v>
      </c>
      <c r="Q870" s="8" t="s">
        <v>22</v>
      </c>
    </row>
    <row r="871" customFormat="false" ht="15" hidden="false" customHeight="false" outlineLevel="0" collapsed="false">
      <c r="A871" s="2" t="n">
        <v>870</v>
      </c>
      <c r="B871" s="3" t="s">
        <v>2823</v>
      </c>
      <c r="C871" s="3"/>
      <c r="D871" s="4"/>
      <c r="E871" s="3"/>
      <c r="F871" s="3" t="s">
        <v>19</v>
      </c>
      <c r="G871" s="3"/>
      <c r="H871" s="8" t="s">
        <v>2824</v>
      </c>
      <c r="I871" s="4"/>
      <c r="J871" s="5" t="s">
        <v>20</v>
      </c>
      <c r="K871" s="6"/>
      <c r="L871" s="5"/>
      <c r="M871" s="5"/>
      <c r="N871" s="6"/>
      <c r="O871" s="7"/>
      <c r="P871" s="8" t="s">
        <v>21</v>
      </c>
      <c r="Q871" s="8" t="s">
        <v>22</v>
      </c>
    </row>
    <row r="872" customFormat="false" ht="23.85" hidden="false" customHeight="false" outlineLevel="0" collapsed="false">
      <c r="A872" s="2" t="n">
        <v>871</v>
      </c>
      <c r="B872" s="3" t="s">
        <v>2825</v>
      </c>
      <c r="C872" s="3"/>
      <c r="D872" s="4"/>
      <c r="E872" s="3"/>
      <c r="F872" s="3" t="s">
        <v>19</v>
      </c>
      <c r="G872" s="3"/>
      <c r="H872" s="3"/>
      <c r="I872" s="4" t="s">
        <v>2826</v>
      </c>
      <c r="J872" s="5" t="s">
        <v>20</v>
      </c>
      <c r="K872" s="6"/>
      <c r="L872" s="5"/>
      <c r="M872" s="5"/>
      <c r="N872" s="6"/>
      <c r="O872" s="7"/>
      <c r="P872" s="8" t="s">
        <v>21</v>
      </c>
      <c r="Q872" s="8" t="s">
        <v>22</v>
      </c>
    </row>
    <row r="873" customFormat="false" ht="15" hidden="false" customHeight="false" outlineLevel="0" collapsed="false">
      <c r="A873" s="2" t="n">
        <v>872</v>
      </c>
      <c r="B873" s="3" t="s">
        <v>2827</v>
      </c>
      <c r="C873" s="3" t="s">
        <v>430</v>
      </c>
      <c r="D873" s="4"/>
      <c r="E873" s="3"/>
      <c r="F873" s="3" t="s">
        <v>19</v>
      </c>
      <c r="G873" s="3"/>
      <c r="H873" s="3"/>
      <c r="I873" s="4" t="s">
        <v>2828</v>
      </c>
      <c r="J873" s="5" t="s">
        <v>20</v>
      </c>
      <c r="K873" s="6"/>
      <c r="L873" s="5"/>
      <c r="M873" s="5"/>
      <c r="N873" s="6"/>
      <c r="O873" s="7"/>
      <c r="P873" s="8" t="s">
        <v>21</v>
      </c>
      <c r="Q873" s="8" t="s">
        <v>22</v>
      </c>
    </row>
    <row r="874" customFormat="false" ht="15" hidden="false" customHeight="false" outlineLevel="0" collapsed="false">
      <c r="A874" s="2" t="n">
        <v>873</v>
      </c>
      <c r="B874" s="3" t="s">
        <v>2829</v>
      </c>
      <c r="C874" s="3"/>
      <c r="D874" s="4"/>
      <c r="E874" s="3"/>
      <c r="F874" s="3" t="s">
        <v>19</v>
      </c>
      <c r="G874" s="3" t="s">
        <v>2830</v>
      </c>
      <c r="H874" s="3"/>
      <c r="I874" s="4" t="s">
        <v>2831</v>
      </c>
      <c r="J874" s="5" t="s">
        <v>20</v>
      </c>
      <c r="K874" s="6"/>
      <c r="L874" s="5"/>
      <c r="M874" s="5"/>
      <c r="N874" s="6"/>
      <c r="O874" s="7"/>
      <c r="P874" s="8" t="s">
        <v>21</v>
      </c>
      <c r="Q874" s="8" t="s">
        <v>22</v>
      </c>
    </row>
    <row r="875" customFormat="false" ht="15" hidden="false" customHeight="false" outlineLevel="0" collapsed="false">
      <c r="A875" s="2" t="n">
        <v>874</v>
      </c>
      <c r="B875" s="3" t="s">
        <v>2832</v>
      </c>
      <c r="C875" s="3"/>
      <c r="D875" s="4" t="s">
        <v>2833</v>
      </c>
      <c r="E875" s="3"/>
      <c r="F875" s="3" t="s">
        <v>19</v>
      </c>
      <c r="G875" s="3"/>
      <c r="H875" s="3"/>
      <c r="I875" s="4"/>
      <c r="J875" s="5" t="s">
        <v>20</v>
      </c>
      <c r="K875" s="6"/>
      <c r="L875" s="5"/>
      <c r="M875" s="5"/>
      <c r="N875" s="6"/>
      <c r="O875" s="7"/>
      <c r="P875" s="8" t="s">
        <v>21</v>
      </c>
      <c r="Q875" s="8" t="s">
        <v>22</v>
      </c>
    </row>
    <row r="876" customFormat="false" ht="15" hidden="false" customHeight="false" outlineLevel="0" collapsed="false">
      <c r="A876" s="2" t="n">
        <v>875</v>
      </c>
      <c r="B876" s="3" t="s">
        <v>2834</v>
      </c>
      <c r="C876" s="3" t="s">
        <v>2835</v>
      </c>
      <c r="D876" s="4"/>
      <c r="E876" s="3"/>
      <c r="F876" s="3" t="s">
        <v>19</v>
      </c>
      <c r="G876" s="3" t="s">
        <v>2836</v>
      </c>
      <c r="H876" s="8" t="s">
        <v>2837</v>
      </c>
      <c r="I876" s="4" t="s">
        <v>2336</v>
      </c>
      <c r="J876" s="5" t="s">
        <v>20</v>
      </c>
      <c r="K876" s="6"/>
      <c r="L876" s="5"/>
      <c r="M876" s="5"/>
      <c r="N876" s="6"/>
      <c r="O876" s="7"/>
      <c r="P876" s="8" t="s">
        <v>21</v>
      </c>
      <c r="Q876" s="8" t="s">
        <v>22</v>
      </c>
    </row>
    <row r="877" customFormat="false" ht="23.85" hidden="false" customHeight="false" outlineLevel="0" collapsed="false">
      <c r="A877" s="2" t="n">
        <v>876</v>
      </c>
      <c r="B877" s="3" t="s">
        <v>2838</v>
      </c>
      <c r="C877" s="3" t="s">
        <v>1086</v>
      </c>
      <c r="D877" s="4" t="s">
        <v>2839</v>
      </c>
      <c r="E877" s="3" t="s">
        <v>57</v>
      </c>
      <c r="F877" s="3" t="s">
        <v>19</v>
      </c>
      <c r="G877" s="3" t="s">
        <v>2840</v>
      </c>
      <c r="H877" s="3"/>
      <c r="I877" s="4" t="s">
        <v>2841</v>
      </c>
      <c r="J877" s="5" t="s">
        <v>20</v>
      </c>
      <c r="K877" s="6"/>
      <c r="L877" s="5"/>
      <c r="M877" s="5"/>
      <c r="N877" s="6"/>
      <c r="O877" s="7"/>
      <c r="P877" s="8" t="s">
        <v>21</v>
      </c>
      <c r="Q877" s="8" t="s">
        <v>22</v>
      </c>
    </row>
    <row r="878" customFormat="false" ht="15" hidden="false" customHeight="false" outlineLevel="0" collapsed="false">
      <c r="A878" s="2" t="n">
        <v>877</v>
      </c>
      <c r="B878" s="3" t="s">
        <v>2842</v>
      </c>
      <c r="C878" s="3" t="s">
        <v>2843</v>
      </c>
      <c r="D878" s="4" t="s">
        <v>2844</v>
      </c>
      <c r="E878" s="3" t="s">
        <v>579</v>
      </c>
      <c r="F878" s="3" t="s">
        <v>19</v>
      </c>
      <c r="G878" s="3" t="s">
        <v>2845</v>
      </c>
      <c r="H878" s="3"/>
      <c r="I878" s="4" t="s">
        <v>2846</v>
      </c>
      <c r="J878" s="5" t="s">
        <v>20</v>
      </c>
      <c r="K878" s="6"/>
      <c r="L878" s="5"/>
      <c r="M878" s="5"/>
      <c r="N878" s="6"/>
      <c r="O878" s="7"/>
      <c r="P878" s="8" t="s">
        <v>21</v>
      </c>
      <c r="Q878" s="8" t="s">
        <v>22</v>
      </c>
    </row>
    <row r="879" customFormat="false" ht="15" hidden="false" customHeight="false" outlineLevel="0" collapsed="false">
      <c r="A879" s="2" t="n">
        <v>878</v>
      </c>
      <c r="B879" s="3" t="s">
        <v>2847</v>
      </c>
      <c r="C879" s="3"/>
      <c r="D879" s="4"/>
      <c r="E879" s="3"/>
      <c r="F879" s="3" t="s">
        <v>19</v>
      </c>
      <c r="G879" s="3" t="s">
        <v>2848</v>
      </c>
      <c r="H879" s="8" t="s">
        <v>2849</v>
      </c>
      <c r="I879" s="4"/>
      <c r="J879" s="5" t="s">
        <v>20</v>
      </c>
      <c r="K879" s="6"/>
      <c r="L879" s="5"/>
      <c r="M879" s="5"/>
      <c r="N879" s="6"/>
      <c r="O879" s="7"/>
      <c r="P879" s="8" t="s">
        <v>21</v>
      </c>
      <c r="Q879" s="8" t="s">
        <v>22</v>
      </c>
    </row>
    <row r="880" customFormat="false" ht="15" hidden="false" customHeight="false" outlineLevel="0" collapsed="false">
      <c r="A880" s="2" t="n">
        <v>879</v>
      </c>
      <c r="B880" s="3" t="s">
        <v>2850</v>
      </c>
      <c r="C880" s="3" t="s">
        <v>120</v>
      </c>
      <c r="D880" s="4"/>
      <c r="E880" s="3"/>
      <c r="F880" s="3" t="s">
        <v>19</v>
      </c>
      <c r="G880" s="3" t="s">
        <v>2851</v>
      </c>
      <c r="H880" s="8" t="s">
        <v>2852</v>
      </c>
      <c r="I880" s="4" t="s">
        <v>1406</v>
      </c>
      <c r="J880" s="5" t="s">
        <v>20</v>
      </c>
      <c r="K880" s="6"/>
      <c r="L880" s="5"/>
      <c r="M880" s="5"/>
      <c r="N880" s="6"/>
      <c r="O880" s="7"/>
      <c r="P880" s="8" t="s">
        <v>21</v>
      </c>
      <c r="Q880" s="8" t="s">
        <v>22</v>
      </c>
    </row>
    <row r="881" customFormat="false" ht="15" hidden="false" customHeight="false" outlineLevel="0" collapsed="false">
      <c r="A881" s="2" t="n">
        <v>880</v>
      </c>
      <c r="B881" s="3" t="s">
        <v>2853</v>
      </c>
      <c r="C881" s="3"/>
      <c r="D881" s="4"/>
      <c r="E881" s="3"/>
      <c r="F881" s="3" t="s">
        <v>19</v>
      </c>
      <c r="G881" s="3" t="s">
        <v>2854</v>
      </c>
      <c r="H881" s="8" t="s">
        <v>2855</v>
      </c>
      <c r="I881" s="4" t="s">
        <v>2856</v>
      </c>
      <c r="J881" s="5" t="s">
        <v>20</v>
      </c>
      <c r="K881" s="6"/>
      <c r="L881" s="5"/>
      <c r="M881" s="5"/>
      <c r="N881" s="6"/>
      <c r="O881" s="7"/>
      <c r="P881" s="8" t="s">
        <v>21</v>
      </c>
      <c r="Q881" s="8" t="s">
        <v>22</v>
      </c>
    </row>
    <row r="882" customFormat="false" ht="15" hidden="false" customHeight="false" outlineLevel="0" collapsed="false">
      <c r="A882" s="2" t="n">
        <v>881</v>
      </c>
      <c r="B882" s="3" t="s">
        <v>2857</v>
      </c>
      <c r="C882" s="3"/>
      <c r="D882" s="4"/>
      <c r="E882" s="3"/>
      <c r="F882" s="3" t="s">
        <v>19</v>
      </c>
      <c r="G882" s="3"/>
      <c r="H882" s="3"/>
      <c r="I882" s="4"/>
      <c r="J882" s="5" t="s">
        <v>20</v>
      </c>
      <c r="K882" s="6"/>
      <c r="L882" s="5"/>
      <c r="M882" s="5"/>
      <c r="N882" s="6"/>
      <c r="O882" s="7"/>
      <c r="P882" s="8" t="s">
        <v>21</v>
      </c>
      <c r="Q882" s="8" t="s">
        <v>22</v>
      </c>
    </row>
    <row r="883" customFormat="false" ht="15" hidden="false" customHeight="false" outlineLevel="0" collapsed="false">
      <c r="A883" s="2" t="n">
        <v>882</v>
      </c>
      <c r="B883" s="3" t="s">
        <v>2858</v>
      </c>
      <c r="C883" s="3"/>
      <c r="D883" s="4"/>
      <c r="E883" s="3"/>
      <c r="F883" s="3" t="s">
        <v>19</v>
      </c>
      <c r="G883" s="3"/>
      <c r="H883" s="3"/>
      <c r="I883" s="4"/>
      <c r="J883" s="5" t="s">
        <v>20</v>
      </c>
      <c r="K883" s="6"/>
      <c r="L883" s="5"/>
      <c r="M883" s="5"/>
      <c r="N883" s="6"/>
      <c r="O883" s="7"/>
      <c r="P883" s="8" t="s">
        <v>21</v>
      </c>
      <c r="Q883" s="8" t="s">
        <v>22</v>
      </c>
    </row>
    <row r="884" customFormat="false" ht="15" hidden="false" customHeight="false" outlineLevel="0" collapsed="false">
      <c r="A884" s="2" t="n">
        <v>883</v>
      </c>
      <c r="B884" s="3" t="s">
        <v>2859</v>
      </c>
      <c r="C884" s="3" t="s">
        <v>2860</v>
      </c>
      <c r="D884" s="4"/>
      <c r="E884" s="3"/>
      <c r="F884" s="3" t="s">
        <v>19</v>
      </c>
      <c r="G884" s="3" t="s">
        <v>2861</v>
      </c>
      <c r="H884" s="8" t="s">
        <v>2862</v>
      </c>
      <c r="I884" s="4" t="s">
        <v>310</v>
      </c>
      <c r="J884" s="5" t="s">
        <v>20</v>
      </c>
      <c r="K884" s="6"/>
      <c r="L884" s="5"/>
      <c r="M884" s="5"/>
      <c r="N884" s="6"/>
      <c r="O884" s="7"/>
      <c r="P884" s="8" t="s">
        <v>21</v>
      </c>
      <c r="Q884" s="8" t="s">
        <v>22</v>
      </c>
    </row>
    <row r="885" customFormat="false" ht="15" hidden="false" customHeight="false" outlineLevel="0" collapsed="false">
      <c r="A885" s="2" t="n">
        <v>884</v>
      </c>
      <c r="B885" s="3" t="s">
        <v>2863</v>
      </c>
      <c r="C885" s="3" t="s">
        <v>116</v>
      </c>
      <c r="D885" s="4"/>
      <c r="E885" s="3"/>
      <c r="F885" s="3" t="s">
        <v>19</v>
      </c>
      <c r="G885" s="3" t="s">
        <v>2864</v>
      </c>
      <c r="H885" s="8" t="s">
        <v>2865</v>
      </c>
      <c r="I885" s="4" t="s">
        <v>2866</v>
      </c>
      <c r="J885" s="5" t="s">
        <v>20</v>
      </c>
      <c r="K885" s="6"/>
      <c r="L885" s="5"/>
      <c r="M885" s="5"/>
      <c r="N885" s="6"/>
      <c r="O885" s="7"/>
      <c r="P885" s="8" t="s">
        <v>21</v>
      </c>
      <c r="Q885" s="8" t="s">
        <v>22</v>
      </c>
    </row>
    <row r="886" customFormat="false" ht="15" hidden="false" customHeight="false" outlineLevel="0" collapsed="false">
      <c r="A886" s="2" t="n">
        <v>885</v>
      </c>
      <c r="B886" s="3" t="s">
        <v>2867</v>
      </c>
      <c r="C886" s="3" t="s">
        <v>153</v>
      </c>
      <c r="D886" s="4" t="s">
        <v>2868</v>
      </c>
      <c r="E886" s="3" t="s">
        <v>2549</v>
      </c>
      <c r="F886" s="3" t="s">
        <v>2869</v>
      </c>
      <c r="G886" s="3" t="s">
        <v>2870</v>
      </c>
      <c r="H886" s="8" t="s">
        <v>2871</v>
      </c>
      <c r="I886" s="4" t="s">
        <v>2872</v>
      </c>
      <c r="J886" s="5" t="s">
        <v>20</v>
      </c>
      <c r="K886" s="6"/>
      <c r="L886" s="5"/>
      <c r="M886" s="5"/>
      <c r="N886" s="6"/>
      <c r="O886" s="7"/>
      <c r="P886" s="8" t="s">
        <v>21</v>
      </c>
      <c r="Q886" s="8" t="s">
        <v>22</v>
      </c>
    </row>
    <row r="887" customFormat="false" ht="15" hidden="false" customHeight="false" outlineLevel="0" collapsed="false">
      <c r="A887" s="2" t="n">
        <v>886</v>
      </c>
      <c r="B887" s="3" t="s">
        <v>2873</v>
      </c>
      <c r="C887" s="3"/>
      <c r="D887" s="4"/>
      <c r="E887" s="3"/>
      <c r="F887" s="3" t="s">
        <v>2869</v>
      </c>
      <c r="G887" s="3"/>
      <c r="H887" s="3"/>
      <c r="I887" s="4"/>
      <c r="J887" s="5" t="s">
        <v>20</v>
      </c>
      <c r="K887" s="6"/>
      <c r="L887" s="5"/>
      <c r="M887" s="5"/>
      <c r="N887" s="6"/>
      <c r="O887" s="7"/>
      <c r="P887" s="8" t="s">
        <v>21</v>
      </c>
      <c r="Q887" s="8" t="s">
        <v>22</v>
      </c>
    </row>
    <row r="888" customFormat="false" ht="15" hidden="false" customHeight="false" outlineLevel="0" collapsed="false">
      <c r="A888" s="2" t="n">
        <v>887</v>
      </c>
      <c r="B888" s="3" t="s">
        <v>2874</v>
      </c>
      <c r="C888" s="3"/>
      <c r="D888" s="4" t="s">
        <v>2875</v>
      </c>
      <c r="E888" s="3"/>
      <c r="F888" s="3" t="s">
        <v>2869</v>
      </c>
      <c r="G888" s="3"/>
      <c r="H888" s="3"/>
      <c r="I888" s="4"/>
      <c r="J888" s="5" t="s">
        <v>20</v>
      </c>
      <c r="K888" s="6"/>
      <c r="L888" s="5"/>
      <c r="M888" s="5"/>
      <c r="N888" s="6"/>
      <c r="O888" s="7"/>
      <c r="P888" s="8" t="s">
        <v>21</v>
      </c>
      <c r="Q888" s="8" t="s">
        <v>22</v>
      </c>
    </row>
    <row r="889" customFormat="false" ht="15" hidden="false" customHeight="false" outlineLevel="0" collapsed="false">
      <c r="A889" s="2" t="n">
        <v>888</v>
      </c>
      <c r="B889" s="3" t="s">
        <v>2876</v>
      </c>
      <c r="C889" s="3"/>
      <c r="D889" s="4"/>
      <c r="E889" s="3"/>
      <c r="F889" s="3" t="s">
        <v>2869</v>
      </c>
      <c r="G889" s="3" t="s">
        <v>2877</v>
      </c>
      <c r="H889" s="8" t="s">
        <v>2878</v>
      </c>
      <c r="I889" s="4" t="s">
        <v>2879</v>
      </c>
      <c r="J889" s="5" t="s">
        <v>20</v>
      </c>
      <c r="K889" s="6"/>
      <c r="L889" s="5"/>
      <c r="M889" s="5"/>
      <c r="N889" s="6"/>
      <c r="O889" s="7"/>
      <c r="P889" s="8" t="s">
        <v>21</v>
      </c>
      <c r="Q889" s="8" t="s">
        <v>22</v>
      </c>
    </row>
    <row r="890" customFormat="false" ht="15" hidden="false" customHeight="false" outlineLevel="0" collapsed="false">
      <c r="A890" s="2" t="n">
        <v>889</v>
      </c>
      <c r="B890" s="3" t="s">
        <v>2880</v>
      </c>
      <c r="C890" s="3"/>
      <c r="D890" s="4"/>
      <c r="E890" s="3"/>
      <c r="F890" s="3" t="s">
        <v>2869</v>
      </c>
      <c r="G890" s="3"/>
      <c r="H890" s="3"/>
      <c r="I890" s="4"/>
      <c r="J890" s="5" t="s">
        <v>20</v>
      </c>
      <c r="K890" s="6"/>
      <c r="L890" s="5"/>
      <c r="M890" s="5"/>
      <c r="N890" s="6"/>
      <c r="O890" s="7"/>
      <c r="P890" s="8" t="s">
        <v>21</v>
      </c>
      <c r="Q890" s="8" t="s">
        <v>22</v>
      </c>
    </row>
    <row r="891" customFormat="false" ht="15" hidden="false" customHeight="false" outlineLevel="0" collapsed="false">
      <c r="A891" s="2" t="n">
        <v>890</v>
      </c>
      <c r="B891" s="3" t="s">
        <v>2881</v>
      </c>
      <c r="C891" s="3"/>
      <c r="D891" s="4"/>
      <c r="E891" s="3"/>
      <c r="F891" s="3" t="s">
        <v>2869</v>
      </c>
      <c r="G891" s="3"/>
      <c r="H891" s="3"/>
      <c r="I891" s="4" t="s">
        <v>2882</v>
      </c>
      <c r="J891" s="5" t="s">
        <v>20</v>
      </c>
      <c r="K891" s="6"/>
      <c r="L891" s="5"/>
      <c r="M891" s="5"/>
      <c r="N891" s="6"/>
      <c r="O891" s="7"/>
      <c r="P891" s="8" t="s">
        <v>21</v>
      </c>
      <c r="Q891" s="8" t="s">
        <v>22</v>
      </c>
    </row>
    <row r="892" customFormat="false" ht="15" hidden="false" customHeight="false" outlineLevel="0" collapsed="false">
      <c r="A892" s="2" t="n">
        <v>891</v>
      </c>
      <c r="B892" s="3" t="s">
        <v>2883</v>
      </c>
      <c r="C892" s="3"/>
      <c r="D892" s="4"/>
      <c r="E892" s="3"/>
      <c r="F892" s="3" t="s">
        <v>2869</v>
      </c>
      <c r="G892" s="3"/>
      <c r="H892" s="3"/>
      <c r="I892" s="4"/>
      <c r="J892" s="5" t="s">
        <v>20</v>
      </c>
      <c r="K892" s="6"/>
      <c r="L892" s="5"/>
      <c r="M892" s="5"/>
      <c r="N892" s="6"/>
      <c r="O892" s="7"/>
      <c r="P892" s="8" t="s">
        <v>21</v>
      </c>
      <c r="Q892" s="8" t="s">
        <v>22</v>
      </c>
    </row>
    <row r="893" customFormat="false" ht="15" hidden="false" customHeight="false" outlineLevel="0" collapsed="false">
      <c r="A893" s="2" t="n">
        <v>892</v>
      </c>
      <c r="B893" s="3" t="s">
        <v>2884</v>
      </c>
      <c r="C893" s="3"/>
      <c r="D893" s="4"/>
      <c r="E893" s="3"/>
      <c r="F893" s="3" t="s">
        <v>2869</v>
      </c>
      <c r="G893" s="3"/>
      <c r="H893" s="3"/>
      <c r="I893" s="4"/>
      <c r="J893" s="5" t="s">
        <v>20</v>
      </c>
      <c r="K893" s="6"/>
      <c r="L893" s="5"/>
      <c r="M893" s="5"/>
      <c r="N893" s="6"/>
      <c r="O893" s="7"/>
      <c r="P893" s="8" t="s">
        <v>21</v>
      </c>
      <c r="Q893" s="8" t="s">
        <v>22</v>
      </c>
    </row>
    <row r="894" customFormat="false" ht="15" hidden="false" customHeight="false" outlineLevel="0" collapsed="false">
      <c r="A894" s="2" t="n">
        <v>893</v>
      </c>
      <c r="B894" s="3" t="s">
        <v>2885</v>
      </c>
      <c r="C894" s="3" t="s">
        <v>2886</v>
      </c>
      <c r="D894" s="4" t="s">
        <v>2887</v>
      </c>
      <c r="E894" s="3" t="s">
        <v>2549</v>
      </c>
      <c r="F894" s="3" t="s">
        <v>2869</v>
      </c>
      <c r="G894" s="3"/>
      <c r="H894" s="3"/>
      <c r="I894" s="4" t="s">
        <v>2888</v>
      </c>
      <c r="J894" s="5" t="s">
        <v>20</v>
      </c>
      <c r="K894" s="6"/>
      <c r="L894" s="5"/>
      <c r="M894" s="5"/>
      <c r="N894" s="6"/>
      <c r="O894" s="7"/>
      <c r="P894" s="8" t="s">
        <v>21</v>
      </c>
      <c r="Q894" s="8" t="s">
        <v>22</v>
      </c>
    </row>
    <row r="895" customFormat="false" ht="15" hidden="false" customHeight="false" outlineLevel="0" collapsed="false">
      <c r="A895" s="2" t="n">
        <v>894</v>
      </c>
      <c r="B895" s="3" t="s">
        <v>2889</v>
      </c>
      <c r="C895" s="3" t="s">
        <v>120</v>
      </c>
      <c r="D895" s="4" t="s">
        <v>2890</v>
      </c>
      <c r="E895" s="3"/>
      <c r="F895" s="3" t="s">
        <v>2869</v>
      </c>
      <c r="G895" s="3"/>
      <c r="H895" s="3"/>
      <c r="I895" s="4" t="s">
        <v>570</v>
      </c>
      <c r="J895" s="5" t="s">
        <v>20</v>
      </c>
      <c r="K895" s="6"/>
      <c r="L895" s="5"/>
      <c r="M895" s="5"/>
      <c r="N895" s="6"/>
      <c r="O895" s="7"/>
      <c r="P895" s="8" t="s">
        <v>21</v>
      </c>
      <c r="Q895" s="8" t="s">
        <v>22</v>
      </c>
    </row>
    <row r="896" customFormat="false" ht="15" hidden="false" customHeight="false" outlineLevel="0" collapsed="false">
      <c r="A896" s="2" t="n">
        <v>895</v>
      </c>
      <c r="B896" s="3" t="s">
        <v>2891</v>
      </c>
      <c r="C896" s="3" t="s">
        <v>428</v>
      </c>
      <c r="D896" s="4"/>
      <c r="E896" s="3"/>
      <c r="F896" s="3" t="s">
        <v>2869</v>
      </c>
      <c r="G896" s="3"/>
      <c r="H896" s="8" t="s">
        <v>2892</v>
      </c>
      <c r="I896" s="4"/>
      <c r="J896" s="5" t="s">
        <v>20</v>
      </c>
      <c r="K896" s="6"/>
      <c r="L896" s="5"/>
      <c r="M896" s="5"/>
      <c r="N896" s="6"/>
      <c r="O896" s="7"/>
      <c r="P896" s="8" t="s">
        <v>21</v>
      </c>
      <c r="Q896" s="8" t="s">
        <v>22</v>
      </c>
    </row>
    <row r="897" customFormat="false" ht="15" hidden="false" customHeight="false" outlineLevel="0" collapsed="false">
      <c r="A897" s="2" t="n">
        <v>896</v>
      </c>
      <c r="B897" s="3" t="s">
        <v>2893</v>
      </c>
      <c r="C897" s="3" t="s">
        <v>2894</v>
      </c>
      <c r="D897" s="4" t="s">
        <v>2895</v>
      </c>
      <c r="E897" s="3"/>
      <c r="F897" s="3" t="s">
        <v>2869</v>
      </c>
      <c r="G897" s="3" t="s">
        <v>2896</v>
      </c>
      <c r="H897" s="8" t="s">
        <v>2897</v>
      </c>
      <c r="I897" s="4"/>
      <c r="J897" s="5" t="s">
        <v>20</v>
      </c>
      <c r="K897" s="6"/>
      <c r="L897" s="5"/>
      <c r="M897" s="5"/>
      <c r="N897" s="6"/>
      <c r="O897" s="7"/>
      <c r="P897" s="8" t="s">
        <v>21</v>
      </c>
      <c r="Q897" s="8" t="s">
        <v>22</v>
      </c>
    </row>
    <row r="898" customFormat="false" ht="15" hidden="false" customHeight="false" outlineLevel="0" collapsed="false">
      <c r="A898" s="2" t="n">
        <v>897</v>
      </c>
      <c r="B898" s="3" t="s">
        <v>2898</v>
      </c>
      <c r="C898" s="3" t="s">
        <v>601</v>
      </c>
      <c r="D898" s="4"/>
      <c r="E898" s="3"/>
      <c r="F898" s="3" t="s">
        <v>2869</v>
      </c>
      <c r="G898" s="3"/>
      <c r="H898" s="3"/>
      <c r="I898" s="4"/>
      <c r="J898" s="5" t="s">
        <v>20</v>
      </c>
      <c r="K898" s="6"/>
      <c r="L898" s="5"/>
      <c r="M898" s="5"/>
      <c r="N898" s="6"/>
      <c r="O898" s="7"/>
      <c r="P898" s="8" t="s">
        <v>21</v>
      </c>
      <c r="Q898" s="8" t="s">
        <v>22</v>
      </c>
    </row>
    <row r="899" customFormat="false" ht="15" hidden="false" customHeight="false" outlineLevel="0" collapsed="false">
      <c r="A899" s="2" t="n">
        <v>898</v>
      </c>
      <c r="B899" s="3" t="s">
        <v>2899</v>
      </c>
      <c r="C899" s="3" t="s">
        <v>24</v>
      </c>
      <c r="D899" s="4"/>
      <c r="E899" s="3"/>
      <c r="F899" s="3" t="s">
        <v>2869</v>
      </c>
      <c r="G899" s="3" t="s">
        <v>2900</v>
      </c>
      <c r="H899" s="3"/>
      <c r="I899" s="4"/>
      <c r="J899" s="5" t="s">
        <v>20</v>
      </c>
      <c r="K899" s="6"/>
      <c r="L899" s="5"/>
      <c r="M899" s="5"/>
      <c r="N899" s="6"/>
      <c r="O899" s="7"/>
      <c r="P899" s="8" t="s">
        <v>21</v>
      </c>
      <c r="Q899" s="8" t="s">
        <v>22</v>
      </c>
    </row>
    <row r="900" customFormat="false" ht="15" hidden="false" customHeight="false" outlineLevel="0" collapsed="false">
      <c r="A900" s="2" t="n">
        <v>899</v>
      </c>
      <c r="B900" s="3" t="s">
        <v>2901</v>
      </c>
      <c r="C900" s="3"/>
      <c r="D900" s="4"/>
      <c r="E900" s="3"/>
      <c r="F900" s="3" t="s">
        <v>2869</v>
      </c>
      <c r="G900" s="3" t="s">
        <v>2902</v>
      </c>
      <c r="H900" s="8" t="s">
        <v>2903</v>
      </c>
      <c r="I900" s="4" t="s">
        <v>2904</v>
      </c>
      <c r="J900" s="5" t="s">
        <v>20</v>
      </c>
      <c r="K900" s="6"/>
      <c r="L900" s="5"/>
      <c r="M900" s="5"/>
      <c r="N900" s="6"/>
      <c r="O900" s="7"/>
      <c r="P900" s="8" t="s">
        <v>21</v>
      </c>
      <c r="Q900" s="8" t="s">
        <v>22</v>
      </c>
    </row>
    <row r="901" customFormat="false" ht="15" hidden="false" customHeight="false" outlineLevel="0" collapsed="false">
      <c r="A901" s="2" t="n">
        <v>900</v>
      </c>
      <c r="B901" s="3" t="s">
        <v>2905</v>
      </c>
      <c r="C901" s="3"/>
      <c r="D901" s="4"/>
      <c r="E901" s="3"/>
      <c r="F901" s="3" t="s">
        <v>2869</v>
      </c>
      <c r="G901" s="3"/>
      <c r="H901" s="3"/>
      <c r="I901" s="4"/>
      <c r="J901" s="5" t="s">
        <v>20</v>
      </c>
      <c r="K901" s="6"/>
      <c r="L901" s="5"/>
      <c r="M901" s="5"/>
      <c r="N901" s="6"/>
      <c r="O901" s="7"/>
      <c r="P901" s="8" t="s">
        <v>21</v>
      </c>
      <c r="Q901" s="8" t="s">
        <v>22</v>
      </c>
    </row>
    <row r="902" customFormat="false" ht="15" hidden="false" customHeight="false" outlineLevel="0" collapsed="false">
      <c r="A902" s="2" t="n">
        <v>901</v>
      </c>
      <c r="B902" s="3" t="s">
        <v>2906</v>
      </c>
      <c r="C902" s="3" t="s">
        <v>126</v>
      </c>
      <c r="D902" s="4" t="s">
        <v>2907</v>
      </c>
      <c r="E902" s="3" t="s">
        <v>2549</v>
      </c>
      <c r="F902" s="3" t="s">
        <v>2869</v>
      </c>
      <c r="G902" s="3" t="s">
        <v>2908</v>
      </c>
      <c r="H902" s="8" t="s">
        <v>2909</v>
      </c>
      <c r="I902" s="4" t="s">
        <v>2910</v>
      </c>
      <c r="J902" s="5" t="s">
        <v>20</v>
      </c>
      <c r="K902" s="6"/>
      <c r="L902" s="5"/>
      <c r="M902" s="5"/>
      <c r="N902" s="6"/>
      <c r="O902" s="7"/>
      <c r="P902" s="8" t="s">
        <v>21</v>
      </c>
      <c r="Q902" s="8" t="s">
        <v>22</v>
      </c>
    </row>
    <row r="903" customFormat="false" ht="15" hidden="false" customHeight="false" outlineLevel="0" collapsed="false">
      <c r="A903" s="2" t="n">
        <v>902</v>
      </c>
      <c r="B903" s="3" t="s">
        <v>2911</v>
      </c>
      <c r="C903" s="3"/>
      <c r="D903" s="4"/>
      <c r="E903" s="3"/>
      <c r="F903" s="3" t="s">
        <v>2869</v>
      </c>
      <c r="G903" s="3"/>
      <c r="H903" s="3"/>
      <c r="I903" s="4"/>
      <c r="J903" s="5" t="s">
        <v>20</v>
      </c>
      <c r="K903" s="6"/>
      <c r="L903" s="5"/>
      <c r="M903" s="5"/>
      <c r="N903" s="6"/>
      <c r="O903" s="7"/>
      <c r="P903" s="8" t="s">
        <v>21</v>
      </c>
      <c r="Q903" s="8" t="s">
        <v>22</v>
      </c>
    </row>
    <row r="904" customFormat="false" ht="15" hidden="false" customHeight="false" outlineLevel="0" collapsed="false">
      <c r="A904" s="2" t="n">
        <v>903</v>
      </c>
      <c r="B904" s="3" t="s">
        <v>2912</v>
      </c>
      <c r="C904" s="3" t="s">
        <v>120</v>
      </c>
      <c r="D904" s="4"/>
      <c r="E904" s="3"/>
      <c r="F904" s="3" t="s">
        <v>2869</v>
      </c>
      <c r="G904" s="3" t="s">
        <v>2913</v>
      </c>
      <c r="H904" s="3"/>
      <c r="I904" s="4" t="s">
        <v>2914</v>
      </c>
      <c r="J904" s="5" t="s">
        <v>20</v>
      </c>
      <c r="K904" s="6"/>
      <c r="L904" s="5"/>
      <c r="M904" s="5"/>
      <c r="N904" s="6"/>
      <c r="O904" s="7"/>
      <c r="P904" s="8" t="s">
        <v>21</v>
      </c>
      <c r="Q904" s="8" t="s">
        <v>22</v>
      </c>
    </row>
    <row r="905" customFormat="false" ht="15" hidden="false" customHeight="false" outlineLevel="0" collapsed="false">
      <c r="A905" s="2" t="n">
        <v>904</v>
      </c>
      <c r="B905" s="3" t="s">
        <v>2915</v>
      </c>
      <c r="C905" s="3"/>
      <c r="D905" s="4"/>
      <c r="E905" s="3"/>
      <c r="F905" s="3" t="s">
        <v>2869</v>
      </c>
      <c r="G905" s="3"/>
      <c r="H905" s="3"/>
      <c r="I905" s="4"/>
      <c r="J905" s="5" t="s">
        <v>20</v>
      </c>
      <c r="K905" s="6"/>
      <c r="L905" s="5"/>
      <c r="M905" s="5"/>
      <c r="N905" s="6"/>
      <c r="O905" s="7"/>
      <c r="P905" s="8" t="s">
        <v>21</v>
      </c>
      <c r="Q905" s="8" t="s">
        <v>22</v>
      </c>
    </row>
    <row r="906" customFormat="false" ht="15" hidden="false" customHeight="false" outlineLevel="0" collapsed="false">
      <c r="A906" s="2" t="n">
        <v>905</v>
      </c>
      <c r="B906" s="3" t="s">
        <v>2916</v>
      </c>
      <c r="C906" s="3"/>
      <c r="D906" s="4" t="s">
        <v>2917</v>
      </c>
      <c r="E906" s="3" t="s">
        <v>2549</v>
      </c>
      <c r="F906" s="3" t="s">
        <v>2869</v>
      </c>
      <c r="G906" s="3" t="s">
        <v>2918</v>
      </c>
      <c r="H906" s="3"/>
      <c r="I906" s="4" t="s">
        <v>2919</v>
      </c>
      <c r="J906" s="5" t="s">
        <v>20</v>
      </c>
      <c r="K906" s="6"/>
      <c r="L906" s="5"/>
      <c r="M906" s="5"/>
      <c r="N906" s="6"/>
      <c r="O906" s="7"/>
      <c r="P906" s="8" t="s">
        <v>21</v>
      </c>
      <c r="Q906" s="8" t="s">
        <v>22</v>
      </c>
    </row>
    <row r="907" customFormat="false" ht="15" hidden="false" customHeight="false" outlineLevel="0" collapsed="false">
      <c r="A907" s="2" t="n">
        <v>906</v>
      </c>
      <c r="B907" s="3" t="s">
        <v>2920</v>
      </c>
      <c r="C907" s="3"/>
      <c r="D907" s="4" t="s">
        <v>2921</v>
      </c>
      <c r="E907" s="3" t="s">
        <v>2549</v>
      </c>
      <c r="F907" s="3" t="s">
        <v>2869</v>
      </c>
      <c r="G907" s="3"/>
      <c r="H907" s="3"/>
      <c r="I907" s="4"/>
      <c r="J907" s="5" t="s">
        <v>20</v>
      </c>
      <c r="K907" s="6"/>
      <c r="L907" s="5"/>
      <c r="M907" s="5"/>
      <c r="N907" s="6"/>
      <c r="O907" s="7"/>
      <c r="P907" s="8" t="s">
        <v>21</v>
      </c>
      <c r="Q907" s="8" t="s">
        <v>22</v>
      </c>
    </row>
    <row r="908" customFormat="false" ht="15" hidden="false" customHeight="false" outlineLevel="0" collapsed="false">
      <c r="A908" s="2" t="n">
        <v>907</v>
      </c>
      <c r="B908" s="3" t="s">
        <v>2922</v>
      </c>
      <c r="C908" s="3"/>
      <c r="D908" s="4" t="s">
        <v>2923</v>
      </c>
      <c r="E908" s="3"/>
      <c r="F908" s="3" t="s">
        <v>2869</v>
      </c>
      <c r="G908" s="3"/>
      <c r="H908" s="3"/>
      <c r="I908" s="4"/>
      <c r="J908" s="5" t="s">
        <v>20</v>
      </c>
      <c r="K908" s="6"/>
      <c r="L908" s="5"/>
      <c r="M908" s="5"/>
      <c r="N908" s="6"/>
      <c r="O908" s="7"/>
      <c r="P908" s="8" t="s">
        <v>21</v>
      </c>
      <c r="Q908" s="8" t="s">
        <v>22</v>
      </c>
    </row>
    <row r="909" customFormat="false" ht="15" hidden="false" customHeight="false" outlineLevel="0" collapsed="false">
      <c r="A909" s="2" t="n">
        <v>908</v>
      </c>
      <c r="B909" s="3" t="s">
        <v>2924</v>
      </c>
      <c r="C909" s="3" t="s">
        <v>120</v>
      </c>
      <c r="D909" s="4"/>
      <c r="E909" s="3"/>
      <c r="F909" s="3" t="s">
        <v>2869</v>
      </c>
      <c r="G909" s="3"/>
      <c r="H909" s="3"/>
      <c r="I909" s="4"/>
      <c r="J909" s="5" t="s">
        <v>20</v>
      </c>
      <c r="K909" s="6"/>
      <c r="L909" s="5"/>
      <c r="M909" s="5"/>
      <c r="N909" s="6"/>
      <c r="O909" s="7"/>
      <c r="P909" s="8" t="s">
        <v>21</v>
      </c>
      <c r="Q909" s="8" t="s">
        <v>22</v>
      </c>
    </row>
    <row r="910" customFormat="false" ht="15" hidden="false" customHeight="false" outlineLevel="0" collapsed="false">
      <c r="A910" s="2" t="n">
        <v>909</v>
      </c>
      <c r="B910" s="3" t="s">
        <v>2925</v>
      </c>
      <c r="C910" s="3" t="s">
        <v>89</v>
      </c>
      <c r="D910" s="4"/>
      <c r="E910" s="3"/>
      <c r="F910" s="3" t="s">
        <v>2869</v>
      </c>
      <c r="G910" s="3" t="s">
        <v>2926</v>
      </c>
      <c r="H910" s="3"/>
      <c r="I910" s="4"/>
      <c r="J910" s="5" t="s">
        <v>20</v>
      </c>
      <c r="K910" s="6"/>
      <c r="L910" s="5"/>
      <c r="M910" s="5"/>
      <c r="N910" s="6"/>
      <c r="O910" s="7"/>
      <c r="P910" s="8" t="s">
        <v>21</v>
      </c>
      <c r="Q910" s="8" t="s">
        <v>22</v>
      </c>
    </row>
    <row r="911" customFormat="false" ht="15" hidden="false" customHeight="false" outlineLevel="0" collapsed="false">
      <c r="A911" s="2" t="n">
        <v>910</v>
      </c>
      <c r="B911" s="3" t="s">
        <v>2927</v>
      </c>
      <c r="C911" s="3" t="s">
        <v>64</v>
      </c>
      <c r="D911" s="4"/>
      <c r="E911" s="3"/>
      <c r="F911" s="3" t="s">
        <v>2869</v>
      </c>
      <c r="G911" s="3" t="s">
        <v>2928</v>
      </c>
      <c r="H911" s="8" t="s">
        <v>2929</v>
      </c>
      <c r="I911" s="4" t="s">
        <v>2930</v>
      </c>
      <c r="J911" s="5" t="s">
        <v>20</v>
      </c>
      <c r="K911" s="6"/>
      <c r="L911" s="5"/>
      <c r="M911" s="5"/>
      <c r="N911" s="6"/>
      <c r="O911" s="7"/>
      <c r="P911" s="8" t="s">
        <v>21</v>
      </c>
      <c r="Q911" s="8" t="s">
        <v>22</v>
      </c>
    </row>
    <row r="912" customFormat="false" ht="15" hidden="false" customHeight="false" outlineLevel="0" collapsed="false">
      <c r="A912" s="2" t="n">
        <v>911</v>
      </c>
      <c r="B912" s="3" t="s">
        <v>2931</v>
      </c>
      <c r="C912" s="3"/>
      <c r="D912" s="4"/>
      <c r="E912" s="3"/>
      <c r="F912" s="3" t="s">
        <v>2869</v>
      </c>
      <c r="G912" s="3" t="s">
        <v>2932</v>
      </c>
      <c r="H912" s="3"/>
      <c r="I912" s="4"/>
      <c r="J912" s="5" t="s">
        <v>20</v>
      </c>
      <c r="K912" s="6"/>
      <c r="L912" s="5"/>
      <c r="M912" s="5"/>
      <c r="N912" s="6"/>
      <c r="O912" s="7"/>
      <c r="P912" s="8" t="s">
        <v>21</v>
      </c>
      <c r="Q912" s="8" t="s">
        <v>22</v>
      </c>
    </row>
    <row r="913" customFormat="false" ht="15" hidden="false" customHeight="false" outlineLevel="0" collapsed="false">
      <c r="A913" s="2" t="n">
        <v>912</v>
      </c>
      <c r="B913" s="3" t="s">
        <v>2933</v>
      </c>
      <c r="C913" s="3"/>
      <c r="D913" s="4" t="s">
        <v>2934</v>
      </c>
      <c r="E913" s="3" t="s">
        <v>2549</v>
      </c>
      <c r="F913" s="3" t="s">
        <v>2869</v>
      </c>
      <c r="G913" s="3" t="s">
        <v>2935</v>
      </c>
      <c r="H913" s="8" t="s">
        <v>2936</v>
      </c>
      <c r="I913" s="4" t="s">
        <v>310</v>
      </c>
      <c r="J913" s="5" t="s">
        <v>20</v>
      </c>
      <c r="K913" s="6"/>
      <c r="L913" s="5"/>
      <c r="M913" s="5"/>
      <c r="N913" s="6"/>
      <c r="O913" s="7"/>
      <c r="P913" s="8" t="s">
        <v>21</v>
      </c>
      <c r="Q913" s="8" t="s">
        <v>22</v>
      </c>
    </row>
    <row r="914" customFormat="false" ht="23.85" hidden="false" customHeight="false" outlineLevel="0" collapsed="false">
      <c r="A914" s="2" t="n">
        <v>913</v>
      </c>
      <c r="B914" s="3" t="s">
        <v>2937</v>
      </c>
      <c r="C914" s="3"/>
      <c r="D914" s="4" t="s">
        <v>2938</v>
      </c>
      <c r="E914" s="3" t="s">
        <v>2549</v>
      </c>
      <c r="F914" s="3" t="s">
        <v>2869</v>
      </c>
      <c r="G914" s="3" t="s">
        <v>2939</v>
      </c>
      <c r="H914" s="8" t="s">
        <v>2940</v>
      </c>
      <c r="I914" s="4" t="s">
        <v>2941</v>
      </c>
      <c r="J914" s="5" t="s">
        <v>20</v>
      </c>
      <c r="K914" s="6"/>
      <c r="L914" s="5"/>
      <c r="M914" s="5"/>
      <c r="N914" s="6"/>
      <c r="O914" s="7"/>
      <c r="P914" s="8" t="s">
        <v>21</v>
      </c>
      <c r="Q914" s="8" t="s">
        <v>22</v>
      </c>
    </row>
    <row r="915" customFormat="false" ht="15" hidden="false" customHeight="false" outlineLevel="0" collapsed="false">
      <c r="A915" s="2" t="n">
        <v>914</v>
      </c>
      <c r="B915" s="3" t="s">
        <v>2942</v>
      </c>
      <c r="C915" s="3" t="s">
        <v>24</v>
      </c>
      <c r="D915" s="4"/>
      <c r="E915" s="3"/>
      <c r="F915" s="3" t="s">
        <v>2869</v>
      </c>
      <c r="G915" s="3"/>
      <c r="H915" s="3"/>
      <c r="I915" s="4"/>
      <c r="J915" s="5" t="s">
        <v>20</v>
      </c>
      <c r="K915" s="6"/>
      <c r="L915" s="5"/>
      <c r="M915" s="5"/>
      <c r="N915" s="6"/>
      <c r="O915" s="7"/>
      <c r="P915" s="8" t="s">
        <v>21</v>
      </c>
      <c r="Q915" s="8" t="s">
        <v>22</v>
      </c>
    </row>
    <row r="916" customFormat="false" ht="35.05" hidden="false" customHeight="false" outlineLevel="0" collapsed="false">
      <c r="A916" s="2" t="n">
        <v>915</v>
      </c>
      <c r="B916" s="3" t="s">
        <v>2943</v>
      </c>
      <c r="C916" s="3" t="s">
        <v>2944</v>
      </c>
      <c r="D916" s="4" t="s">
        <v>2945</v>
      </c>
      <c r="E916" s="3" t="s">
        <v>2549</v>
      </c>
      <c r="F916" s="3" t="s">
        <v>2869</v>
      </c>
      <c r="G916" s="3" t="s">
        <v>2946</v>
      </c>
      <c r="H916" s="8" t="s">
        <v>2947</v>
      </c>
      <c r="I916" s="4" t="s">
        <v>2948</v>
      </c>
      <c r="J916" s="5" t="s">
        <v>20</v>
      </c>
      <c r="K916" s="6"/>
      <c r="L916" s="5"/>
      <c r="M916" s="5"/>
      <c r="N916" s="6"/>
      <c r="O916" s="7"/>
      <c r="P916" s="8" t="s">
        <v>21</v>
      </c>
      <c r="Q916" s="8" t="s">
        <v>22</v>
      </c>
    </row>
    <row r="917" customFormat="false" ht="15" hidden="false" customHeight="false" outlineLevel="0" collapsed="false">
      <c r="A917" s="2" t="n">
        <v>916</v>
      </c>
      <c r="B917" s="3" t="s">
        <v>2949</v>
      </c>
      <c r="C917" s="3" t="s">
        <v>120</v>
      </c>
      <c r="D917" s="4"/>
      <c r="E917" s="3"/>
      <c r="F917" s="3" t="s">
        <v>2869</v>
      </c>
      <c r="G917" s="3"/>
      <c r="H917" s="3"/>
      <c r="I917" s="4"/>
      <c r="J917" s="5" t="s">
        <v>20</v>
      </c>
      <c r="K917" s="6"/>
      <c r="L917" s="5"/>
      <c r="M917" s="5"/>
      <c r="N917" s="6"/>
      <c r="O917" s="7"/>
      <c r="P917" s="8" t="s">
        <v>21</v>
      </c>
      <c r="Q917" s="8" t="s">
        <v>22</v>
      </c>
    </row>
    <row r="918" customFormat="false" ht="15" hidden="false" customHeight="false" outlineLevel="0" collapsed="false">
      <c r="A918" s="2" t="n">
        <v>917</v>
      </c>
      <c r="B918" s="3" t="s">
        <v>2950</v>
      </c>
      <c r="C918" s="3" t="s">
        <v>116</v>
      </c>
      <c r="D918" s="4" t="s">
        <v>2951</v>
      </c>
      <c r="E918" s="3" t="s">
        <v>2549</v>
      </c>
      <c r="F918" s="3" t="s">
        <v>2869</v>
      </c>
      <c r="G918" s="3" t="s">
        <v>2952</v>
      </c>
      <c r="H918" s="3"/>
      <c r="I918" s="4"/>
      <c r="J918" s="5" t="s">
        <v>20</v>
      </c>
      <c r="K918" s="6"/>
      <c r="L918" s="5"/>
      <c r="M918" s="5"/>
      <c r="N918" s="6"/>
      <c r="O918" s="7"/>
      <c r="P918" s="8" t="s">
        <v>21</v>
      </c>
      <c r="Q918" s="8" t="s">
        <v>22</v>
      </c>
    </row>
    <row r="919" customFormat="false" ht="23.85" hidden="false" customHeight="false" outlineLevel="0" collapsed="false">
      <c r="A919" s="2" t="n">
        <v>918</v>
      </c>
      <c r="B919" s="3" t="s">
        <v>2547</v>
      </c>
      <c r="C919" s="3" t="s">
        <v>24</v>
      </c>
      <c r="D919" s="4" t="s">
        <v>2548</v>
      </c>
      <c r="E919" s="3" t="s">
        <v>2549</v>
      </c>
      <c r="F919" s="3" t="s">
        <v>2869</v>
      </c>
      <c r="G919" s="3" t="s">
        <v>2550</v>
      </c>
      <c r="H919" s="8" t="s">
        <v>2551</v>
      </c>
      <c r="I919" s="4" t="s">
        <v>2552</v>
      </c>
      <c r="J919" s="5" t="s">
        <v>20</v>
      </c>
      <c r="K919" s="6"/>
      <c r="L919" s="5"/>
      <c r="M919" s="5"/>
      <c r="N919" s="6"/>
      <c r="O919" s="7"/>
      <c r="P919" s="8" t="s">
        <v>21</v>
      </c>
      <c r="Q919" s="8" t="s">
        <v>22</v>
      </c>
    </row>
    <row r="920" customFormat="false" ht="15" hidden="false" customHeight="false" outlineLevel="0" collapsed="false">
      <c r="A920" s="2" t="n">
        <v>919</v>
      </c>
      <c r="B920" s="3" t="s">
        <v>2953</v>
      </c>
      <c r="C920" s="3" t="s">
        <v>678</v>
      </c>
      <c r="D920" s="4" t="s">
        <v>2954</v>
      </c>
      <c r="E920" s="3" t="s">
        <v>2549</v>
      </c>
      <c r="F920" s="3" t="s">
        <v>2869</v>
      </c>
      <c r="G920" s="3" t="s">
        <v>2955</v>
      </c>
      <c r="H920" s="8" t="s">
        <v>2956</v>
      </c>
      <c r="I920" s="4"/>
      <c r="J920" s="5" t="s">
        <v>20</v>
      </c>
      <c r="K920" s="6"/>
      <c r="L920" s="5"/>
      <c r="M920" s="5"/>
      <c r="N920" s="6"/>
      <c r="O920" s="7"/>
      <c r="P920" s="8" t="s">
        <v>21</v>
      </c>
      <c r="Q920" s="8" t="s">
        <v>22</v>
      </c>
    </row>
    <row r="921" customFormat="false" ht="15" hidden="false" customHeight="false" outlineLevel="0" collapsed="false">
      <c r="A921" s="2" t="n">
        <v>920</v>
      </c>
      <c r="B921" s="3" t="s">
        <v>2957</v>
      </c>
      <c r="C921" s="3" t="s">
        <v>2958</v>
      </c>
      <c r="D921" s="4" t="s">
        <v>2959</v>
      </c>
      <c r="E921" s="3"/>
      <c r="F921" s="3" t="s">
        <v>2869</v>
      </c>
      <c r="G921" s="3"/>
      <c r="H921" s="3"/>
      <c r="I921" s="4"/>
      <c r="J921" s="5" t="s">
        <v>20</v>
      </c>
      <c r="K921" s="6"/>
      <c r="L921" s="5"/>
      <c r="M921" s="5"/>
      <c r="N921" s="6"/>
      <c r="O921" s="7"/>
      <c r="P921" s="8" t="s">
        <v>21</v>
      </c>
      <c r="Q921" s="8" t="s">
        <v>22</v>
      </c>
    </row>
    <row r="922" customFormat="false" ht="15" hidden="false" customHeight="false" outlineLevel="0" collapsed="false">
      <c r="A922" s="2" t="n">
        <v>921</v>
      </c>
      <c r="B922" s="3" t="s">
        <v>2960</v>
      </c>
      <c r="C922" s="3" t="s">
        <v>1306</v>
      </c>
      <c r="D922" s="4" t="s">
        <v>2961</v>
      </c>
      <c r="E922" s="3" t="s">
        <v>2549</v>
      </c>
      <c r="F922" s="3" t="s">
        <v>2869</v>
      </c>
      <c r="G922" s="3" t="s">
        <v>2962</v>
      </c>
      <c r="H922" s="8" t="s">
        <v>2963</v>
      </c>
      <c r="I922" s="4"/>
      <c r="J922" s="5" t="s">
        <v>20</v>
      </c>
      <c r="K922" s="6"/>
      <c r="L922" s="5"/>
      <c r="M922" s="5"/>
      <c r="N922" s="6"/>
      <c r="O922" s="7"/>
      <c r="P922" s="8" t="s">
        <v>21</v>
      </c>
      <c r="Q922" s="8" t="s">
        <v>22</v>
      </c>
    </row>
    <row r="923" customFormat="false" ht="15" hidden="false" customHeight="false" outlineLevel="0" collapsed="false">
      <c r="A923" s="2" t="n">
        <v>922</v>
      </c>
      <c r="B923" s="3" t="s">
        <v>2964</v>
      </c>
      <c r="C923" s="3" t="s">
        <v>2965</v>
      </c>
      <c r="D923" s="4" t="s">
        <v>2966</v>
      </c>
      <c r="E923" s="3"/>
      <c r="F923" s="3" t="s">
        <v>2869</v>
      </c>
      <c r="G923" s="3"/>
      <c r="H923" s="3"/>
      <c r="I923" s="4"/>
      <c r="J923" s="5" t="s">
        <v>20</v>
      </c>
      <c r="K923" s="6"/>
      <c r="L923" s="5"/>
      <c r="M923" s="5"/>
      <c r="N923" s="6"/>
      <c r="O923" s="7"/>
      <c r="P923" s="8" t="s">
        <v>21</v>
      </c>
      <c r="Q923" s="8" t="s">
        <v>22</v>
      </c>
    </row>
    <row r="924" customFormat="false" ht="15" hidden="false" customHeight="false" outlineLevel="0" collapsed="false">
      <c r="A924" s="2" t="n">
        <v>923</v>
      </c>
      <c r="B924" s="3" t="s">
        <v>2967</v>
      </c>
      <c r="C924" s="3" t="s">
        <v>120</v>
      </c>
      <c r="D924" s="4"/>
      <c r="E924" s="3"/>
      <c r="F924" s="3" t="s">
        <v>2869</v>
      </c>
      <c r="G924" s="3"/>
      <c r="H924" s="3"/>
      <c r="I924" s="4" t="s">
        <v>2968</v>
      </c>
      <c r="J924" s="5" t="s">
        <v>20</v>
      </c>
      <c r="K924" s="6"/>
      <c r="L924" s="5"/>
      <c r="M924" s="5"/>
      <c r="N924" s="6"/>
      <c r="O924" s="7"/>
      <c r="P924" s="8" t="s">
        <v>21</v>
      </c>
      <c r="Q924" s="8" t="s">
        <v>22</v>
      </c>
    </row>
    <row r="925" customFormat="false" ht="15" hidden="false" customHeight="false" outlineLevel="0" collapsed="false">
      <c r="A925" s="2" t="n">
        <v>924</v>
      </c>
      <c r="B925" s="3" t="s">
        <v>2969</v>
      </c>
      <c r="C925" s="3" t="s">
        <v>116</v>
      </c>
      <c r="D925" s="4"/>
      <c r="E925" s="3"/>
      <c r="F925" s="3" t="s">
        <v>2970</v>
      </c>
      <c r="G925" s="3" t="s">
        <v>2971</v>
      </c>
      <c r="H925" s="3"/>
      <c r="I925" s="4" t="s">
        <v>2972</v>
      </c>
      <c r="J925" s="5" t="s">
        <v>20</v>
      </c>
      <c r="K925" s="6"/>
      <c r="L925" s="5"/>
      <c r="M925" s="5"/>
      <c r="N925" s="6"/>
      <c r="O925" s="7"/>
      <c r="P925" s="8" t="s">
        <v>21</v>
      </c>
      <c r="Q925" s="8" t="s">
        <v>22</v>
      </c>
    </row>
    <row r="926" customFormat="false" ht="15" hidden="false" customHeight="false" outlineLevel="0" collapsed="false">
      <c r="A926" s="2" t="n">
        <v>925</v>
      </c>
      <c r="B926" s="3" t="s">
        <v>2973</v>
      </c>
      <c r="C926" s="3" t="s">
        <v>120</v>
      </c>
      <c r="D926" s="4" t="s">
        <v>2974</v>
      </c>
      <c r="E926" s="3" t="s">
        <v>2975</v>
      </c>
      <c r="F926" s="3" t="s">
        <v>2970</v>
      </c>
      <c r="G926" s="3" t="s">
        <v>2976</v>
      </c>
      <c r="H926" s="8" t="s">
        <v>2977</v>
      </c>
      <c r="I926" s="4" t="s">
        <v>2978</v>
      </c>
      <c r="J926" s="5" t="s">
        <v>20</v>
      </c>
      <c r="K926" s="6"/>
      <c r="L926" s="5"/>
      <c r="M926" s="5"/>
      <c r="N926" s="6"/>
      <c r="O926" s="7"/>
      <c r="P926" s="8" t="s">
        <v>21</v>
      </c>
      <c r="Q926" s="8" t="s">
        <v>22</v>
      </c>
    </row>
    <row r="927" customFormat="false" ht="15" hidden="false" customHeight="false" outlineLevel="0" collapsed="false">
      <c r="A927" s="2" t="n">
        <v>926</v>
      </c>
      <c r="B927" s="3" t="s">
        <v>2979</v>
      </c>
      <c r="C927" s="3"/>
      <c r="D927" s="4" t="s">
        <v>2980</v>
      </c>
      <c r="E927" s="3"/>
      <c r="F927" s="3" t="s">
        <v>2970</v>
      </c>
      <c r="G927" s="3"/>
      <c r="H927" s="3"/>
      <c r="I927" s="4"/>
      <c r="J927" s="5" t="s">
        <v>20</v>
      </c>
      <c r="K927" s="6"/>
      <c r="L927" s="5"/>
      <c r="M927" s="5"/>
      <c r="N927" s="6"/>
      <c r="O927" s="7"/>
      <c r="P927" s="8" t="s">
        <v>21</v>
      </c>
      <c r="Q927" s="8" t="s">
        <v>22</v>
      </c>
    </row>
    <row r="928" customFormat="false" ht="15" hidden="false" customHeight="false" outlineLevel="0" collapsed="false">
      <c r="A928" s="2" t="n">
        <v>927</v>
      </c>
      <c r="B928" s="3" t="s">
        <v>2981</v>
      </c>
      <c r="C928" s="3" t="s">
        <v>126</v>
      </c>
      <c r="D928" s="4" t="s">
        <v>2982</v>
      </c>
      <c r="E928" s="3"/>
      <c r="F928" s="3" t="s">
        <v>2970</v>
      </c>
      <c r="G928" s="3" t="s">
        <v>2983</v>
      </c>
      <c r="H928" s="8" t="s">
        <v>2984</v>
      </c>
      <c r="I928" s="4"/>
      <c r="J928" s="5" t="s">
        <v>20</v>
      </c>
      <c r="K928" s="6"/>
      <c r="L928" s="5"/>
      <c r="M928" s="5"/>
      <c r="N928" s="6"/>
      <c r="O928" s="7"/>
      <c r="P928" s="8" t="s">
        <v>21</v>
      </c>
      <c r="Q928" s="8" t="s">
        <v>22</v>
      </c>
    </row>
    <row r="929" customFormat="false" ht="15" hidden="false" customHeight="false" outlineLevel="0" collapsed="false">
      <c r="A929" s="2" t="n">
        <v>928</v>
      </c>
      <c r="B929" s="3" t="s">
        <v>2985</v>
      </c>
      <c r="C929" s="3" t="s">
        <v>2986</v>
      </c>
      <c r="D929" s="4"/>
      <c r="E929" s="3"/>
      <c r="F929" s="3" t="s">
        <v>2970</v>
      </c>
      <c r="G929" s="3"/>
      <c r="H929" s="3"/>
      <c r="I929" s="4"/>
      <c r="J929" s="5" t="s">
        <v>20</v>
      </c>
      <c r="K929" s="6"/>
      <c r="L929" s="5"/>
      <c r="M929" s="5"/>
      <c r="N929" s="6"/>
      <c r="O929" s="7"/>
      <c r="P929" s="8" t="s">
        <v>21</v>
      </c>
      <c r="Q929" s="8" t="s">
        <v>22</v>
      </c>
    </row>
    <row r="930" customFormat="false" ht="15" hidden="false" customHeight="false" outlineLevel="0" collapsed="false">
      <c r="A930" s="2" t="n">
        <v>929</v>
      </c>
      <c r="B930" s="3" t="s">
        <v>2987</v>
      </c>
      <c r="C930" s="3" t="s">
        <v>116</v>
      </c>
      <c r="D930" s="4" t="s">
        <v>2988</v>
      </c>
      <c r="E930" s="3"/>
      <c r="F930" s="3" t="s">
        <v>2970</v>
      </c>
      <c r="G930" s="3"/>
      <c r="H930" s="3"/>
      <c r="I930" s="4"/>
      <c r="J930" s="5" t="s">
        <v>20</v>
      </c>
      <c r="K930" s="6"/>
      <c r="L930" s="5"/>
      <c r="M930" s="5"/>
      <c r="N930" s="6"/>
      <c r="O930" s="7"/>
      <c r="P930" s="8" t="s">
        <v>21</v>
      </c>
      <c r="Q930" s="8" t="s">
        <v>22</v>
      </c>
    </row>
    <row r="931" customFormat="false" ht="15" hidden="false" customHeight="false" outlineLevel="0" collapsed="false">
      <c r="A931" s="2" t="n">
        <v>930</v>
      </c>
      <c r="B931" s="3" t="s">
        <v>2989</v>
      </c>
      <c r="C931" s="3"/>
      <c r="D931" s="4" t="s">
        <v>2990</v>
      </c>
      <c r="E931" s="3" t="s">
        <v>2975</v>
      </c>
      <c r="F931" s="3" t="s">
        <v>2970</v>
      </c>
      <c r="G931" s="3" t="s">
        <v>2991</v>
      </c>
      <c r="H931" s="3"/>
      <c r="I931" s="4"/>
      <c r="J931" s="5" t="s">
        <v>20</v>
      </c>
      <c r="K931" s="6"/>
      <c r="L931" s="5"/>
      <c r="M931" s="5"/>
      <c r="N931" s="6"/>
      <c r="O931" s="7"/>
      <c r="P931" s="8" t="s">
        <v>21</v>
      </c>
      <c r="Q931" s="8" t="s">
        <v>22</v>
      </c>
    </row>
    <row r="932" customFormat="false" ht="15" hidden="false" customHeight="false" outlineLevel="0" collapsed="false">
      <c r="A932" s="2" t="n">
        <v>931</v>
      </c>
      <c r="B932" s="3" t="s">
        <v>2992</v>
      </c>
      <c r="C932" s="3"/>
      <c r="D932" s="4"/>
      <c r="E932" s="3"/>
      <c r="F932" s="3" t="s">
        <v>2970</v>
      </c>
      <c r="G932" s="3"/>
      <c r="H932" s="3"/>
      <c r="I932" s="4"/>
      <c r="J932" s="5" t="s">
        <v>20</v>
      </c>
      <c r="K932" s="6"/>
      <c r="L932" s="5"/>
      <c r="M932" s="5"/>
      <c r="N932" s="6"/>
      <c r="O932" s="7"/>
      <c r="P932" s="8" t="s">
        <v>21</v>
      </c>
      <c r="Q932" s="8" t="s">
        <v>22</v>
      </c>
    </row>
    <row r="933" customFormat="false" ht="15" hidden="false" customHeight="false" outlineLevel="0" collapsed="false">
      <c r="A933" s="2" t="n">
        <v>932</v>
      </c>
      <c r="B933" s="3" t="s">
        <v>2993</v>
      </c>
      <c r="C933" s="3"/>
      <c r="D933" s="4"/>
      <c r="E933" s="3"/>
      <c r="F933" s="3" t="s">
        <v>2970</v>
      </c>
      <c r="G933" s="3"/>
      <c r="H933" s="3"/>
      <c r="I933" s="4"/>
      <c r="J933" s="5" t="s">
        <v>20</v>
      </c>
      <c r="K933" s="6"/>
      <c r="L933" s="5"/>
      <c r="M933" s="5"/>
      <c r="N933" s="6"/>
      <c r="O933" s="7"/>
      <c r="P933" s="8" t="s">
        <v>21</v>
      </c>
      <c r="Q933" s="8" t="s">
        <v>22</v>
      </c>
    </row>
    <row r="934" customFormat="false" ht="15" hidden="false" customHeight="false" outlineLevel="0" collapsed="false">
      <c r="A934" s="2" t="n">
        <v>933</v>
      </c>
      <c r="B934" s="3" t="s">
        <v>1358</v>
      </c>
      <c r="C934" s="3" t="s">
        <v>2510</v>
      </c>
      <c r="D934" s="4" t="s">
        <v>2994</v>
      </c>
      <c r="E934" s="3"/>
      <c r="F934" s="3" t="s">
        <v>2970</v>
      </c>
      <c r="G934" s="3"/>
      <c r="H934" s="8" t="s">
        <v>2995</v>
      </c>
      <c r="I934" s="4"/>
      <c r="J934" s="5" t="s">
        <v>20</v>
      </c>
      <c r="K934" s="6"/>
      <c r="L934" s="5"/>
      <c r="M934" s="5"/>
      <c r="N934" s="6"/>
      <c r="O934" s="7"/>
      <c r="P934" s="8" t="s">
        <v>21</v>
      </c>
      <c r="Q934" s="8" t="s">
        <v>22</v>
      </c>
    </row>
    <row r="935" customFormat="false" ht="23.85" hidden="false" customHeight="false" outlineLevel="0" collapsed="false">
      <c r="A935" s="2" t="n">
        <v>934</v>
      </c>
      <c r="B935" s="3" t="s">
        <v>2996</v>
      </c>
      <c r="C935" s="3"/>
      <c r="D935" s="4" t="s">
        <v>2997</v>
      </c>
      <c r="E935" s="3" t="s">
        <v>2975</v>
      </c>
      <c r="F935" s="3" t="s">
        <v>2970</v>
      </c>
      <c r="G935" s="3" t="s">
        <v>2998</v>
      </c>
      <c r="H935" s="8" t="s">
        <v>2999</v>
      </c>
      <c r="I935" s="4" t="s">
        <v>3000</v>
      </c>
      <c r="J935" s="5" t="s">
        <v>20</v>
      </c>
      <c r="K935" s="6"/>
      <c r="L935" s="5"/>
      <c r="M935" s="5"/>
      <c r="N935" s="6"/>
      <c r="O935" s="7"/>
      <c r="P935" s="8" t="s">
        <v>21</v>
      </c>
      <c r="Q935" s="8" t="s">
        <v>22</v>
      </c>
    </row>
    <row r="936" customFormat="false" ht="15" hidden="false" customHeight="false" outlineLevel="0" collapsed="false">
      <c r="A936" s="2" t="n">
        <v>935</v>
      </c>
      <c r="B936" s="3" t="s">
        <v>3001</v>
      </c>
      <c r="C936" s="3" t="s">
        <v>3002</v>
      </c>
      <c r="D936" s="4" t="s">
        <v>3003</v>
      </c>
      <c r="E936" s="3" t="s">
        <v>2975</v>
      </c>
      <c r="F936" s="3" t="s">
        <v>2970</v>
      </c>
      <c r="G936" s="3" t="s">
        <v>3004</v>
      </c>
      <c r="H936" s="8" t="s">
        <v>3005</v>
      </c>
      <c r="I936" s="4" t="s">
        <v>3006</v>
      </c>
      <c r="J936" s="5" t="s">
        <v>20</v>
      </c>
      <c r="K936" s="6"/>
      <c r="L936" s="5"/>
      <c r="M936" s="5"/>
      <c r="N936" s="6"/>
      <c r="O936" s="7"/>
      <c r="P936" s="8" t="s">
        <v>21</v>
      </c>
      <c r="Q936" s="8" t="s">
        <v>22</v>
      </c>
    </row>
    <row r="937" customFormat="false" ht="15" hidden="false" customHeight="false" outlineLevel="0" collapsed="false">
      <c r="A937" s="2" t="n">
        <v>936</v>
      </c>
      <c r="B937" s="3" t="s">
        <v>3007</v>
      </c>
      <c r="C937" s="3"/>
      <c r="D937" s="4" t="s">
        <v>3008</v>
      </c>
      <c r="E937" s="3" t="s">
        <v>2975</v>
      </c>
      <c r="F937" s="3" t="s">
        <v>2970</v>
      </c>
      <c r="G937" s="3"/>
      <c r="H937" s="3"/>
      <c r="I937" s="4"/>
      <c r="J937" s="5" t="s">
        <v>20</v>
      </c>
      <c r="K937" s="6"/>
      <c r="L937" s="5"/>
      <c r="M937" s="5"/>
      <c r="N937" s="6"/>
      <c r="O937" s="7"/>
      <c r="P937" s="8" t="s">
        <v>21</v>
      </c>
      <c r="Q937" s="8" t="s">
        <v>22</v>
      </c>
    </row>
    <row r="938" customFormat="false" ht="15" hidden="false" customHeight="false" outlineLevel="0" collapsed="false">
      <c r="A938" s="2" t="n">
        <v>937</v>
      </c>
      <c r="B938" s="3" t="s">
        <v>3009</v>
      </c>
      <c r="C938" s="3" t="s">
        <v>120</v>
      </c>
      <c r="D938" s="4"/>
      <c r="E938" s="3"/>
      <c r="F938" s="3" t="s">
        <v>2970</v>
      </c>
      <c r="G938" s="3"/>
      <c r="H938" s="3"/>
      <c r="I938" s="4"/>
      <c r="J938" s="5" t="s">
        <v>20</v>
      </c>
      <c r="K938" s="6"/>
      <c r="L938" s="5"/>
      <c r="M938" s="5"/>
      <c r="N938" s="6"/>
      <c r="O938" s="7"/>
      <c r="P938" s="8" t="s">
        <v>21</v>
      </c>
      <c r="Q938" s="8" t="s">
        <v>22</v>
      </c>
    </row>
    <row r="939" customFormat="false" ht="15" hidden="false" customHeight="false" outlineLevel="0" collapsed="false">
      <c r="A939" s="2" t="n">
        <v>938</v>
      </c>
      <c r="B939" s="3" t="s">
        <v>3010</v>
      </c>
      <c r="C939" s="3" t="s">
        <v>3011</v>
      </c>
      <c r="D939" s="4"/>
      <c r="E939" s="3"/>
      <c r="F939" s="3" t="s">
        <v>2970</v>
      </c>
      <c r="G939" s="3" t="s">
        <v>3012</v>
      </c>
      <c r="H939" s="8" t="s">
        <v>3013</v>
      </c>
      <c r="I939" s="4" t="s">
        <v>828</v>
      </c>
      <c r="J939" s="5" t="s">
        <v>20</v>
      </c>
      <c r="K939" s="6"/>
      <c r="L939" s="5"/>
      <c r="M939" s="5"/>
      <c r="N939" s="6"/>
      <c r="O939" s="7"/>
      <c r="P939" s="8" t="s">
        <v>21</v>
      </c>
      <c r="Q939" s="8" t="s">
        <v>22</v>
      </c>
    </row>
    <row r="940" customFormat="false" ht="15" hidden="false" customHeight="false" outlineLevel="0" collapsed="false">
      <c r="A940" s="2" t="n">
        <v>939</v>
      </c>
      <c r="B940" s="3" t="s">
        <v>3014</v>
      </c>
      <c r="C940" s="3"/>
      <c r="D940" s="4"/>
      <c r="E940" s="3"/>
      <c r="F940" s="3" t="s">
        <v>2970</v>
      </c>
      <c r="G940" s="3"/>
      <c r="H940" s="3"/>
      <c r="I940" s="4"/>
      <c r="J940" s="5" t="s">
        <v>20</v>
      </c>
      <c r="K940" s="6"/>
      <c r="L940" s="5"/>
      <c r="M940" s="5"/>
      <c r="N940" s="6"/>
      <c r="O940" s="7"/>
      <c r="P940" s="8" t="s">
        <v>21</v>
      </c>
      <c r="Q940" s="8" t="s">
        <v>22</v>
      </c>
    </row>
    <row r="941" customFormat="false" ht="15" hidden="false" customHeight="false" outlineLevel="0" collapsed="false">
      <c r="A941" s="2" t="n">
        <v>940</v>
      </c>
      <c r="B941" s="3" t="s">
        <v>3015</v>
      </c>
      <c r="C941" s="3" t="s">
        <v>3016</v>
      </c>
      <c r="D941" s="4"/>
      <c r="E941" s="3"/>
      <c r="F941" s="3" t="s">
        <v>2970</v>
      </c>
      <c r="G941" s="3" t="s">
        <v>3017</v>
      </c>
      <c r="H941" s="8" t="s">
        <v>3018</v>
      </c>
      <c r="I941" s="4" t="s">
        <v>3019</v>
      </c>
      <c r="J941" s="5" t="s">
        <v>20</v>
      </c>
      <c r="K941" s="6"/>
      <c r="L941" s="5"/>
      <c r="M941" s="5"/>
      <c r="N941" s="6"/>
      <c r="O941" s="7"/>
      <c r="P941" s="8" t="s">
        <v>21</v>
      </c>
      <c r="Q941" s="8" t="s">
        <v>22</v>
      </c>
    </row>
    <row r="942" customFormat="false" ht="15" hidden="false" customHeight="false" outlineLevel="0" collapsed="false">
      <c r="A942" s="2" t="n">
        <v>941</v>
      </c>
      <c r="B942" s="3" t="s">
        <v>3020</v>
      </c>
      <c r="C942" s="3" t="s">
        <v>3021</v>
      </c>
      <c r="D942" s="4" t="s">
        <v>3022</v>
      </c>
      <c r="E942" s="3"/>
      <c r="F942" s="3" t="s">
        <v>2970</v>
      </c>
      <c r="G942" s="3" t="s">
        <v>3023</v>
      </c>
      <c r="H942" s="8" t="s">
        <v>3024</v>
      </c>
      <c r="I942" s="4" t="s">
        <v>3025</v>
      </c>
      <c r="J942" s="5" t="s">
        <v>20</v>
      </c>
      <c r="K942" s="6"/>
      <c r="L942" s="5"/>
      <c r="M942" s="5"/>
      <c r="N942" s="6"/>
      <c r="O942" s="7"/>
      <c r="P942" s="8" t="s">
        <v>21</v>
      </c>
      <c r="Q942" s="8" t="s">
        <v>22</v>
      </c>
    </row>
    <row r="943" customFormat="false" ht="15" hidden="false" customHeight="false" outlineLevel="0" collapsed="false">
      <c r="A943" s="2" t="n">
        <v>942</v>
      </c>
      <c r="B943" s="3" t="s">
        <v>3026</v>
      </c>
      <c r="C943" s="3" t="s">
        <v>326</v>
      </c>
      <c r="D943" s="4"/>
      <c r="E943" s="3"/>
      <c r="F943" s="3" t="s">
        <v>2970</v>
      </c>
      <c r="G943" s="3"/>
      <c r="H943" s="3"/>
      <c r="I943" s="4"/>
      <c r="J943" s="5" t="s">
        <v>20</v>
      </c>
      <c r="K943" s="6"/>
      <c r="L943" s="5"/>
      <c r="M943" s="5"/>
      <c r="N943" s="6"/>
      <c r="O943" s="7"/>
      <c r="P943" s="8" t="s">
        <v>21</v>
      </c>
      <c r="Q943" s="8" t="s">
        <v>22</v>
      </c>
    </row>
    <row r="944" customFormat="false" ht="23.85" hidden="false" customHeight="false" outlineLevel="0" collapsed="false">
      <c r="A944" s="2" t="n">
        <v>943</v>
      </c>
      <c r="B944" s="3" t="s">
        <v>3027</v>
      </c>
      <c r="C944" s="3" t="s">
        <v>120</v>
      </c>
      <c r="D944" s="4"/>
      <c r="E944" s="3"/>
      <c r="F944" s="3" t="s">
        <v>2970</v>
      </c>
      <c r="G944" s="3" t="s">
        <v>3028</v>
      </c>
      <c r="H944" s="8" t="s">
        <v>3029</v>
      </c>
      <c r="I944" s="4" t="s">
        <v>3030</v>
      </c>
      <c r="J944" s="5" t="s">
        <v>20</v>
      </c>
      <c r="K944" s="6"/>
      <c r="L944" s="5"/>
      <c r="M944" s="5"/>
      <c r="N944" s="6"/>
      <c r="O944" s="7"/>
      <c r="P944" s="8" t="s">
        <v>21</v>
      </c>
      <c r="Q944" s="8" t="s">
        <v>22</v>
      </c>
    </row>
    <row r="945" customFormat="false" ht="15" hidden="false" customHeight="false" outlineLevel="0" collapsed="false">
      <c r="A945" s="2" t="n">
        <v>944</v>
      </c>
      <c r="B945" s="3" t="s">
        <v>2314</v>
      </c>
      <c r="C945" s="3" t="s">
        <v>24</v>
      </c>
      <c r="D945" s="4" t="s">
        <v>3031</v>
      </c>
      <c r="E945" s="3" t="s">
        <v>2975</v>
      </c>
      <c r="F945" s="3" t="s">
        <v>2970</v>
      </c>
      <c r="G945" s="3" t="s">
        <v>3032</v>
      </c>
      <c r="H945" s="8" t="s">
        <v>3033</v>
      </c>
      <c r="I945" s="4" t="s">
        <v>3034</v>
      </c>
      <c r="J945" s="5" t="s">
        <v>20</v>
      </c>
      <c r="K945" s="6"/>
      <c r="L945" s="5"/>
      <c r="M945" s="5"/>
      <c r="N945" s="6"/>
      <c r="O945" s="7"/>
      <c r="P945" s="8" t="s">
        <v>21</v>
      </c>
      <c r="Q945" s="8" t="s">
        <v>22</v>
      </c>
    </row>
    <row r="946" customFormat="false" ht="15" hidden="false" customHeight="false" outlineLevel="0" collapsed="false">
      <c r="A946" s="2" t="n">
        <v>945</v>
      </c>
      <c r="B946" s="3" t="s">
        <v>3035</v>
      </c>
      <c r="C946" s="3"/>
      <c r="D946" s="4" t="s">
        <v>3036</v>
      </c>
      <c r="E946" s="3" t="s">
        <v>2975</v>
      </c>
      <c r="F946" s="3" t="s">
        <v>2970</v>
      </c>
      <c r="G946" s="3" t="s">
        <v>3037</v>
      </c>
      <c r="H946" s="8" t="s">
        <v>3038</v>
      </c>
      <c r="I946" s="4" t="s">
        <v>3039</v>
      </c>
      <c r="J946" s="5" t="s">
        <v>20</v>
      </c>
      <c r="K946" s="6"/>
      <c r="L946" s="5"/>
      <c r="M946" s="5"/>
      <c r="N946" s="6"/>
      <c r="O946" s="7"/>
      <c r="P946" s="8" t="s">
        <v>21</v>
      </c>
      <c r="Q946" s="8" t="s">
        <v>22</v>
      </c>
    </row>
    <row r="947" customFormat="false" ht="15" hidden="false" customHeight="false" outlineLevel="0" collapsed="false">
      <c r="A947" s="2" t="n">
        <v>946</v>
      </c>
      <c r="B947" s="3" t="s">
        <v>3040</v>
      </c>
      <c r="C947" s="3" t="s">
        <v>3041</v>
      </c>
      <c r="D947" s="4"/>
      <c r="E947" s="3"/>
      <c r="F947" s="3" t="s">
        <v>2970</v>
      </c>
      <c r="G947" s="3" t="s">
        <v>3042</v>
      </c>
      <c r="H947" s="3"/>
      <c r="I947" s="4"/>
      <c r="J947" s="5" t="s">
        <v>20</v>
      </c>
      <c r="K947" s="6"/>
      <c r="L947" s="5"/>
      <c r="M947" s="5"/>
      <c r="N947" s="6"/>
      <c r="O947" s="7"/>
      <c r="P947" s="8" t="s">
        <v>21</v>
      </c>
      <c r="Q947" s="8" t="s">
        <v>22</v>
      </c>
    </row>
    <row r="948" customFormat="false" ht="15" hidden="false" customHeight="false" outlineLevel="0" collapsed="false">
      <c r="A948" s="2" t="n">
        <v>947</v>
      </c>
      <c r="B948" s="3" t="s">
        <v>2655</v>
      </c>
      <c r="C948" s="3" t="s">
        <v>24</v>
      </c>
      <c r="D948" s="4"/>
      <c r="E948" s="3"/>
      <c r="F948" s="3" t="s">
        <v>2970</v>
      </c>
      <c r="G948" s="3"/>
      <c r="H948" s="8" t="s">
        <v>3043</v>
      </c>
      <c r="I948" s="4"/>
      <c r="J948" s="5" t="s">
        <v>20</v>
      </c>
      <c r="K948" s="6"/>
      <c r="L948" s="5"/>
      <c r="M948" s="5"/>
      <c r="N948" s="6"/>
      <c r="O948" s="7"/>
      <c r="P948" s="8" t="s">
        <v>21</v>
      </c>
      <c r="Q948" s="8" t="s">
        <v>22</v>
      </c>
    </row>
    <row r="949" customFormat="false" ht="15" hidden="false" customHeight="false" outlineLevel="0" collapsed="false">
      <c r="A949" s="2" t="n">
        <v>948</v>
      </c>
      <c r="B949" s="3" t="s">
        <v>3044</v>
      </c>
      <c r="C949" s="3" t="s">
        <v>3045</v>
      </c>
      <c r="D949" s="4"/>
      <c r="E949" s="3"/>
      <c r="F949" s="3" t="s">
        <v>2970</v>
      </c>
      <c r="G949" s="3" t="s">
        <v>3046</v>
      </c>
      <c r="H949" s="8" t="s">
        <v>3047</v>
      </c>
      <c r="I949" s="4"/>
      <c r="J949" s="5" t="s">
        <v>20</v>
      </c>
      <c r="K949" s="6"/>
      <c r="L949" s="5"/>
      <c r="M949" s="5"/>
      <c r="N949" s="6"/>
      <c r="O949" s="7"/>
      <c r="P949" s="8" t="s">
        <v>21</v>
      </c>
      <c r="Q949" s="8" t="s">
        <v>22</v>
      </c>
    </row>
    <row r="950" customFormat="false" ht="23.85" hidden="false" customHeight="false" outlineLevel="0" collapsed="false">
      <c r="A950" s="2" t="n">
        <v>949</v>
      </c>
      <c r="B950" s="3" t="s">
        <v>3048</v>
      </c>
      <c r="C950" s="3" t="s">
        <v>678</v>
      </c>
      <c r="D950" s="4" t="s">
        <v>3049</v>
      </c>
      <c r="E950" s="3" t="s">
        <v>2975</v>
      </c>
      <c r="F950" s="3" t="s">
        <v>2970</v>
      </c>
      <c r="G950" s="3" t="s">
        <v>3050</v>
      </c>
      <c r="H950" s="8" t="s">
        <v>3051</v>
      </c>
      <c r="I950" s="4" t="s">
        <v>3052</v>
      </c>
      <c r="J950" s="5" t="s">
        <v>20</v>
      </c>
      <c r="K950" s="6"/>
      <c r="L950" s="5"/>
      <c r="M950" s="5"/>
      <c r="N950" s="6"/>
      <c r="O950" s="7"/>
      <c r="P950" s="8" t="s">
        <v>21</v>
      </c>
      <c r="Q950" s="8" t="s">
        <v>22</v>
      </c>
    </row>
    <row r="951" customFormat="false" ht="15" hidden="false" customHeight="false" outlineLevel="0" collapsed="false">
      <c r="A951" s="2" t="n">
        <v>950</v>
      </c>
      <c r="B951" s="3" t="s">
        <v>3053</v>
      </c>
      <c r="C951" s="3" t="s">
        <v>3054</v>
      </c>
      <c r="D951" s="4"/>
      <c r="E951" s="3"/>
      <c r="F951" s="3" t="s">
        <v>3055</v>
      </c>
      <c r="G951" s="3" t="s">
        <v>3056</v>
      </c>
      <c r="H951" s="8" t="s">
        <v>3057</v>
      </c>
      <c r="I951" s="4" t="s">
        <v>3058</v>
      </c>
      <c r="J951" s="5" t="s">
        <v>20</v>
      </c>
      <c r="K951" s="6"/>
      <c r="L951" s="5"/>
      <c r="M951" s="5"/>
      <c r="N951" s="6"/>
      <c r="O951" s="7"/>
      <c r="P951" s="8" t="s">
        <v>21</v>
      </c>
      <c r="Q951" s="8" t="s">
        <v>22</v>
      </c>
    </row>
    <row r="952" customFormat="false" ht="15" hidden="false" customHeight="false" outlineLevel="0" collapsed="false">
      <c r="A952" s="2" t="n">
        <v>951</v>
      </c>
      <c r="B952" s="3" t="s">
        <v>3059</v>
      </c>
      <c r="C952" s="3"/>
      <c r="D952" s="4" t="s">
        <v>3060</v>
      </c>
      <c r="E952" s="3" t="s">
        <v>3061</v>
      </c>
      <c r="F952" s="3" t="s">
        <v>3055</v>
      </c>
      <c r="G952" s="3" t="s">
        <v>3062</v>
      </c>
      <c r="H952" s="8" t="s">
        <v>3063</v>
      </c>
      <c r="I952" s="4" t="s">
        <v>208</v>
      </c>
      <c r="J952" s="5" t="s">
        <v>20</v>
      </c>
      <c r="K952" s="6"/>
      <c r="L952" s="5"/>
      <c r="M952" s="5"/>
      <c r="N952" s="6"/>
      <c r="O952" s="7"/>
      <c r="P952" s="8" t="s">
        <v>21</v>
      </c>
      <c r="Q952" s="8" t="s">
        <v>22</v>
      </c>
    </row>
    <row r="953" customFormat="false" ht="15" hidden="false" customHeight="false" outlineLevel="0" collapsed="false">
      <c r="A953" s="2" t="n">
        <v>952</v>
      </c>
      <c r="B953" s="3" t="s">
        <v>3064</v>
      </c>
      <c r="C953" s="3" t="s">
        <v>3065</v>
      </c>
      <c r="D953" s="4"/>
      <c r="E953" s="3"/>
      <c r="F953" s="3" t="s">
        <v>3055</v>
      </c>
      <c r="G953" s="3" t="s">
        <v>3066</v>
      </c>
      <c r="H953" s="8" t="s">
        <v>3067</v>
      </c>
      <c r="I953" s="4" t="s">
        <v>3068</v>
      </c>
      <c r="J953" s="5" t="s">
        <v>20</v>
      </c>
      <c r="K953" s="6"/>
      <c r="L953" s="5"/>
      <c r="M953" s="5"/>
      <c r="N953" s="6"/>
      <c r="O953" s="7"/>
      <c r="P953" s="8" t="s">
        <v>21</v>
      </c>
      <c r="Q953" s="8" t="s">
        <v>22</v>
      </c>
    </row>
    <row r="954" customFormat="false" ht="15" hidden="false" customHeight="false" outlineLevel="0" collapsed="false">
      <c r="A954" s="2" t="n">
        <v>953</v>
      </c>
      <c r="B954" s="3" t="s">
        <v>3069</v>
      </c>
      <c r="C954" s="3" t="s">
        <v>120</v>
      </c>
      <c r="D954" s="4"/>
      <c r="E954" s="3"/>
      <c r="F954" s="3" t="s">
        <v>3055</v>
      </c>
      <c r="G954" s="3"/>
      <c r="H954" s="3"/>
      <c r="I954" s="4"/>
      <c r="J954" s="5" t="s">
        <v>20</v>
      </c>
      <c r="K954" s="6"/>
      <c r="L954" s="5"/>
      <c r="M954" s="5"/>
      <c r="N954" s="6"/>
      <c r="O954" s="7"/>
      <c r="P954" s="8" t="s">
        <v>21</v>
      </c>
      <c r="Q954" s="8" t="s">
        <v>22</v>
      </c>
    </row>
    <row r="955" customFormat="false" ht="15" hidden="false" customHeight="false" outlineLevel="0" collapsed="false">
      <c r="A955" s="2" t="n">
        <v>954</v>
      </c>
      <c r="B955" s="3" t="s">
        <v>3070</v>
      </c>
      <c r="C955" s="3" t="s">
        <v>181</v>
      </c>
      <c r="D955" s="4"/>
      <c r="E955" s="3"/>
      <c r="F955" s="3" t="s">
        <v>3055</v>
      </c>
      <c r="G955" s="3" t="s">
        <v>3071</v>
      </c>
      <c r="H955" s="8" t="s">
        <v>3072</v>
      </c>
      <c r="I955" s="4" t="s">
        <v>3073</v>
      </c>
      <c r="J955" s="5" t="s">
        <v>20</v>
      </c>
      <c r="K955" s="6"/>
      <c r="L955" s="5"/>
      <c r="M955" s="5"/>
      <c r="N955" s="6"/>
      <c r="O955" s="7"/>
      <c r="P955" s="8" t="s">
        <v>21</v>
      </c>
      <c r="Q955" s="8" t="s">
        <v>22</v>
      </c>
    </row>
    <row r="956" customFormat="false" ht="15" hidden="false" customHeight="false" outlineLevel="0" collapsed="false">
      <c r="A956" s="2" t="n">
        <v>955</v>
      </c>
      <c r="B956" s="3" t="s">
        <v>3074</v>
      </c>
      <c r="C956" s="3"/>
      <c r="D956" s="4"/>
      <c r="E956" s="3"/>
      <c r="F956" s="3" t="s">
        <v>3055</v>
      </c>
      <c r="G956" s="3" t="s">
        <v>3075</v>
      </c>
      <c r="H956" s="3"/>
      <c r="I956" s="4"/>
      <c r="J956" s="5" t="s">
        <v>20</v>
      </c>
      <c r="K956" s="6"/>
      <c r="L956" s="5"/>
      <c r="M956" s="5"/>
      <c r="N956" s="6"/>
      <c r="O956" s="7"/>
      <c r="P956" s="8" t="s">
        <v>21</v>
      </c>
      <c r="Q956" s="8" t="s">
        <v>22</v>
      </c>
    </row>
    <row r="957" customFormat="false" ht="15" hidden="false" customHeight="false" outlineLevel="0" collapsed="false">
      <c r="A957" s="2" t="n">
        <v>956</v>
      </c>
      <c r="B957" s="3" t="s">
        <v>3076</v>
      </c>
      <c r="C957" s="3"/>
      <c r="D957" s="4"/>
      <c r="E957" s="3"/>
      <c r="F957" s="3" t="s">
        <v>3055</v>
      </c>
      <c r="G957" s="3"/>
      <c r="H957" s="3"/>
      <c r="I957" s="4"/>
      <c r="J957" s="5" t="s">
        <v>20</v>
      </c>
      <c r="K957" s="6"/>
      <c r="L957" s="5"/>
      <c r="M957" s="5"/>
      <c r="N957" s="6"/>
      <c r="O957" s="7"/>
      <c r="P957" s="8" t="s">
        <v>21</v>
      </c>
      <c r="Q957" s="8" t="s">
        <v>22</v>
      </c>
    </row>
    <row r="958" customFormat="false" ht="15" hidden="false" customHeight="false" outlineLevel="0" collapsed="false">
      <c r="A958" s="2" t="n">
        <v>957</v>
      </c>
      <c r="B958" s="3" t="s">
        <v>3077</v>
      </c>
      <c r="C958" s="3" t="s">
        <v>711</v>
      </c>
      <c r="D958" s="4"/>
      <c r="E958" s="3"/>
      <c r="F958" s="3" t="s">
        <v>3055</v>
      </c>
      <c r="G958" s="3"/>
      <c r="H958" s="3"/>
      <c r="I958" s="4"/>
      <c r="J958" s="5" t="s">
        <v>20</v>
      </c>
      <c r="K958" s="6"/>
      <c r="L958" s="5"/>
      <c r="M958" s="5"/>
      <c r="N958" s="6"/>
      <c r="O958" s="7"/>
      <c r="P958" s="8" t="s">
        <v>21</v>
      </c>
      <c r="Q958" s="8" t="s">
        <v>22</v>
      </c>
    </row>
    <row r="959" customFormat="false" ht="15" hidden="false" customHeight="false" outlineLevel="0" collapsed="false">
      <c r="A959" s="2" t="n">
        <v>958</v>
      </c>
      <c r="B959" s="3" t="s">
        <v>3078</v>
      </c>
      <c r="C959" s="3" t="s">
        <v>3079</v>
      </c>
      <c r="D959" s="4" t="s">
        <v>3080</v>
      </c>
      <c r="E959" s="3"/>
      <c r="F959" s="3" t="s">
        <v>3055</v>
      </c>
      <c r="G959" s="3" t="s">
        <v>3081</v>
      </c>
      <c r="H959" s="3"/>
      <c r="I959" s="4"/>
      <c r="J959" s="5" t="s">
        <v>20</v>
      </c>
      <c r="K959" s="6"/>
      <c r="L959" s="5"/>
      <c r="M959" s="5"/>
      <c r="N959" s="6"/>
      <c r="O959" s="7"/>
      <c r="P959" s="8" t="s">
        <v>21</v>
      </c>
      <c r="Q959" s="8" t="s">
        <v>22</v>
      </c>
    </row>
    <row r="960" customFormat="false" ht="15" hidden="false" customHeight="false" outlineLevel="0" collapsed="false">
      <c r="A960" s="2" t="n">
        <v>959</v>
      </c>
      <c r="B960" s="3" t="s">
        <v>3082</v>
      </c>
      <c r="C960" s="3"/>
      <c r="D960" s="4"/>
      <c r="E960" s="3"/>
      <c r="F960" s="3" t="s">
        <v>3055</v>
      </c>
      <c r="G960" s="3"/>
      <c r="H960" s="3"/>
      <c r="I960" s="4"/>
      <c r="J960" s="5" t="s">
        <v>20</v>
      </c>
      <c r="K960" s="6"/>
      <c r="L960" s="5"/>
      <c r="M960" s="5"/>
      <c r="N960" s="6"/>
      <c r="O960" s="7"/>
      <c r="P960" s="8" t="s">
        <v>21</v>
      </c>
      <c r="Q960" s="8" t="s">
        <v>22</v>
      </c>
    </row>
    <row r="961" customFormat="false" ht="23.85" hidden="false" customHeight="false" outlineLevel="0" collapsed="false">
      <c r="A961" s="2" t="n">
        <v>960</v>
      </c>
      <c r="B961" s="3" t="s">
        <v>3083</v>
      </c>
      <c r="C961" s="3" t="s">
        <v>3084</v>
      </c>
      <c r="D961" s="4" t="s">
        <v>3085</v>
      </c>
      <c r="E961" s="3" t="s">
        <v>3061</v>
      </c>
      <c r="F961" s="3" t="s">
        <v>3055</v>
      </c>
      <c r="G961" s="3" t="s">
        <v>3086</v>
      </c>
      <c r="H961" s="8" t="s">
        <v>3087</v>
      </c>
      <c r="I961" s="4" t="s">
        <v>3088</v>
      </c>
      <c r="J961" s="5" t="s">
        <v>20</v>
      </c>
      <c r="K961" s="6"/>
      <c r="L961" s="5"/>
      <c r="M961" s="5"/>
      <c r="N961" s="6"/>
      <c r="O961" s="7"/>
      <c r="P961" s="8" t="s">
        <v>21</v>
      </c>
      <c r="Q961" s="8" t="s">
        <v>22</v>
      </c>
    </row>
    <row r="962" customFormat="false" ht="15" hidden="false" customHeight="false" outlineLevel="0" collapsed="false">
      <c r="A962" s="2" t="n">
        <v>961</v>
      </c>
      <c r="B962" s="3" t="s">
        <v>3089</v>
      </c>
      <c r="C962" s="3" t="s">
        <v>3090</v>
      </c>
      <c r="D962" s="4"/>
      <c r="E962" s="3"/>
      <c r="F962" s="3" t="s">
        <v>3055</v>
      </c>
      <c r="G962" s="3" t="s">
        <v>3091</v>
      </c>
      <c r="H962" s="3"/>
      <c r="I962" s="4"/>
      <c r="J962" s="5" t="s">
        <v>20</v>
      </c>
      <c r="K962" s="6"/>
      <c r="L962" s="5"/>
      <c r="M962" s="5"/>
      <c r="N962" s="6"/>
      <c r="O962" s="7"/>
      <c r="P962" s="8" t="s">
        <v>21</v>
      </c>
      <c r="Q962" s="8" t="s">
        <v>22</v>
      </c>
    </row>
    <row r="963" customFormat="false" ht="15" hidden="false" customHeight="false" outlineLevel="0" collapsed="false">
      <c r="A963" s="2" t="n">
        <v>962</v>
      </c>
      <c r="B963" s="3" t="s">
        <v>3092</v>
      </c>
      <c r="C963" s="3"/>
      <c r="D963" s="4"/>
      <c r="E963" s="3"/>
      <c r="F963" s="3" t="s">
        <v>3055</v>
      </c>
      <c r="G963" s="3"/>
      <c r="H963" s="3"/>
      <c r="I963" s="4"/>
      <c r="J963" s="5" t="s">
        <v>20</v>
      </c>
      <c r="K963" s="6"/>
      <c r="L963" s="5"/>
      <c r="M963" s="5"/>
      <c r="N963" s="6"/>
      <c r="O963" s="7"/>
      <c r="P963" s="8" t="s">
        <v>21</v>
      </c>
      <c r="Q963" s="8" t="s">
        <v>22</v>
      </c>
    </row>
    <row r="964" customFormat="false" ht="15" hidden="false" customHeight="false" outlineLevel="0" collapsed="false">
      <c r="A964" s="2" t="n">
        <v>963</v>
      </c>
      <c r="B964" s="3" t="s">
        <v>3093</v>
      </c>
      <c r="C964" s="3"/>
      <c r="D964" s="4"/>
      <c r="E964" s="3"/>
      <c r="F964" s="3" t="s">
        <v>3055</v>
      </c>
      <c r="G964" s="3"/>
      <c r="H964" s="3"/>
      <c r="I964" s="4"/>
      <c r="J964" s="5" t="s">
        <v>20</v>
      </c>
      <c r="K964" s="6"/>
      <c r="L964" s="5"/>
      <c r="M964" s="5"/>
      <c r="N964" s="6"/>
      <c r="O964" s="7"/>
      <c r="P964" s="8" t="s">
        <v>21</v>
      </c>
      <c r="Q964" s="8" t="s">
        <v>22</v>
      </c>
    </row>
    <row r="965" customFormat="false" ht="15" hidden="false" customHeight="false" outlineLevel="0" collapsed="false">
      <c r="A965" s="2" t="n">
        <v>964</v>
      </c>
      <c r="B965" s="3" t="s">
        <v>3094</v>
      </c>
      <c r="C965" s="3"/>
      <c r="D965" s="4" t="s">
        <v>3095</v>
      </c>
      <c r="E965" s="3"/>
      <c r="F965" s="3" t="s">
        <v>3055</v>
      </c>
      <c r="G965" s="3"/>
      <c r="H965" s="3"/>
      <c r="I965" s="4"/>
      <c r="J965" s="5" t="s">
        <v>20</v>
      </c>
      <c r="K965" s="6"/>
      <c r="L965" s="5"/>
      <c r="M965" s="5"/>
      <c r="N965" s="6"/>
      <c r="O965" s="7"/>
      <c r="P965" s="8" t="s">
        <v>21</v>
      </c>
      <c r="Q965" s="8" t="s">
        <v>22</v>
      </c>
    </row>
    <row r="966" customFormat="false" ht="15" hidden="false" customHeight="false" outlineLevel="0" collapsed="false">
      <c r="A966" s="2" t="n">
        <v>965</v>
      </c>
      <c r="B966" s="3" t="s">
        <v>3096</v>
      </c>
      <c r="C966" s="3"/>
      <c r="D966" s="4"/>
      <c r="E966" s="3"/>
      <c r="F966" s="3" t="s">
        <v>3055</v>
      </c>
      <c r="G966" s="3"/>
      <c r="H966" s="3"/>
      <c r="I966" s="4"/>
      <c r="J966" s="5" t="s">
        <v>20</v>
      </c>
      <c r="K966" s="6"/>
      <c r="L966" s="5"/>
      <c r="M966" s="5"/>
      <c r="N966" s="6"/>
      <c r="O966" s="7"/>
      <c r="P966" s="8" t="s">
        <v>21</v>
      </c>
      <c r="Q966" s="8" t="s">
        <v>22</v>
      </c>
    </row>
    <row r="967" customFormat="false" ht="15" hidden="false" customHeight="false" outlineLevel="0" collapsed="false">
      <c r="A967" s="2" t="n">
        <v>966</v>
      </c>
      <c r="B967" s="3" t="s">
        <v>3097</v>
      </c>
      <c r="C967" s="3" t="s">
        <v>24</v>
      </c>
      <c r="D967" s="4" t="s">
        <v>2279</v>
      </c>
      <c r="E967" s="3"/>
      <c r="F967" s="3" t="s">
        <v>3055</v>
      </c>
      <c r="G967" s="3"/>
      <c r="H967" s="3"/>
      <c r="I967" s="4"/>
      <c r="J967" s="5" t="s">
        <v>20</v>
      </c>
      <c r="K967" s="6"/>
      <c r="L967" s="5"/>
      <c r="M967" s="5"/>
      <c r="N967" s="6"/>
      <c r="O967" s="7"/>
      <c r="P967" s="8" t="s">
        <v>21</v>
      </c>
      <c r="Q967" s="8" t="s">
        <v>22</v>
      </c>
    </row>
    <row r="968" customFormat="false" ht="15" hidden="false" customHeight="false" outlineLevel="0" collapsed="false">
      <c r="A968" s="2" t="n">
        <v>967</v>
      </c>
      <c r="B968" s="3" t="s">
        <v>3098</v>
      </c>
      <c r="C968" s="3" t="s">
        <v>711</v>
      </c>
      <c r="D968" s="4"/>
      <c r="E968" s="3"/>
      <c r="F968" s="3" t="s">
        <v>3055</v>
      </c>
      <c r="G968" s="3" t="s">
        <v>3099</v>
      </c>
      <c r="H968" s="8" t="s">
        <v>3100</v>
      </c>
      <c r="I968" s="4" t="s">
        <v>3101</v>
      </c>
      <c r="J968" s="5" t="s">
        <v>20</v>
      </c>
      <c r="K968" s="6"/>
      <c r="L968" s="5"/>
      <c r="M968" s="5"/>
      <c r="N968" s="6"/>
      <c r="O968" s="7"/>
      <c r="P968" s="8" t="s">
        <v>21</v>
      </c>
      <c r="Q968" s="8" t="s">
        <v>22</v>
      </c>
    </row>
    <row r="969" customFormat="false" ht="15" hidden="false" customHeight="false" outlineLevel="0" collapsed="false">
      <c r="A969" s="2" t="n">
        <v>968</v>
      </c>
      <c r="B969" s="3" t="s">
        <v>3102</v>
      </c>
      <c r="C969" s="3" t="s">
        <v>595</v>
      </c>
      <c r="D969" s="4"/>
      <c r="E969" s="3"/>
      <c r="F969" s="3" t="s">
        <v>3055</v>
      </c>
      <c r="G969" s="3"/>
      <c r="H969" s="8" t="s">
        <v>3103</v>
      </c>
      <c r="I969" s="4" t="s">
        <v>3104</v>
      </c>
      <c r="J969" s="5" t="s">
        <v>20</v>
      </c>
      <c r="K969" s="6"/>
      <c r="L969" s="5"/>
      <c r="M969" s="5"/>
      <c r="N969" s="6"/>
      <c r="O969" s="7"/>
      <c r="P969" s="8" t="s">
        <v>21</v>
      </c>
      <c r="Q969" s="8" t="s">
        <v>22</v>
      </c>
    </row>
    <row r="970" customFormat="false" ht="15" hidden="false" customHeight="false" outlineLevel="0" collapsed="false">
      <c r="A970" s="2" t="n">
        <v>969</v>
      </c>
      <c r="B970" s="3" t="s">
        <v>3105</v>
      </c>
      <c r="C970" s="3"/>
      <c r="D970" s="4"/>
      <c r="E970" s="3"/>
      <c r="F970" s="3" t="s">
        <v>3055</v>
      </c>
      <c r="G970" s="3"/>
      <c r="H970" s="3"/>
      <c r="I970" s="4"/>
      <c r="J970" s="5" t="s">
        <v>20</v>
      </c>
      <c r="K970" s="6"/>
      <c r="L970" s="5"/>
      <c r="M970" s="5"/>
      <c r="N970" s="6"/>
      <c r="O970" s="7"/>
      <c r="P970" s="8" t="s">
        <v>21</v>
      </c>
      <c r="Q970" s="8" t="s">
        <v>22</v>
      </c>
    </row>
    <row r="971" customFormat="false" ht="15" hidden="false" customHeight="false" outlineLevel="0" collapsed="false">
      <c r="A971" s="2" t="n">
        <v>970</v>
      </c>
      <c r="B971" s="3" t="s">
        <v>3106</v>
      </c>
      <c r="C971" s="3" t="s">
        <v>3065</v>
      </c>
      <c r="D971" s="4"/>
      <c r="E971" s="3"/>
      <c r="F971" s="3" t="s">
        <v>3055</v>
      </c>
      <c r="G971" s="3" t="s">
        <v>3107</v>
      </c>
      <c r="H971" s="8" t="s">
        <v>3108</v>
      </c>
      <c r="I971" s="4" t="s">
        <v>3109</v>
      </c>
      <c r="J971" s="5" t="s">
        <v>20</v>
      </c>
      <c r="K971" s="6"/>
      <c r="L971" s="5"/>
      <c r="M971" s="5"/>
      <c r="N971" s="6"/>
      <c r="O971" s="7"/>
      <c r="P971" s="8" t="s">
        <v>21</v>
      </c>
      <c r="Q971" s="8" t="s">
        <v>22</v>
      </c>
    </row>
    <row r="972" customFormat="false" ht="35.05" hidden="false" customHeight="false" outlineLevel="0" collapsed="false">
      <c r="A972" s="2" t="n">
        <v>971</v>
      </c>
      <c r="B972" s="3" t="s">
        <v>847</v>
      </c>
      <c r="C972" s="3" t="s">
        <v>711</v>
      </c>
      <c r="D972" s="4"/>
      <c r="E972" s="3"/>
      <c r="F972" s="3" t="s">
        <v>3055</v>
      </c>
      <c r="G972" s="3" t="s">
        <v>3110</v>
      </c>
      <c r="H972" s="8" t="s">
        <v>3111</v>
      </c>
      <c r="I972" s="4" t="s">
        <v>3112</v>
      </c>
      <c r="J972" s="5" t="s">
        <v>20</v>
      </c>
      <c r="K972" s="6"/>
      <c r="L972" s="5"/>
      <c r="M972" s="5"/>
      <c r="N972" s="6"/>
      <c r="O972" s="7"/>
      <c r="P972" s="8" t="s">
        <v>21</v>
      </c>
      <c r="Q972" s="8" t="s">
        <v>22</v>
      </c>
    </row>
    <row r="973" customFormat="false" ht="15" hidden="false" customHeight="false" outlineLevel="0" collapsed="false">
      <c r="A973" s="2" t="n">
        <v>972</v>
      </c>
      <c r="B973" s="3" t="s">
        <v>3113</v>
      </c>
      <c r="C973" s="3" t="s">
        <v>91</v>
      </c>
      <c r="D973" s="4"/>
      <c r="E973" s="3"/>
      <c r="F973" s="3" t="s">
        <v>3055</v>
      </c>
      <c r="G973" s="3" t="s">
        <v>3114</v>
      </c>
      <c r="H973" s="8" t="s">
        <v>3115</v>
      </c>
      <c r="I973" s="4" t="s">
        <v>3116</v>
      </c>
      <c r="J973" s="5" t="s">
        <v>20</v>
      </c>
      <c r="K973" s="6"/>
      <c r="L973" s="5"/>
      <c r="M973" s="5"/>
      <c r="N973" s="6"/>
      <c r="O973" s="7"/>
      <c r="P973" s="8" t="s">
        <v>21</v>
      </c>
      <c r="Q973" s="8" t="s">
        <v>22</v>
      </c>
    </row>
    <row r="974" customFormat="false" ht="23.85" hidden="false" customHeight="false" outlineLevel="0" collapsed="false">
      <c r="A974" s="2" t="n">
        <v>973</v>
      </c>
      <c r="B974" s="3" t="s">
        <v>3117</v>
      </c>
      <c r="C974" s="3" t="s">
        <v>3118</v>
      </c>
      <c r="D974" s="4" t="s">
        <v>3119</v>
      </c>
      <c r="E974" s="3"/>
      <c r="F974" s="3" t="s">
        <v>3055</v>
      </c>
      <c r="G974" s="3" t="s">
        <v>3120</v>
      </c>
      <c r="H974" s="8" t="s">
        <v>3121</v>
      </c>
      <c r="I974" s="4" t="s">
        <v>3122</v>
      </c>
      <c r="J974" s="5" t="s">
        <v>20</v>
      </c>
      <c r="K974" s="6"/>
      <c r="L974" s="5"/>
      <c r="M974" s="5"/>
      <c r="N974" s="6"/>
      <c r="O974" s="7"/>
      <c r="P974" s="8" t="s">
        <v>21</v>
      </c>
      <c r="Q974" s="8" t="s">
        <v>22</v>
      </c>
    </row>
    <row r="975" customFormat="false" ht="15" hidden="false" customHeight="false" outlineLevel="0" collapsed="false">
      <c r="A975" s="2" t="n">
        <v>974</v>
      </c>
      <c r="B975" s="3" t="s">
        <v>3123</v>
      </c>
      <c r="C975" s="3" t="s">
        <v>277</v>
      </c>
      <c r="D975" s="4"/>
      <c r="E975" s="3"/>
      <c r="F975" s="3" t="s">
        <v>3055</v>
      </c>
      <c r="G975" s="3"/>
      <c r="H975" s="8" t="s">
        <v>3124</v>
      </c>
      <c r="I975" s="4"/>
      <c r="J975" s="5" t="s">
        <v>20</v>
      </c>
      <c r="K975" s="6"/>
      <c r="L975" s="5"/>
      <c r="M975" s="5"/>
      <c r="N975" s="6"/>
      <c r="O975" s="7"/>
      <c r="P975" s="8" t="s">
        <v>21</v>
      </c>
      <c r="Q975" s="8" t="s">
        <v>22</v>
      </c>
    </row>
    <row r="976" customFormat="false" ht="15" hidden="false" customHeight="false" outlineLevel="0" collapsed="false">
      <c r="A976" s="2" t="n">
        <v>975</v>
      </c>
      <c r="B976" s="3" t="s">
        <v>3125</v>
      </c>
      <c r="C976" s="3" t="s">
        <v>673</v>
      </c>
      <c r="D976" s="4"/>
      <c r="E976" s="3"/>
      <c r="F976" s="3" t="s">
        <v>3055</v>
      </c>
      <c r="G976" s="3"/>
      <c r="H976" s="3"/>
      <c r="I976" s="4"/>
      <c r="J976" s="5" t="s">
        <v>20</v>
      </c>
      <c r="K976" s="6"/>
      <c r="L976" s="5"/>
      <c r="M976" s="5"/>
      <c r="N976" s="6"/>
      <c r="O976" s="7"/>
      <c r="P976" s="8" t="s">
        <v>21</v>
      </c>
      <c r="Q976" s="8" t="s">
        <v>22</v>
      </c>
    </row>
    <row r="977" customFormat="false" ht="15" hidden="false" customHeight="false" outlineLevel="0" collapsed="false">
      <c r="A977" s="2" t="n">
        <v>976</v>
      </c>
      <c r="B977" s="3" t="s">
        <v>3126</v>
      </c>
      <c r="C977" s="3" t="s">
        <v>89</v>
      </c>
      <c r="D977" s="4" t="s">
        <v>3127</v>
      </c>
      <c r="E977" s="3"/>
      <c r="F977" s="3" t="s">
        <v>3055</v>
      </c>
      <c r="G977" s="3" t="s">
        <v>3128</v>
      </c>
      <c r="H977" s="8" t="s">
        <v>3129</v>
      </c>
      <c r="I977" s="4" t="s">
        <v>3130</v>
      </c>
      <c r="J977" s="5" t="s">
        <v>20</v>
      </c>
      <c r="K977" s="6"/>
      <c r="L977" s="5"/>
      <c r="M977" s="5"/>
      <c r="N977" s="6"/>
      <c r="O977" s="7"/>
      <c r="P977" s="8" t="s">
        <v>21</v>
      </c>
      <c r="Q977" s="8" t="s">
        <v>22</v>
      </c>
    </row>
    <row r="978" customFormat="false" ht="15" hidden="false" customHeight="false" outlineLevel="0" collapsed="false">
      <c r="A978" s="2" t="n">
        <v>977</v>
      </c>
      <c r="B978" s="3" t="s">
        <v>3131</v>
      </c>
      <c r="C978" s="3"/>
      <c r="D978" s="4" t="s">
        <v>3132</v>
      </c>
      <c r="E978" s="3"/>
      <c r="F978" s="3" t="s">
        <v>3055</v>
      </c>
      <c r="G978" s="3"/>
      <c r="H978" s="3"/>
      <c r="I978" s="4"/>
      <c r="J978" s="5" t="s">
        <v>20</v>
      </c>
      <c r="K978" s="6"/>
      <c r="L978" s="5"/>
      <c r="M978" s="5"/>
      <c r="N978" s="6"/>
      <c r="O978" s="7"/>
      <c r="P978" s="8" t="s">
        <v>21</v>
      </c>
      <c r="Q978" s="8" t="s">
        <v>22</v>
      </c>
    </row>
    <row r="979" customFormat="false" ht="23.85" hidden="false" customHeight="false" outlineLevel="0" collapsed="false">
      <c r="A979" s="2" t="n">
        <v>978</v>
      </c>
      <c r="B979" s="3" t="s">
        <v>3133</v>
      </c>
      <c r="C979" s="3" t="s">
        <v>24</v>
      </c>
      <c r="D979" s="4" t="s">
        <v>3134</v>
      </c>
      <c r="E979" s="3"/>
      <c r="F979" s="3" t="s">
        <v>3055</v>
      </c>
      <c r="G979" s="3" t="s">
        <v>3135</v>
      </c>
      <c r="H979" s="8" t="s">
        <v>3136</v>
      </c>
      <c r="I979" s="4" t="s">
        <v>3137</v>
      </c>
      <c r="J979" s="5" t="s">
        <v>20</v>
      </c>
      <c r="K979" s="6"/>
      <c r="L979" s="5"/>
      <c r="M979" s="5"/>
      <c r="N979" s="6"/>
      <c r="O979" s="7"/>
      <c r="P979" s="8" t="s">
        <v>21</v>
      </c>
      <c r="Q979" s="8" t="s">
        <v>22</v>
      </c>
    </row>
    <row r="980" customFormat="false" ht="15" hidden="false" customHeight="false" outlineLevel="0" collapsed="false">
      <c r="A980" s="2" t="n">
        <v>979</v>
      </c>
      <c r="B980" s="3" t="s">
        <v>3138</v>
      </c>
      <c r="C980" s="3"/>
      <c r="D980" s="4"/>
      <c r="E980" s="3"/>
      <c r="F980" s="3" t="s">
        <v>3055</v>
      </c>
      <c r="G980" s="3"/>
      <c r="H980" s="8" t="s">
        <v>3108</v>
      </c>
      <c r="I980" s="4" t="s">
        <v>3139</v>
      </c>
      <c r="J980" s="5" t="s">
        <v>20</v>
      </c>
      <c r="K980" s="6"/>
      <c r="L980" s="5"/>
      <c r="M980" s="5"/>
      <c r="N980" s="6"/>
      <c r="O980" s="7"/>
      <c r="P980" s="8" t="s">
        <v>21</v>
      </c>
      <c r="Q980" s="8" t="s">
        <v>22</v>
      </c>
    </row>
    <row r="981" customFormat="false" ht="15" hidden="false" customHeight="false" outlineLevel="0" collapsed="false">
      <c r="A981" s="2" t="n">
        <v>980</v>
      </c>
      <c r="B981" s="3" t="s">
        <v>3140</v>
      </c>
      <c r="C981" s="3"/>
      <c r="D981" s="4"/>
      <c r="E981" s="3"/>
      <c r="F981" s="3" t="s">
        <v>3055</v>
      </c>
      <c r="G981" s="3"/>
      <c r="H981" s="3"/>
      <c r="I981" s="4" t="s">
        <v>3141</v>
      </c>
      <c r="J981" s="5" t="s">
        <v>20</v>
      </c>
      <c r="K981" s="6"/>
      <c r="L981" s="5"/>
      <c r="M981" s="5"/>
      <c r="N981" s="6"/>
      <c r="O981" s="7"/>
      <c r="P981" s="8" t="s">
        <v>21</v>
      </c>
      <c r="Q981" s="8" t="s">
        <v>22</v>
      </c>
    </row>
    <row r="982" customFormat="false" ht="15" hidden="false" customHeight="false" outlineLevel="0" collapsed="false">
      <c r="A982" s="2" t="n">
        <v>981</v>
      </c>
      <c r="B982" s="3" t="s">
        <v>3142</v>
      </c>
      <c r="C982" s="3" t="s">
        <v>24</v>
      </c>
      <c r="D982" s="4" t="s">
        <v>3143</v>
      </c>
      <c r="E982" s="3"/>
      <c r="F982" s="3" t="s">
        <v>3055</v>
      </c>
      <c r="G982" s="3" t="s">
        <v>3144</v>
      </c>
      <c r="H982" s="8" t="s">
        <v>3145</v>
      </c>
      <c r="I982" s="4"/>
      <c r="J982" s="5" t="s">
        <v>20</v>
      </c>
      <c r="K982" s="6"/>
      <c r="L982" s="5"/>
      <c r="M982" s="5"/>
      <c r="N982" s="6"/>
      <c r="O982" s="7"/>
      <c r="P982" s="8" t="s">
        <v>21</v>
      </c>
      <c r="Q982" s="8" t="s">
        <v>22</v>
      </c>
    </row>
    <row r="983" customFormat="false" ht="15" hidden="false" customHeight="false" outlineLevel="0" collapsed="false">
      <c r="A983" s="2" t="n">
        <v>982</v>
      </c>
      <c r="B983" s="3" t="s">
        <v>3146</v>
      </c>
      <c r="C983" s="3"/>
      <c r="D983" s="4"/>
      <c r="E983" s="3"/>
      <c r="F983" s="3" t="s">
        <v>3055</v>
      </c>
      <c r="G983" s="3"/>
      <c r="H983" s="3"/>
      <c r="I983" s="4"/>
      <c r="J983" s="5" t="s">
        <v>20</v>
      </c>
      <c r="K983" s="6"/>
      <c r="L983" s="5"/>
      <c r="M983" s="5"/>
      <c r="N983" s="6"/>
      <c r="O983" s="7"/>
      <c r="P983" s="8" t="s">
        <v>21</v>
      </c>
      <c r="Q983" s="8" t="s">
        <v>22</v>
      </c>
    </row>
    <row r="984" customFormat="false" ht="15" hidden="false" customHeight="false" outlineLevel="0" collapsed="false">
      <c r="A984" s="2" t="n">
        <v>983</v>
      </c>
      <c r="B984" s="3" t="s">
        <v>3147</v>
      </c>
      <c r="C984" s="3"/>
      <c r="D984" s="4"/>
      <c r="E984" s="3"/>
      <c r="F984" s="3" t="s">
        <v>3055</v>
      </c>
      <c r="G984" s="3" t="s">
        <v>3148</v>
      </c>
      <c r="H984" s="8" t="s">
        <v>3149</v>
      </c>
      <c r="I984" s="4"/>
      <c r="J984" s="5" t="s">
        <v>20</v>
      </c>
      <c r="K984" s="6"/>
      <c r="L984" s="5"/>
      <c r="M984" s="5"/>
      <c r="N984" s="6"/>
      <c r="O984" s="7"/>
      <c r="P984" s="8" t="s">
        <v>21</v>
      </c>
      <c r="Q984" s="8" t="s">
        <v>22</v>
      </c>
    </row>
    <row r="985" customFormat="false" ht="15" hidden="false" customHeight="false" outlineLevel="0" collapsed="false">
      <c r="A985" s="2" t="n">
        <v>984</v>
      </c>
      <c r="B985" s="3" t="s">
        <v>3150</v>
      </c>
      <c r="C985" s="3" t="s">
        <v>181</v>
      </c>
      <c r="D985" s="4" t="s">
        <v>3151</v>
      </c>
      <c r="E985" s="3"/>
      <c r="F985" s="3" t="s">
        <v>3055</v>
      </c>
      <c r="G985" s="3"/>
      <c r="H985" s="3"/>
      <c r="I985" s="4"/>
      <c r="J985" s="5" t="s">
        <v>20</v>
      </c>
      <c r="K985" s="6"/>
      <c r="L985" s="5"/>
      <c r="M985" s="5"/>
      <c r="N985" s="6"/>
      <c r="O985" s="7"/>
      <c r="P985" s="8" t="s">
        <v>21</v>
      </c>
      <c r="Q985" s="8" t="s">
        <v>22</v>
      </c>
    </row>
    <row r="986" customFormat="false" ht="15" hidden="false" customHeight="false" outlineLevel="0" collapsed="false">
      <c r="A986" s="2" t="n">
        <v>985</v>
      </c>
      <c r="B986" s="3" t="s">
        <v>3152</v>
      </c>
      <c r="C986" s="3"/>
      <c r="D986" s="4" t="s">
        <v>3151</v>
      </c>
      <c r="E986" s="3"/>
      <c r="F986" s="3" t="s">
        <v>3055</v>
      </c>
      <c r="G986" s="3"/>
      <c r="H986" s="3"/>
      <c r="I986" s="4" t="s">
        <v>3153</v>
      </c>
      <c r="J986" s="5" t="s">
        <v>20</v>
      </c>
      <c r="K986" s="6"/>
      <c r="L986" s="5"/>
      <c r="M986" s="5"/>
      <c r="N986" s="6"/>
      <c r="O986" s="7"/>
      <c r="P986" s="8" t="s">
        <v>21</v>
      </c>
      <c r="Q986" s="8" t="s">
        <v>22</v>
      </c>
    </row>
    <row r="987" customFormat="false" ht="23.85" hidden="false" customHeight="false" outlineLevel="0" collapsed="false">
      <c r="A987" s="2" t="n">
        <v>986</v>
      </c>
      <c r="B987" s="3" t="s">
        <v>3154</v>
      </c>
      <c r="C987" s="3" t="s">
        <v>120</v>
      </c>
      <c r="D987" s="4"/>
      <c r="E987" s="3"/>
      <c r="F987" s="3" t="s">
        <v>3055</v>
      </c>
      <c r="G987" s="3"/>
      <c r="H987" s="3"/>
      <c r="I987" s="4" t="s">
        <v>3155</v>
      </c>
      <c r="J987" s="5" t="s">
        <v>20</v>
      </c>
      <c r="K987" s="6"/>
      <c r="L987" s="5"/>
      <c r="M987" s="5"/>
      <c r="N987" s="6"/>
      <c r="O987" s="7"/>
      <c r="P987" s="8" t="s">
        <v>21</v>
      </c>
      <c r="Q987" s="8" t="s">
        <v>22</v>
      </c>
    </row>
    <row r="988" customFormat="false" ht="15" hidden="false" customHeight="false" outlineLevel="0" collapsed="false">
      <c r="A988" s="2" t="n">
        <v>987</v>
      </c>
      <c r="B988" s="3" t="s">
        <v>3156</v>
      </c>
      <c r="C988" s="3"/>
      <c r="D988" s="4" t="s">
        <v>3157</v>
      </c>
      <c r="E988" s="3"/>
      <c r="F988" s="3" t="s">
        <v>3055</v>
      </c>
      <c r="G988" s="3"/>
      <c r="H988" s="3"/>
      <c r="I988" s="4"/>
      <c r="J988" s="5" t="s">
        <v>20</v>
      </c>
      <c r="K988" s="6"/>
      <c r="L988" s="5"/>
      <c r="M988" s="5"/>
      <c r="N988" s="6"/>
      <c r="O988" s="7"/>
      <c r="P988" s="8" t="s">
        <v>21</v>
      </c>
      <c r="Q988" s="8" t="s">
        <v>22</v>
      </c>
    </row>
    <row r="989" customFormat="false" ht="15" hidden="false" customHeight="false" outlineLevel="0" collapsed="false">
      <c r="A989" s="2" t="n">
        <v>988</v>
      </c>
      <c r="B989" s="3" t="s">
        <v>3158</v>
      </c>
      <c r="C989" s="3"/>
      <c r="D989" s="4"/>
      <c r="E989" s="3"/>
      <c r="F989" s="3" t="s">
        <v>3055</v>
      </c>
      <c r="G989" s="3"/>
      <c r="H989" s="3"/>
      <c r="I989" s="4"/>
      <c r="J989" s="5" t="s">
        <v>20</v>
      </c>
      <c r="K989" s="6"/>
      <c r="L989" s="5"/>
      <c r="M989" s="5"/>
      <c r="N989" s="6"/>
      <c r="O989" s="7"/>
      <c r="P989" s="8" t="s">
        <v>21</v>
      </c>
      <c r="Q989" s="8" t="s">
        <v>22</v>
      </c>
    </row>
    <row r="990" customFormat="false" ht="15" hidden="false" customHeight="false" outlineLevel="0" collapsed="false">
      <c r="A990" s="2" t="n">
        <v>989</v>
      </c>
      <c r="B990" s="3" t="s">
        <v>3159</v>
      </c>
      <c r="C990" s="3"/>
      <c r="D990" s="4"/>
      <c r="E990" s="3"/>
      <c r="F990" s="3" t="s">
        <v>3055</v>
      </c>
      <c r="G990" s="3" t="s">
        <v>3160</v>
      </c>
      <c r="H990" s="8" t="s">
        <v>3161</v>
      </c>
      <c r="I990" s="4" t="s">
        <v>3162</v>
      </c>
      <c r="J990" s="5" t="s">
        <v>20</v>
      </c>
      <c r="K990" s="6"/>
      <c r="L990" s="5"/>
      <c r="M990" s="5"/>
      <c r="N990" s="6"/>
      <c r="O990" s="7"/>
      <c r="P990" s="8" t="s">
        <v>21</v>
      </c>
      <c r="Q990" s="8" t="s">
        <v>22</v>
      </c>
    </row>
    <row r="991" customFormat="false" ht="15" hidden="false" customHeight="false" outlineLevel="0" collapsed="false">
      <c r="A991" s="2" t="n">
        <v>990</v>
      </c>
      <c r="B991" s="3" t="s">
        <v>3163</v>
      </c>
      <c r="C991" s="3" t="s">
        <v>126</v>
      </c>
      <c r="D991" s="4" t="s">
        <v>3164</v>
      </c>
      <c r="E991" s="3" t="s">
        <v>3061</v>
      </c>
      <c r="F991" s="3" t="s">
        <v>3055</v>
      </c>
      <c r="G991" s="3" t="s">
        <v>3165</v>
      </c>
      <c r="H991" s="8" t="s">
        <v>3166</v>
      </c>
      <c r="I991" s="4" t="s">
        <v>3167</v>
      </c>
      <c r="J991" s="5" t="s">
        <v>20</v>
      </c>
      <c r="K991" s="6"/>
      <c r="L991" s="5"/>
      <c r="M991" s="5"/>
      <c r="N991" s="6"/>
      <c r="O991" s="7"/>
      <c r="P991" s="8" t="s">
        <v>21</v>
      </c>
      <c r="Q991" s="8" t="s">
        <v>22</v>
      </c>
    </row>
    <row r="992" customFormat="false" ht="15" hidden="false" customHeight="false" outlineLevel="0" collapsed="false">
      <c r="A992" s="2" t="n">
        <v>991</v>
      </c>
      <c r="B992" s="3" t="s">
        <v>3168</v>
      </c>
      <c r="C992" s="3"/>
      <c r="D992" s="4"/>
      <c r="E992" s="3"/>
      <c r="F992" s="3" t="s">
        <v>3055</v>
      </c>
      <c r="G992" s="3"/>
      <c r="H992" s="8" t="s">
        <v>3169</v>
      </c>
      <c r="I992" s="4"/>
      <c r="J992" s="5" t="s">
        <v>20</v>
      </c>
      <c r="K992" s="6"/>
      <c r="L992" s="5"/>
      <c r="M992" s="5"/>
      <c r="N992" s="6"/>
      <c r="O992" s="7"/>
      <c r="P992" s="8" t="s">
        <v>21</v>
      </c>
      <c r="Q992" s="8" t="s">
        <v>22</v>
      </c>
    </row>
    <row r="993" customFormat="false" ht="23.85" hidden="false" customHeight="false" outlineLevel="0" collapsed="false">
      <c r="A993" s="2" t="n">
        <v>992</v>
      </c>
      <c r="B993" s="3" t="s">
        <v>3170</v>
      </c>
      <c r="C993" s="3" t="s">
        <v>116</v>
      </c>
      <c r="D993" s="4" t="s">
        <v>3171</v>
      </c>
      <c r="E993" s="3"/>
      <c r="F993" s="3" t="s">
        <v>3055</v>
      </c>
      <c r="G993" s="3" t="s">
        <v>3172</v>
      </c>
      <c r="H993" s="8" t="s">
        <v>3173</v>
      </c>
      <c r="I993" s="4" t="s">
        <v>3174</v>
      </c>
      <c r="J993" s="5" t="s">
        <v>20</v>
      </c>
      <c r="K993" s="6"/>
      <c r="L993" s="5"/>
      <c r="M993" s="5"/>
      <c r="N993" s="6"/>
      <c r="O993" s="7"/>
      <c r="P993" s="8" t="s">
        <v>21</v>
      </c>
      <c r="Q993" s="8" t="s">
        <v>22</v>
      </c>
    </row>
    <row r="994" customFormat="false" ht="15" hidden="false" customHeight="false" outlineLevel="0" collapsed="false">
      <c r="A994" s="2" t="n">
        <v>993</v>
      </c>
      <c r="B994" s="3" t="s">
        <v>3175</v>
      </c>
      <c r="C994" s="3" t="s">
        <v>120</v>
      </c>
      <c r="D994" s="4" t="s">
        <v>3176</v>
      </c>
      <c r="E994" s="3"/>
      <c r="F994" s="3" t="s">
        <v>3055</v>
      </c>
      <c r="G994" s="3" t="s">
        <v>3177</v>
      </c>
      <c r="H994" s="8" t="s">
        <v>3178</v>
      </c>
      <c r="I994" s="4" t="s">
        <v>3179</v>
      </c>
      <c r="J994" s="5" t="s">
        <v>20</v>
      </c>
      <c r="K994" s="6"/>
      <c r="L994" s="5"/>
      <c r="M994" s="5"/>
      <c r="N994" s="6"/>
      <c r="O994" s="7"/>
      <c r="P994" s="8" t="s">
        <v>21</v>
      </c>
      <c r="Q994" s="8" t="s">
        <v>22</v>
      </c>
    </row>
    <row r="995" customFormat="false" ht="35.05" hidden="false" customHeight="false" outlineLevel="0" collapsed="false">
      <c r="A995" s="2" t="n">
        <v>994</v>
      </c>
      <c r="B995" s="3" t="s">
        <v>3180</v>
      </c>
      <c r="C995" s="3" t="s">
        <v>3181</v>
      </c>
      <c r="D995" s="4" t="s">
        <v>3182</v>
      </c>
      <c r="E995" s="3" t="s">
        <v>3061</v>
      </c>
      <c r="F995" s="3" t="s">
        <v>3055</v>
      </c>
      <c r="G995" s="3" t="s">
        <v>3183</v>
      </c>
      <c r="H995" s="8" t="s">
        <v>3184</v>
      </c>
      <c r="I995" s="4" t="s">
        <v>3185</v>
      </c>
      <c r="J995" s="5" t="s">
        <v>20</v>
      </c>
      <c r="K995" s="6"/>
      <c r="L995" s="5"/>
      <c r="M995" s="5"/>
      <c r="N995" s="6"/>
      <c r="O995" s="7"/>
      <c r="P995" s="8" t="s">
        <v>21</v>
      </c>
      <c r="Q995" s="8" t="s">
        <v>22</v>
      </c>
    </row>
    <row r="996" customFormat="false" ht="15" hidden="false" customHeight="false" outlineLevel="0" collapsed="false">
      <c r="A996" s="2" t="n">
        <v>995</v>
      </c>
      <c r="B996" s="3" t="s">
        <v>3186</v>
      </c>
      <c r="C996" s="3"/>
      <c r="D996" s="4"/>
      <c r="E996" s="3"/>
      <c r="F996" s="3" t="s">
        <v>3055</v>
      </c>
      <c r="G996" s="3"/>
      <c r="H996" s="3"/>
      <c r="I996" s="4"/>
      <c r="J996" s="5" t="s">
        <v>20</v>
      </c>
      <c r="K996" s="6"/>
      <c r="L996" s="5"/>
      <c r="M996" s="5"/>
      <c r="N996" s="6"/>
      <c r="O996" s="7"/>
      <c r="P996" s="8" t="s">
        <v>21</v>
      </c>
      <c r="Q996" s="8" t="s">
        <v>22</v>
      </c>
    </row>
    <row r="997" customFormat="false" ht="35.05" hidden="false" customHeight="false" outlineLevel="0" collapsed="false">
      <c r="A997" s="2" t="n">
        <v>996</v>
      </c>
      <c r="B997" s="3" t="s">
        <v>3187</v>
      </c>
      <c r="C997" s="3" t="s">
        <v>62</v>
      </c>
      <c r="D997" s="4" t="s">
        <v>3188</v>
      </c>
      <c r="E997" s="3"/>
      <c r="F997" s="3" t="s">
        <v>3055</v>
      </c>
      <c r="G997" s="3" t="s">
        <v>3189</v>
      </c>
      <c r="H997" s="8" t="s">
        <v>3190</v>
      </c>
      <c r="I997" s="4" t="s">
        <v>3191</v>
      </c>
      <c r="J997" s="5" t="s">
        <v>20</v>
      </c>
      <c r="K997" s="6"/>
      <c r="L997" s="5"/>
      <c r="M997" s="5"/>
      <c r="N997" s="6"/>
      <c r="O997" s="7"/>
      <c r="P997" s="8" t="s">
        <v>21</v>
      </c>
      <c r="Q997" s="8" t="s">
        <v>22</v>
      </c>
    </row>
    <row r="998" customFormat="false" ht="35.05" hidden="false" customHeight="false" outlineLevel="0" collapsed="false">
      <c r="A998" s="2" t="n">
        <v>997</v>
      </c>
      <c r="B998" s="3" t="s">
        <v>2097</v>
      </c>
      <c r="C998" s="3" t="s">
        <v>2098</v>
      </c>
      <c r="D998" s="4"/>
      <c r="E998" s="3"/>
      <c r="F998" s="3" t="s">
        <v>3055</v>
      </c>
      <c r="G998" s="3" t="s">
        <v>3192</v>
      </c>
      <c r="H998" s="8" t="s">
        <v>3193</v>
      </c>
      <c r="I998" s="4" t="s">
        <v>3194</v>
      </c>
      <c r="J998" s="5" t="s">
        <v>20</v>
      </c>
      <c r="K998" s="6"/>
      <c r="L998" s="5"/>
      <c r="M998" s="5"/>
      <c r="N998" s="6"/>
      <c r="O998" s="7"/>
      <c r="P998" s="8" t="s">
        <v>21</v>
      </c>
      <c r="Q998" s="8" t="s">
        <v>22</v>
      </c>
    </row>
    <row r="999" customFormat="false" ht="15" hidden="false" customHeight="false" outlineLevel="0" collapsed="false">
      <c r="A999" s="2" t="n">
        <v>998</v>
      </c>
      <c r="B999" s="3" t="s">
        <v>3195</v>
      </c>
      <c r="C999" s="3" t="s">
        <v>428</v>
      </c>
      <c r="D999" s="4"/>
      <c r="E999" s="3"/>
      <c r="F999" s="3" t="s">
        <v>3055</v>
      </c>
      <c r="G999" s="3"/>
      <c r="H999" s="8" t="s">
        <v>3196</v>
      </c>
      <c r="I999" s="4"/>
      <c r="J999" s="5" t="s">
        <v>20</v>
      </c>
      <c r="K999" s="6"/>
      <c r="L999" s="5"/>
      <c r="M999" s="5"/>
      <c r="N999" s="6"/>
      <c r="O999" s="7"/>
      <c r="P999" s="8" t="s">
        <v>21</v>
      </c>
      <c r="Q999" s="8" t="s">
        <v>22</v>
      </c>
    </row>
    <row r="1000" customFormat="false" ht="15" hidden="false" customHeight="false" outlineLevel="0" collapsed="false">
      <c r="A1000" s="2" t="n">
        <v>999</v>
      </c>
      <c r="B1000" s="3" t="s">
        <v>3197</v>
      </c>
      <c r="C1000" s="3" t="s">
        <v>24</v>
      </c>
      <c r="D1000" s="4" t="s">
        <v>3198</v>
      </c>
      <c r="E1000" s="3" t="s">
        <v>3061</v>
      </c>
      <c r="F1000" s="3" t="s">
        <v>3055</v>
      </c>
      <c r="G1000" s="3" t="s">
        <v>3199</v>
      </c>
      <c r="H1000" s="8" t="s">
        <v>3200</v>
      </c>
      <c r="I1000" s="4" t="s">
        <v>3201</v>
      </c>
      <c r="J1000" s="5" t="s">
        <v>20</v>
      </c>
      <c r="K1000" s="6"/>
      <c r="L1000" s="5"/>
      <c r="M1000" s="5"/>
      <c r="N1000" s="6"/>
      <c r="O1000" s="7"/>
      <c r="P1000" s="8" t="s">
        <v>21</v>
      </c>
      <c r="Q1000" s="8" t="s">
        <v>22</v>
      </c>
    </row>
    <row r="1001" customFormat="false" ht="15" hidden="false" customHeight="false" outlineLevel="0" collapsed="false">
      <c r="A1001" s="2" t="n">
        <v>1000</v>
      </c>
      <c r="B1001" s="3" t="s">
        <v>3202</v>
      </c>
      <c r="C1001" s="3" t="s">
        <v>3203</v>
      </c>
      <c r="D1001" s="4" t="s">
        <v>3204</v>
      </c>
      <c r="E1001" s="3"/>
      <c r="F1001" s="3" t="s">
        <v>3055</v>
      </c>
      <c r="G1001" s="3"/>
      <c r="H1001" s="8" t="s">
        <v>3205</v>
      </c>
      <c r="I1001" s="4"/>
      <c r="J1001" s="5" t="s">
        <v>20</v>
      </c>
      <c r="K1001" s="6"/>
      <c r="L1001" s="5"/>
      <c r="M1001" s="5"/>
      <c r="N1001" s="6"/>
      <c r="O1001" s="7"/>
      <c r="P1001" s="8" t="s">
        <v>21</v>
      </c>
      <c r="Q1001" s="8" t="s">
        <v>22</v>
      </c>
    </row>
    <row r="1002" customFormat="false" ht="15" hidden="false" customHeight="false" outlineLevel="0" collapsed="false">
      <c r="A1002" s="2" t="n">
        <v>1001</v>
      </c>
      <c r="B1002" s="3" t="s">
        <v>3206</v>
      </c>
      <c r="C1002" s="3" t="s">
        <v>24</v>
      </c>
      <c r="D1002" s="4"/>
      <c r="E1002" s="3"/>
      <c r="F1002" s="3" t="s">
        <v>3055</v>
      </c>
      <c r="G1002" s="3" t="s">
        <v>3207</v>
      </c>
      <c r="H1002" s="8" t="s">
        <v>3169</v>
      </c>
      <c r="I1002" s="4" t="s">
        <v>3208</v>
      </c>
      <c r="J1002" s="5" t="s">
        <v>20</v>
      </c>
      <c r="K1002" s="6"/>
      <c r="L1002" s="5"/>
      <c r="M1002" s="5"/>
      <c r="N1002" s="6"/>
      <c r="O1002" s="7"/>
      <c r="P1002" s="8" t="s">
        <v>21</v>
      </c>
      <c r="Q1002" s="8" t="s">
        <v>22</v>
      </c>
    </row>
    <row r="1003" customFormat="false" ht="15" hidden="false" customHeight="false" outlineLevel="0" collapsed="false">
      <c r="A1003" s="2" t="n">
        <v>1002</v>
      </c>
      <c r="B1003" s="3" t="s">
        <v>3209</v>
      </c>
      <c r="C1003" s="3"/>
      <c r="D1003" s="4"/>
      <c r="E1003" s="3"/>
      <c r="F1003" s="3" t="s">
        <v>3055</v>
      </c>
      <c r="G1003" s="3"/>
      <c r="H1003" s="8" t="s">
        <v>3210</v>
      </c>
      <c r="I1003" s="4" t="s">
        <v>2356</v>
      </c>
      <c r="J1003" s="5" t="s">
        <v>20</v>
      </c>
      <c r="K1003" s="6"/>
      <c r="L1003" s="5"/>
      <c r="M1003" s="5"/>
      <c r="N1003" s="6"/>
      <c r="O1003" s="7"/>
      <c r="P1003" s="8" t="s">
        <v>21</v>
      </c>
      <c r="Q1003" s="8" t="s">
        <v>22</v>
      </c>
    </row>
    <row r="1004" customFormat="false" ht="15" hidden="false" customHeight="false" outlineLevel="0" collapsed="false">
      <c r="A1004" s="2" t="n">
        <v>1003</v>
      </c>
      <c r="B1004" s="3" t="s">
        <v>3211</v>
      </c>
      <c r="C1004" s="3" t="s">
        <v>24</v>
      </c>
      <c r="D1004" s="4" t="s">
        <v>3212</v>
      </c>
      <c r="E1004" s="3"/>
      <c r="F1004" s="3" t="s">
        <v>3055</v>
      </c>
      <c r="G1004" s="3" t="s">
        <v>3213</v>
      </c>
      <c r="H1004" s="8" t="s">
        <v>3214</v>
      </c>
      <c r="I1004" s="4" t="s">
        <v>3215</v>
      </c>
      <c r="J1004" s="5" t="s">
        <v>20</v>
      </c>
      <c r="K1004" s="6"/>
      <c r="L1004" s="5"/>
      <c r="M1004" s="5"/>
      <c r="N1004" s="6"/>
      <c r="O1004" s="7"/>
      <c r="P1004" s="8" t="s">
        <v>21</v>
      </c>
      <c r="Q1004" s="8" t="s">
        <v>22</v>
      </c>
    </row>
    <row r="1005" customFormat="false" ht="15" hidden="false" customHeight="false" outlineLevel="0" collapsed="false">
      <c r="A1005" s="2" t="n">
        <v>1004</v>
      </c>
      <c r="B1005" s="3" t="s">
        <v>3216</v>
      </c>
      <c r="C1005" s="3"/>
      <c r="D1005" s="4"/>
      <c r="E1005" s="3"/>
      <c r="F1005" s="3" t="s">
        <v>3055</v>
      </c>
      <c r="G1005" s="3"/>
      <c r="H1005" s="3"/>
      <c r="I1005" s="4"/>
      <c r="J1005" s="5" t="s">
        <v>20</v>
      </c>
      <c r="K1005" s="6"/>
      <c r="L1005" s="5"/>
      <c r="M1005" s="5"/>
      <c r="N1005" s="6"/>
      <c r="O1005" s="7"/>
      <c r="P1005" s="8" t="s">
        <v>21</v>
      </c>
      <c r="Q1005" s="8" t="s">
        <v>22</v>
      </c>
    </row>
    <row r="1006" customFormat="false" ht="15" hidden="false" customHeight="false" outlineLevel="0" collapsed="false">
      <c r="A1006" s="2" t="n">
        <v>1005</v>
      </c>
      <c r="B1006" s="3" t="s">
        <v>3217</v>
      </c>
      <c r="C1006" s="3"/>
      <c r="D1006" s="4"/>
      <c r="E1006" s="3"/>
      <c r="F1006" s="3" t="s">
        <v>3055</v>
      </c>
      <c r="G1006" s="3"/>
      <c r="H1006" s="3"/>
      <c r="I1006" s="4"/>
      <c r="J1006" s="5" t="s">
        <v>20</v>
      </c>
      <c r="K1006" s="6"/>
      <c r="L1006" s="5"/>
      <c r="M1006" s="5"/>
      <c r="N1006" s="6"/>
      <c r="O1006" s="7"/>
      <c r="P1006" s="8" t="s">
        <v>21</v>
      </c>
      <c r="Q1006" s="8" t="s">
        <v>22</v>
      </c>
    </row>
    <row r="1007" customFormat="false" ht="15" hidden="false" customHeight="false" outlineLevel="0" collapsed="false">
      <c r="A1007" s="2" t="n">
        <v>1006</v>
      </c>
      <c r="B1007" s="3" t="s">
        <v>3218</v>
      </c>
      <c r="C1007" s="3"/>
      <c r="D1007" s="4"/>
      <c r="E1007" s="3"/>
      <c r="F1007" s="3" t="s">
        <v>3055</v>
      </c>
      <c r="G1007" s="3"/>
      <c r="H1007" s="3"/>
      <c r="I1007" s="4"/>
      <c r="J1007" s="5" t="s">
        <v>20</v>
      </c>
      <c r="K1007" s="6"/>
      <c r="L1007" s="5"/>
      <c r="M1007" s="5"/>
      <c r="N1007" s="6"/>
      <c r="O1007" s="7"/>
      <c r="P1007" s="8" t="s">
        <v>21</v>
      </c>
      <c r="Q1007" s="8" t="s">
        <v>22</v>
      </c>
    </row>
    <row r="1008" customFormat="false" ht="15" hidden="false" customHeight="false" outlineLevel="0" collapsed="false">
      <c r="A1008" s="2" t="n">
        <v>1007</v>
      </c>
      <c r="B1008" s="3" t="s">
        <v>3219</v>
      </c>
      <c r="C1008" s="3"/>
      <c r="D1008" s="4" t="s">
        <v>3220</v>
      </c>
      <c r="E1008" s="3" t="s">
        <v>3061</v>
      </c>
      <c r="F1008" s="3" t="s">
        <v>3055</v>
      </c>
      <c r="G1008" s="3" t="s">
        <v>3221</v>
      </c>
      <c r="H1008" s="8" t="s">
        <v>3222</v>
      </c>
      <c r="I1008" s="4" t="s">
        <v>3223</v>
      </c>
      <c r="J1008" s="5" t="s">
        <v>20</v>
      </c>
      <c r="K1008" s="6"/>
      <c r="L1008" s="5"/>
      <c r="M1008" s="5"/>
      <c r="N1008" s="6"/>
      <c r="O1008" s="7"/>
      <c r="P1008" s="8" t="s">
        <v>21</v>
      </c>
      <c r="Q1008" s="8" t="s">
        <v>22</v>
      </c>
    </row>
    <row r="1009" customFormat="false" ht="15" hidden="false" customHeight="false" outlineLevel="0" collapsed="false">
      <c r="A1009" s="2" t="n">
        <v>1008</v>
      </c>
      <c r="B1009" s="3" t="s">
        <v>3224</v>
      </c>
      <c r="C1009" s="3"/>
      <c r="D1009" s="4"/>
      <c r="E1009" s="3"/>
      <c r="F1009" s="3" t="s">
        <v>3055</v>
      </c>
      <c r="G1009" s="3"/>
      <c r="H1009" s="3"/>
      <c r="I1009" s="4"/>
      <c r="J1009" s="5" t="s">
        <v>20</v>
      </c>
      <c r="K1009" s="6"/>
      <c r="L1009" s="5"/>
      <c r="M1009" s="5"/>
      <c r="N1009" s="6"/>
      <c r="O1009" s="7"/>
      <c r="P1009" s="8" t="s">
        <v>21</v>
      </c>
      <c r="Q1009" s="8" t="s">
        <v>22</v>
      </c>
    </row>
    <row r="1010" customFormat="false" ht="15" hidden="false" customHeight="false" outlineLevel="0" collapsed="false">
      <c r="A1010" s="2" t="n">
        <v>1009</v>
      </c>
      <c r="B1010" s="3" t="s">
        <v>3225</v>
      </c>
      <c r="C1010" s="3" t="s">
        <v>71</v>
      </c>
      <c r="D1010" s="4"/>
      <c r="E1010" s="3"/>
      <c r="F1010" s="3" t="s">
        <v>3055</v>
      </c>
      <c r="G1010" s="3" t="s">
        <v>3226</v>
      </c>
      <c r="H1010" s="8" t="s">
        <v>3227</v>
      </c>
      <c r="I1010" s="4"/>
      <c r="J1010" s="5" t="s">
        <v>20</v>
      </c>
      <c r="K1010" s="6"/>
      <c r="L1010" s="5"/>
      <c r="M1010" s="5"/>
      <c r="N1010" s="6"/>
      <c r="O1010" s="7"/>
      <c r="P1010" s="8" t="s">
        <v>21</v>
      </c>
      <c r="Q1010" s="8" t="s">
        <v>22</v>
      </c>
    </row>
    <row r="1011" customFormat="false" ht="57.45" hidden="false" customHeight="false" outlineLevel="0" collapsed="false">
      <c r="A1011" s="2" t="n">
        <v>1010</v>
      </c>
      <c r="B1011" s="3" t="s">
        <v>3228</v>
      </c>
      <c r="C1011" s="3" t="s">
        <v>91</v>
      </c>
      <c r="D1011" s="4" t="s">
        <v>3229</v>
      </c>
      <c r="E1011" s="3"/>
      <c r="F1011" s="3" t="s">
        <v>3055</v>
      </c>
      <c r="G1011" s="3" t="s">
        <v>3230</v>
      </c>
      <c r="H1011" s="8" t="s">
        <v>3231</v>
      </c>
      <c r="I1011" s="4" t="s">
        <v>3232</v>
      </c>
      <c r="J1011" s="5" t="s">
        <v>20</v>
      </c>
      <c r="K1011" s="6"/>
      <c r="L1011" s="5"/>
      <c r="M1011" s="5"/>
      <c r="N1011" s="6"/>
      <c r="O1011" s="7"/>
      <c r="P1011" s="8" t="s">
        <v>21</v>
      </c>
      <c r="Q1011" s="8" t="s">
        <v>22</v>
      </c>
    </row>
    <row r="1012" customFormat="false" ht="15" hidden="false" customHeight="false" outlineLevel="0" collapsed="false">
      <c r="A1012" s="2" t="n">
        <v>1011</v>
      </c>
      <c r="B1012" s="3" t="s">
        <v>3233</v>
      </c>
      <c r="C1012" s="3" t="s">
        <v>868</v>
      </c>
      <c r="D1012" s="4" t="s">
        <v>3234</v>
      </c>
      <c r="E1012" s="3"/>
      <c r="F1012" s="3" t="s">
        <v>3055</v>
      </c>
      <c r="G1012" s="3" t="s">
        <v>3235</v>
      </c>
      <c r="H1012" s="3"/>
      <c r="I1012" s="4" t="s">
        <v>3236</v>
      </c>
      <c r="J1012" s="5" t="s">
        <v>20</v>
      </c>
      <c r="K1012" s="6"/>
      <c r="L1012" s="5"/>
      <c r="M1012" s="5"/>
      <c r="N1012" s="6"/>
      <c r="O1012" s="7"/>
      <c r="P1012" s="8" t="s">
        <v>21</v>
      </c>
      <c r="Q1012" s="8" t="s">
        <v>22</v>
      </c>
    </row>
    <row r="1013" customFormat="false" ht="15" hidden="false" customHeight="false" outlineLevel="0" collapsed="false">
      <c r="A1013" s="2" t="n">
        <v>1012</v>
      </c>
      <c r="B1013" s="3" t="s">
        <v>3237</v>
      </c>
      <c r="C1013" s="3"/>
      <c r="D1013" s="4"/>
      <c r="E1013" s="3"/>
      <c r="F1013" s="3" t="s">
        <v>3055</v>
      </c>
      <c r="G1013" s="3"/>
      <c r="H1013" s="3"/>
      <c r="I1013" s="4"/>
      <c r="J1013" s="5" t="s">
        <v>20</v>
      </c>
      <c r="K1013" s="6"/>
      <c r="L1013" s="5"/>
      <c r="M1013" s="5"/>
      <c r="N1013" s="6"/>
      <c r="O1013" s="7"/>
      <c r="P1013" s="8" t="s">
        <v>21</v>
      </c>
      <c r="Q1013" s="8" t="s">
        <v>22</v>
      </c>
    </row>
    <row r="1014" customFormat="false" ht="15" hidden="false" customHeight="false" outlineLevel="0" collapsed="false">
      <c r="A1014" s="2" t="n">
        <v>1013</v>
      </c>
      <c r="B1014" s="3" t="s">
        <v>3238</v>
      </c>
      <c r="C1014" s="3"/>
      <c r="D1014" s="4"/>
      <c r="E1014" s="3"/>
      <c r="F1014" s="3" t="s">
        <v>3055</v>
      </c>
      <c r="G1014" s="3"/>
      <c r="H1014" s="3"/>
      <c r="I1014" s="4"/>
      <c r="J1014" s="5" t="s">
        <v>20</v>
      </c>
      <c r="K1014" s="6"/>
      <c r="L1014" s="5"/>
      <c r="M1014" s="5"/>
      <c r="N1014" s="6"/>
      <c r="O1014" s="7"/>
      <c r="P1014" s="8" t="s">
        <v>21</v>
      </c>
      <c r="Q1014" s="8" t="s">
        <v>22</v>
      </c>
    </row>
    <row r="1015" customFormat="false" ht="15" hidden="false" customHeight="false" outlineLevel="0" collapsed="false">
      <c r="A1015" s="2" t="n">
        <v>1014</v>
      </c>
      <c r="B1015" s="3" t="s">
        <v>3239</v>
      </c>
      <c r="C1015" s="3" t="s">
        <v>109</v>
      </c>
      <c r="D1015" s="4" t="s">
        <v>3164</v>
      </c>
      <c r="E1015" s="3"/>
      <c r="F1015" s="3" t="s">
        <v>3055</v>
      </c>
      <c r="G1015" s="3"/>
      <c r="H1015" s="8" t="s">
        <v>3240</v>
      </c>
      <c r="I1015" s="4"/>
      <c r="J1015" s="5" t="s">
        <v>20</v>
      </c>
      <c r="K1015" s="6"/>
      <c r="L1015" s="5"/>
      <c r="M1015" s="5"/>
      <c r="N1015" s="6"/>
      <c r="O1015" s="7"/>
      <c r="P1015" s="8" t="s">
        <v>21</v>
      </c>
      <c r="Q1015" s="8" t="s">
        <v>22</v>
      </c>
    </row>
    <row r="1016" customFormat="false" ht="15" hidden="false" customHeight="false" outlineLevel="0" collapsed="false">
      <c r="A1016" s="2" t="n">
        <v>1015</v>
      </c>
      <c r="B1016" s="3" t="s">
        <v>3241</v>
      </c>
      <c r="C1016" s="3" t="s">
        <v>71</v>
      </c>
      <c r="D1016" s="4"/>
      <c r="E1016" s="3"/>
      <c r="F1016" s="3" t="s">
        <v>3055</v>
      </c>
      <c r="G1016" s="3" t="s">
        <v>3242</v>
      </c>
      <c r="H1016" s="8" t="s">
        <v>3243</v>
      </c>
      <c r="I1016" s="4" t="s">
        <v>3244</v>
      </c>
      <c r="J1016" s="5" t="s">
        <v>20</v>
      </c>
      <c r="K1016" s="6"/>
      <c r="L1016" s="5"/>
      <c r="M1016" s="5"/>
      <c r="N1016" s="6"/>
      <c r="O1016" s="7"/>
      <c r="P1016" s="8" t="s">
        <v>21</v>
      </c>
      <c r="Q1016" s="8" t="s">
        <v>22</v>
      </c>
    </row>
    <row r="1017" customFormat="false" ht="15" hidden="false" customHeight="false" outlineLevel="0" collapsed="false">
      <c r="A1017" s="2" t="n">
        <v>1016</v>
      </c>
      <c r="B1017" s="3" t="s">
        <v>3245</v>
      </c>
      <c r="C1017" s="3" t="s">
        <v>71</v>
      </c>
      <c r="D1017" s="4" t="s">
        <v>3246</v>
      </c>
      <c r="E1017" s="3" t="s">
        <v>3061</v>
      </c>
      <c r="F1017" s="3" t="s">
        <v>3055</v>
      </c>
      <c r="G1017" s="3" t="s">
        <v>3247</v>
      </c>
      <c r="H1017" s="8" t="s">
        <v>3248</v>
      </c>
      <c r="I1017" s="4" t="s">
        <v>2289</v>
      </c>
      <c r="J1017" s="5" t="s">
        <v>20</v>
      </c>
      <c r="K1017" s="6"/>
      <c r="L1017" s="5"/>
      <c r="M1017" s="5"/>
      <c r="N1017" s="6"/>
      <c r="O1017" s="7"/>
      <c r="P1017" s="8" t="s">
        <v>21</v>
      </c>
      <c r="Q1017" s="8" t="s">
        <v>22</v>
      </c>
    </row>
    <row r="1018" customFormat="false" ht="23.85" hidden="false" customHeight="false" outlineLevel="0" collapsed="false">
      <c r="A1018" s="2" t="n">
        <v>1017</v>
      </c>
      <c r="B1018" s="3" t="s">
        <v>3249</v>
      </c>
      <c r="C1018" s="3" t="s">
        <v>3250</v>
      </c>
      <c r="D1018" s="4"/>
      <c r="E1018" s="3"/>
      <c r="F1018" s="3" t="s">
        <v>3055</v>
      </c>
      <c r="G1018" s="3" t="s">
        <v>3251</v>
      </c>
      <c r="H1018" s="8" t="s">
        <v>3252</v>
      </c>
      <c r="I1018" s="4" t="s">
        <v>3253</v>
      </c>
      <c r="J1018" s="5" t="s">
        <v>20</v>
      </c>
      <c r="K1018" s="6"/>
      <c r="L1018" s="5"/>
      <c r="M1018" s="5"/>
      <c r="N1018" s="6"/>
      <c r="O1018" s="7"/>
      <c r="P1018" s="8" t="s">
        <v>21</v>
      </c>
      <c r="Q1018" s="8" t="s">
        <v>22</v>
      </c>
    </row>
    <row r="1019" customFormat="false" ht="23.85" hidden="false" customHeight="false" outlineLevel="0" collapsed="false">
      <c r="A1019" s="2" t="n">
        <v>1018</v>
      </c>
      <c r="B1019" s="3" t="s">
        <v>3254</v>
      </c>
      <c r="C1019" s="3" t="s">
        <v>109</v>
      </c>
      <c r="D1019" s="4"/>
      <c r="E1019" s="3"/>
      <c r="F1019" s="3" t="s">
        <v>3255</v>
      </c>
      <c r="G1019" s="3"/>
      <c r="H1019" s="3"/>
      <c r="I1019" s="4" t="s">
        <v>3256</v>
      </c>
      <c r="J1019" s="5" t="s">
        <v>20</v>
      </c>
      <c r="K1019" s="6"/>
      <c r="L1019" s="5"/>
      <c r="M1019" s="5"/>
      <c r="N1019" s="6"/>
      <c r="O1019" s="7"/>
      <c r="P1019" s="8" t="s">
        <v>21</v>
      </c>
      <c r="Q1019" s="8" t="s">
        <v>22</v>
      </c>
    </row>
    <row r="1020" customFormat="false" ht="15" hidden="false" customHeight="false" outlineLevel="0" collapsed="false">
      <c r="A1020" s="2" t="n">
        <v>1019</v>
      </c>
      <c r="B1020" s="3" t="s">
        <v>248</v>
      </c>
      <c r="C1020" s="3" t="s">
        <v>249</v>
      </c>
      <c r="D1020" s="4" t="s">
        <v>3257</v>
      </c>
      <c r="E1020" s="3"/>
      <c r="F1020" s="3" t="s">
        <v>3255</v>
      </c>
      <c r="G1020" s="3" t="s">
        <v>3258</v>
      </c>
      <c r="H1020" s="3"/>
      <c r="I1020" s="4"/>
      <c r="J1020" s="5" t="s">
        <v>20</v>
      </c>
      <c r="K1020" s="6"/>
      <c r="L1020" s="5"/>
      <c r="M1020" s="5"/>
      <c r="N1020" s="6"/>
      <c r="O1020" s="7"/>
      <c r="P1020" s="8" t="s">
        <v>21</v>
      </c>
      <c r="Q1020" s="8" t="s">
        <v>22</v>
      </c>
    </row>
    <row r="1021" customFormat="false" ht="15" hidden="false" customHeight="false" outlineLevel="0" collapsed="false">
      <c r="A1021" s="2" t="n">
        <v>1020</v>
      </c>
      <c r="B1021" s="3" t="s">
        <v>3259</v>
      </c>
      <c r="C1021" s="3" t="s">
        <v>3065</v>
      </c>
      <c r="D1021" s="4"/>
      <c r="E1021" s="3"/>
      <c r="F1021" s="3" t="s">
        <v>3255</v>
      </c>
      <c r="G1021" s="3" t="s">
        <v>3260</v>
      </c>
      <c r="H1021" s="8" t="s">
        <v>3261</v>
      </c>
      <c r="I1021" s="4" t="s">
        <v>3262</v>
      </c>
      <c r="J1021" s="5" t="s">
        <v>20</v>
      </c>
      <c r="K1021" s="6"/>
      <c r="L1021" s="5"/>
      <c r="M1021" s="5"/>
      <c r="N1021" s="6"/>
      <c r="O1021" s="7"/>
      <c r="P1021" s="8" t="s">
        <v>21</v>
      </c>
      <c r="Q1021" s="8" t="s">
        <v>22</v>
      </c>
    </row>
    <row r="1022" customFormat="false" ht="15" hidden="false" customHeight="false" outlineLevel="0" collapsed="false">
      <c r="A1022" s="2" t="n">
        <v>1021</v>
      </c>
      <c r="B1022" s="3" t="s">
        <v>3263</v>
      </c>
      <c r="C1022" s="3" t="s">
        <v>91</v>
      </c>
      <c r="D1022" s="4"/>
      <c r="E1022" s="3"/>
      <c r="F1022" s="3" t="s">
        <v>3255</v>
      </c>
      <c r="G1022" s="3" t="s">
        <v>3264</v>
      </c>
      <c r="H1022" s="8" t="s">
        <v>3265</v>
      </c>
      <c r="I1022" s="4"/>
      <c r="J1022" s="5" t="s">
        <v>20</v>
      </c>
      <c r="K1022" s="6"/>
      <c r="L1022" s="5"/>
      <c r="M1022" s="5"/>
      <c r="N1022" s="6"/>
      <c r="O1022" s="7"/>
      <c r="P1022" s="8" t="s">
        <v>21</v>
      </c>
      <c r="Q1022" s="8" t="s">
        <v>22</v>
      </c>
    </row>
    <row r="1023" customFormat="false" ht="15" hidden="false" customHeight="false" outlineLevel="0" collapsed="false">
      <c r="A1023" s="2" t="n">
        <v>1022</v>
      </c>
      <c r="B1023" s="3" t="s">
        <v>3266</v>
      </c>
      <c r="C1023" s="3"/>
      <c r="D1023" s="4" t="s">
        <v>3267</v>
      </c>
      <c r="E1023" s="3"/>
      <c r="F1023" s="3" t="s">
        <v>3255</v>
      </c>
      <c r="G1023" s="3"/>
      <c r="H1023" s="3"/>
      <c r="I1023" s="4"/>
      <c r="J1023" s="5" t="s">
        <v>20</v>
      </c>
      <c r="K1023" s="6"/>
      <c r="L1023" s="5"/>
      <c r="M1023" s="5"/>
      <c r="N1023" s="6"/>
      <c r="O1023" s="7"/>
      <c r="P1023" s="8" t="s">
        <v>21</v>
      </c>
      <c r="Q1023" s="8" t="s">
        <v>22</v>
      </c>
    </row>
    <row r="1024" customFormat="false" ht="15" hidden="false" customHeight="false" outlineLevel="0" collapsed="false">
      <c r="A1024" s="2" t="n">
        <v>1023</v>
      </c>
      <c r="B1024" s="3" t="s">
        <v>3268</v>
      </c>
      <c r="C1024" s="3"/>
      <c r="D1024" s="4" t="s">
        <v>3269</v>
      </c>
      <c r="E1024" s="3"/>
      <c r="F1024" s="3" t="s">
        <v>3255</v>
      </c>
      <c r="G1024" s="3"/>
      <c r="H1024" s="3"/>
      <c r="I1024" s="4"/>
      <c r="J1024" s="5" t="s">
        <v>20</v>
      </c>
      <c r="K1024" s="6"/>
      <c r="L1024" s="5"/>
      <c r="M1024" s="5"/>
      <c r="N1024" s="6"/>
      <c r="O1024" s="7"/>
      <c r="P1024" s="8" t="s">
        <v>21</v>
      </c>
      <c r="Q1024" s="8" t="s">
        <v>22</v>
      </c>
    </row>
    <row r="1025" customFormat="false" ht="15" hidden="false" customHeight="false" outlineLevel="0" collapsed="false">
      <c r="A1025" s="2" t="n">
        <v>1024</v>
      </c>
      <c r="B1025" s="3" t="s">
        <v>3270</v>
      </c>
      <c r="C1025" s="3" t="s">
        <v>3271</v>
      </c>
      <c r="D1025" s="4"/>
      <c r="E1025" s="3"/>
      <c r="F1025" s="3" t="s">
        <v>3255</v>
      </c>
      <c r="G1025" s="3"/>
      <c r="H1025" s="3"/>
      <c r="I1025" s="4"/>
      <c r="J1025" s="5" t="s">
        <v>20</v>
      </c>
      <c r="K1025" s="6"/>
      <c r="L1025" s="5"/>
      <c r="M1025" s="5"/>
      <c r="N1025" s="6"/>
      <c r="O1025" s="7"/>
      <c r="P1025" s="8" t="s">
        <v>21</v>
      </c>
      <c r="Q1025" s="8" t="s">
        <v>22</v>
      </c>
    </row>
    <row r="1026" customFormat="false" ht="15" hidden="false" customHeight="false" outlineLevel="0" collapsed="false">
      <c r="A1026" s="2" t="n">
        <v>1025</v>
      </c>
      <c r="B1026" s="3" t="s">
        <v>3272</v>
      </c>
      <c r="C1026" s="3"/>
      <c r="D1026" s="4"/>
      <c r="E1026" s="3"/>
      <c r="F1026" s="3" t="s">
        <v>3255</v>
      </c>
      <c r="G1026" s="3"/>
      <c r="H1026" s="3"/>
      <c r="I1026" s="4"/>
      <c r="J1026" s="5" t="s">
        <v>20</v>
      </c>
      <c r="K1026" s="6"/>
      <c r="L1026" s="5"/>
      <c r="M1026" s="5"/>
      <c r="N1026" s="6"/>
      <c r="O1026" s="7"/>
      <c r="P1026" s="8" t="s">
        <v>21</v>
      </c>
      <c r="Q1026" s="8" t="s">
        <v>22</v>
      </c>
    </row>
    <row r="1027" customFormat="false" ht="15" hidden="false" customHeight="false" outlineLevel="0" collapsed="false">
      <c r="A1027" s="2" t="n">
        <v>1026</v>
      </c>
      <c r="B1027" s="3" t="s">
        <v>3273</v>
      </c>
      <c r="C1027" s="3"/>
      <c r="D1027" s="4" t="s">
        <v>3274</v>
      </c>
      <c r="E1027" s="3"/>
      <c r="F1027" s="3" t="s">
        <v>3255</v>
      </c>
      <c r="G1027" s="3"/>
      <c r="H1027" s="3"/>
      <c r="I1027" s="4"/>
      <c r="J1027" s="5" t="s">
        <v>20</v>
      </c>
      <c r="K1027" s="6"/>
      <c r="L1027" s="5"/>
      <c r="M1027" s="5"/>
      <c r="N1027" s="6"/>
      <c r="O1027" s="7"/>
      <c r="P1027" s="8" t="s">
        <v>21</v>
      </c>
      <c r="Q1027" s="8" t="s">
        <v>22</v>
      </c>
    </row>
    <row r="1028" customFormat="false" ht="15" hidden="false" customHeight="false" outlineLevel="0" collapsed="false">
      <c r="A1028" s="2" t="n">
        <v>1027</v>
      </c>
      <c r="B1028" s="3" t="s">
        <v>3275</v>
      </c>
      <c r="C1028" s="3" t="s">
        <v>120</v>
      </c>
      <c r="D1028" s="4" t="s">
        <v>3276</v>
      </c>
      <c r="E1028" s="3"/>
      <c r="F1028" s="3" t="s">
        <v>3255</v>
      </c>
      <c r="G1028" s="3" t="s">
        <v>3277</v>
      </c>
      <c r="H1028" s="8" t="s">
        <v>3278</v>
      </c>
      <c r="I1028" s="4"/>
      <c r="J1028" s="5" t="s">
        <v>20</v>
      </c>
      <c r="K1028" s="6"/>
      <c r="L1028" s="5"/>
      <c r="M1028" s="5"/>
      <c r="N1028" s="6"/>
      <c r="O1028" s="7"/>
      <c r="P1028" s="8" t="s">
        <v>21</v>
      </c>
      <c r="Q1028" s="8" t="s">
        <v>22</v>
      </c>
    </row>
    <row r="1029" customFormat="false" ht="15" hidden="false" customHeight="false" outlineLevel="0" collapsed="false">
      <c r="A1029" s="2" t="n">
        <v>1028</v>
      </c>
      <c r="B1029" s="3" t="s">
        <v>3279</v>
      </c>
      <c r="C1029" s="3" t="s">
        <v>234</v>
      </c>
      <c r="D1029" s="4" t="s">
        <v>3280</v>
      </c>
      <c r="E1029" s="3"/>
      <c r="F1029" s="3" t="s">
        <v>3255</v>
      </c>
      <c r="G1029" s="3"/>
      <c r="H1029" s="3"/>
      <c r="I1029" s="4" t="s">
        <v>3281</v>
      </c>
      <c r="J1029" s="5" t="s">
        <v>20</v>
      </c>
      <c r="K1029" s="6"/>
      <c r="L1029" s="5"/>
      <c r="M1029" s="5"/>
      <c r="N1029" s="6"/>
      <c r="O1029" s="7"/>
      <c r="P1029" s="8" t="s">
        <v>21</v>
      </c>
      <c r="Q1029" s="8" t="s">
        <v>22</v>
      </c>
    </row>
    <row r="1030" customFormat="false" ht="15" hidden="false" customHeight="false" outlineLevel="0" collapsed="false">
      <c r="A1030" s="2" t="n">
        <v>1029</v>
      </c>
      <c r="B1030" s="3" t="s">
        <v>3279</v>
      </c>
      <c r="C1030" s="3" t="s">
        <v>234</v>
      </c>
      <c r="D1030" s="4"/>
      <c r="E1030" s="3"/>
      <c r="F1030" s="3" t="s">
        <v>3255</v>
      </c>
      <c r="G1030" s="3" t="s">
        <v>3282</v>
      </c>
      <c r="H1030" s="8" t="s">
        <v>3283</v>
      </c>
      <c r="I1030" s="4"/>
      <c r="J1030" s="5" t="s">
        <v>20</v>
      </c>
      <c r="K1030" s="6"/>
      <c r="L1030" s="5"/>
      <c r="M1030" s="5"/>
      <c r="N1030" s="6"/>
      <c r="O1030" s="7"/>
      <c r="P1030" s="8" t="s">
        <v>21</v>
      </c>
      <c r="Q1030" s="8" t="s">
        <v>22</v>
      </c>
    </row>
    <row r="1031" customFormat="false" ht="15" hidden="false" customHeight="false" outlineLevel="0" collapsed="false">
      <c r="A1031" s="2" t="n">
        <v>1030</v>
      </c>
      <c r="B1031" s="3" t="s">
        <v>3284</v>
      </c>
      <c r="C1031" s="3"/>
      <c r="D1031" s="4"/>
      <c r="E1031" s="3"/>
      <c r="F1031" s="3" t="s">
        <v>3255</v>
      </c>
      <c r="G1031" s="3" t="s">
        <v>3285</v>
      </c>
      <c r="H1031" s="8" t="s">
        <v>3286</v>
      </c>
      <c r="I1031" s="4" t="s">
        <v>3287</v>
      </c>
      <c r="J1031" s="5" t="s">
        <v>20</v>
      </c>
      <c r="K1031" s="6"/>
      <c r="L1031" s="5"/>
      <c r="M1031" s="5"/>
      <c r="N1031" s="6"/>
      <c r="O1031" s="7"/>
      <c r="P1031" s="8" t="s">
        <v>21</v>
      </c>
      <c r="Q1031" s="8" t="s">
        <v>22</v>
      </c>
    </row>
    <row r="1032" customFormat="false" ht="15" hidden="false" customHeight="false" outlineLevel="0" collapsed="false">
      <c r="A1032" s="2" t="n">
        <v>1031</v>
      </c>
      <c r="B1032" s="3" t="s">
        <v>3288</v>
      </c>
      <c r="C1032" s="3" t="s">
        <v>126</v>
      </c>
      <c r="D1032" s="4" t="s">
        <v>3289</v>
      </c>
      <c r="E1032" s="3" t="s">
        <v>3290</v>
      </c>
      <c r="F1032" s="3" t="s">
        <v>3255</v>
      </c>
      <c r="G1032" s="3"/>
      <c r="H1032" s="8" t="s">
        <v>3291</v>
      </c>
      <c r="I1032" s="4"/>
      <c r="J1032" s="5" t="s">
        <v>20</v>
      </c>
      <c r="K1032" s="6"/>
      <c r="L1032" s="5"/>
      <c r="M1032" s="5"/>
      <c r="N1032" s="6"/>
      <c r="O1032" s="7"/>
      <c r="P1032" s="8" t="s">
        <v>21</v>
      </c>
      <c r="Q1032" s="8" t="s">
        <v>22</v>
      </c>
    </row>
    <row r="1033" customFormat="false" ht="15" hidden="false" customHeight="false" outlineLevel="0" collapsed="false">
      <c r="A1033" s="2" t="n">
        <v>1032</v>
      </c>
      <c r="B1033" s="3" t="s">
        <v>3292</v>
      </c>
      <c r="C1033" s="3"/>
      <c r="D1033" s="4"/>
      <c r="E1033" s="3"/>
      <c r="F1033" s="3" t="s">
        <v>3255</v>
      </c>
      <c r="G1033" s="3"/>
      <c r="H1033" s="3"/>
      <c r="I1033" s="4"/>
      <c r="J1033" s="5" t="s">
        <v>20</v>
      </c>
      <c r="K1033" s="6"/>
      <c r="L1033" s="5"/>
      <c r="M1033" s="5"/>
      <c r="N1033" s="6"/>
      <c r="O1033" s="7"/>
      <c r="P1033" s="8" t="s">
        <v>21</v>
      </c>
      <c r="Q1033" s="8" t="s">
        <v>22</v>
      </c>
    </row>
    <row r="1034" customFormat="false" ht="15" hidden="false" customHeight="false" outlineLevel="0" collapsed="false">
      <c r="A1034" s="2" t="n">
        <v>1033</v>
      </c>
      <c r="B1034" s="3" t="s">
        <v>3293</v>
      </c>
      <c r="C1034" s="3" t="s">
        <v>120</v>
      </c>
      <c r="D1034" s="4"/>
      <c r="E1034" s="3"/>
      <c r="F1034" s="3" t="s">
        <v>3255</v>
      </c>
      <c r="G1034" s="3" t="s">
        <v>3294</v>
      </c>
      <c r="H1034" s="8" t="s">
        <v>3295</v>
      </c>
      <c r="I1034" s="4"/>
      <c r="J1034" s="5" t="s">
        <v>20</v>
      </c>
      <c r="K1034" s="6"/>
      <c r="L1034" s="5"/>
      <c r="M1034" s="5"/>
      <c r="N1034" s="6"/>
      <c r="O1034" s="7"/>
      <c r="P1034" s="8" t="s">
        <v>21</v>
      </c>
      <c r="Q1034" s="8" t="s">
        <v>22</v>
      </c>
    </row>
    <row r="1035" customFormat="false" ht="23.85" hidden="false" customHeight="false" outlineLevel="0" collapsed="false">
      <c r="A1035" s="2" t="n">
        <v>1034</v>
      </c>
      <c r="B1035" s="3" t="s">
        <v>1174</v>
      </c>
      <c r="C1035" s="3"/>
      <c r="D1035" s="4"/>
      <c r="E1035" s="3"/>
      <c r="F1035" s="3" t="s">
        <v>3255</v>
      </c>
      <c r="G1035" s="3" t="s">
        <v>3296</v>
      </c>
      <c r="H1035" s="8" t="s">
        <v>3297</v>
      </c>
      <c r="I1035" s="4" t="s">
        <v>3298</v>
      </c>
      <c r="J1035" s="5" t="s">
        <v>20</v>
      </c>
      <c r="K1035" s="6"/>
      <c r="L1035" s="5"/>
      <c r="M1035" s="5"/>
      <c r="N1035" s="6"/>
      <c r="O1035" s="7"/>
      <c r="P1035" s="8" t="s">
        <v>21</v>
      </c>
      <c r="Q1035" s="8" t="s">
        <v>22</v>
      </c>
    </row>
    <row r="1036" customFormat="false" ht="15" hidden="false" customHeight="false" outlineLevel="0" collapsed="false">
      <c r="A1036" s="2" t="n">
        <v>1035</v>
      </c>
      <c r="B1036" s="3" t="s">
        <v>3299</v>
      </c>
      <c r="C1036" s="3" t="s">
        <v>120</v>
      </c>
      <c r="D1036" s="4"/>
      <c r="E1036" s="3"/>
      <c r="F1036" s="3" t="s">
        <v>3255</v>
      </c>
      <c r="G1036" s="3"/>
      <c r="H1036" s="3"/>
      <c r="I1036" s="4"/>
      <c r="J1036" s="5" t="s">
        <v>20</v>
      </c>
      <c r="K1036" s="6"/>
      <c r="L1036" s="5"/>
      <c r="M1036" s="5"/>
      <c r="N1036" s="6"/>
      <c r="O1036" s="7"/>
      <c r="P1036" s="8" t="s">
        <v>21</v>
      </c>
      <c r="Q1036" s="8" t="s">
        <v>22</v>
      </c>
    </row>
    <row r="1037" customFormat="false" ht="15" hidden="false" customHeight="false" outlineLevel="0" collapsed="false">
      <c r="A1037" s="2" t="n">
        <v>1036</v>
      </c>
      <c r="B1037" s="3" t="s">
        <v>3300</v>
      </c>
      <c r="C1037" s="3"/>
      <c r="D1037" s="4" t="s">
        <v>3301</v>
      </c>
      <c r="E1037" s="3"/>
      <c r="F1037" s="3" t="s">
        <v>3255</v>
      </c>
      <c r="G1037" s="3"/>
      <c r="H1037" s="8" t="s">
        <v>3302</v>
      </c>
      <c r="I1037" s="4"/>
      <c r="J1037" s="5" t="s">
        <v>20</v>
      </c>
      <c r="K1037" s="6"/>
      <c r="L1037" s="5"/>
      <c r="M1037" s="5"/>
      <c r="N1037" s="6"/>
      <c r="O1037" s="7"/>
      <c r="P1037" s="8" t="s">
        <v>21</v>
      </c>
      <c r="Q1037" s="8" t="s">
        <v>22</v>
      </c>
    </row>
    <row r="1038" customFormat="false" ht="15" hidden="false" customHeight="false" outlineLevel="0" collapsed="false">
      <c r="A1038" s="2" t="n">
        <v>1037</v>
      </c>
      <c r="B1038" s="3" t="s">
        <v>3303</v>
      </c>
      <c r="C1038" s="3"/>
      <c r="D1038" s="4" t="s">
        <v>3304</v>
      </c>
      <c r="E1038" s="3"/>
      <c r="F1038" s="3" t="s">
        <v>3255</v>
      </c>
      <c r="G1038" s="3"/>
      <c r="H1038" s="3"/>
      <c r="I1038" s="4"/>
      <c r="J1038" s="5" t="s">
        <v>20</v>
      </c>
      <c r="K1038" s="6"/>
      <c r="L1038" s="5"/>
      <c r="M1038" s="5"/>
      <c r="N1038" s="6"/>
      <c r="O1038" s="7"/>
      <c r="P1038" s="8" t="s">
        <v>21</v>
      </c>
      <c r="Q1038" s="8" t="s">
        <v>22</v>
      </c>
    </row>
    <row r="1039" customFormat="false" ht="15" hidden="false" customHeight="false" outlineLevel="0" collapsed="false">
      <c r="A1039" s="2" t="n">
        <v>1038</v>
      </c>
      <c r="B1039" s="3" t="s">
        <v>3305</v>
      </c>
      <c r="C1039" s="3"/>
      <c r="D1039" s="4"/>
      <c r="E1039" s="3"/>
      <c r="F1039" s="3" t="s">
        <v>3255</v>
      </c>
      <c r="G1039" s="3"/>
      <c r="H1039" s="3"/>
      <c r="I1039" s="4"/>
      <c r="J1039" s="5" t="s">
        <v>20</v>
      </c>
      <c r="K1039" s="6"/>
      <c r="L1039" s="5"/>
      <c r="M1039" s="5"/>
      <c r="N1039" s="6"/>
      <c r="O1039" s="7"/>
      <c r="P1039" s="8" t="s">
        <v>21</v>
      </c>
      <c r="Q1039" s="8" t="s">
        <v>22</v>
      </c>
    </row>
    <row r="1040" customFormat="false" ht="15" hidden="false" customHeight="false" outlineLevel="0" collapsed="false">
      <c r="A1040" s="2" t="n">
        <v>1039</v>
      </c>
      <c r="B1040" s="3" t="s">
        <v>3306</v>
      </c>
      <c r="C1040" s="3" t="s">
        <v>29</v>
      </c>
      <c r="D1040" s="4"/>
      <c r="E1040" s="3"/>
      <c r="F1040" s="3" t="s">
        <v>3255</v>
      </c>
      <c r="G1040" s="3"/>
      <c r="H1040" s="3"/>
      <c r="I1040" s="4"/>
      <c r="J1040" s="5" t="s">
        <v>20</v>
      </c>
      <c r="K1040" s="6"/>
      <c r="L1040" s="5"/>
      <c r="M1040" s="5"/>
      <c r="N1040" s="6"/>
      <c r="O1040" s="7"/>
      <c r="P1040" s="8" t="s">
        <v>21</v>
      </c>
      <c r="Q1040" s="8" t="s">
        <v>22</v>
      </c>
    </row>
    <row r="1041" customFormat="false" ht="15" hidden="false" customHeight="false" outlineLevel="0" collapsed="false">
      <c r="A1041" s="2" t="n">
        <v>1040</v>
      </c>
      <c r="B1041" s="3" t="s">
        <v>3307</v>
      </c>
      <c r="C1041" s="3"/>
      <c r="D1041" s="4" t="s">
        <v>3308</v>
      </c>
      <c r="E1041" s="3"/>
      <c r="F1041" s="3" t="s">
        <v>3255</v>
      </c>
      <c r="G1041" s="3"/>
      <c r="H1041" s="3"/>
      <c r="I1041" s="4"/>
      <c r="J1041" s="5" t="s">
        <v>20</v>
      </c>
      <c r="K1041" s="6"/>
      <c r="L1041" s="5"/>
      <c r="M1041" s="5"/>
      <c r="N1041" s="6"/>
      <c r="O1041" s="7"/>
      <c r="P1041" s="8" t="s">
        <v>21</v>
      </c>
      <c r="Q1041" s="8" t="s">
        <v>22</v>
      </c>
    </row>
    <row r="1042" customFormat="false" ht="15" hidden="false" customHeight="false" outlineLevel="0" collapsed="false">
      <c r="A1042" s="2" t="n">
        <v>1041</v>
      </c>
      <c r="B1042" s="3" t="s">
        <v>3309</v>
      </c>
      <c r="C1042" s="3" t="s">
        <v>2212</v>
      </c>
      <c r="D1042" s="4" t="s">
        <v>3310</v>
      </c>
      <c r="E1042" s="3" t="s">
        <v>3290</v>
      </c>
      <c r="F1042" s="3" t="s">
        <v>3255</v>
      </c>
      <c r="G1042" s="3" t="s">
        <v>3311</v>
      </c>
      <c r="H1042" s="8" t="s">
        <v>3312</v>
      </c>
      <c r="I1042" s="4"/>
      <c r="J1042" s="5" t="s">
        <v>20</v>
      </c>
      <c r="K1042" s="6"/>
      <c r="L1042" s="5"/>
      <c r="M1042" s="5"/>
      <c r="N1042" s="6"/>
      <c r="O1042" s="7"/>
      <c r="P1042" s="8" t="s">
        <v>21</v>
      </c>
      <c r="Q1042" s="8" t="s">
        <v>22</v>
      </c>
    </row>
    <row r="1043" customFormat="false" ht="15" hidden="false" customHeight="false" outlineLevel="0" collapsed="false">
      <c r="A1043" s="2" t="n">
        <v>1042</v>
      </c>
      <c r="B1043" s="3" t="s">
        <v>3313</v>
      </c>
      <c r="C1043" s="3" t="s">
        <v>71</v>
      </c>
      <c r="D1043" s="4" t="s">
        <v>3314</v>
      </c>
      <c r="E1043" s="3"/>
      <c r="F1043" s="3" t="s">
        <v>3255</v>
      </c>
      <c r="G1043" s="3"/>
      <c r="H1043" s="3"/>
      <c r="I1043" s="4"/>
      <c r="J1043" s="5" t="s">
        <v>20</v>
      </c>
      <c r="K1043" s="6"/>
      <c r="L1043" s="5"/>
      <c r="M1043" s="5"/>
      <c r="N1043" s="6"/>
      <c r="O1043" s="7"/>
      <c r="P1043" s="8" t="s">
        <v>21</v>
      </c>
      <c r="Q1043" s="8" t="s">
        <v>22</v>
      </c>
    </row>
    <row r="1044" customFormat="false" ht="15" hidden="false" customHeight="false" outlineLevel="0" collapsed="false">
      <c r="A1044" s="2" t="n">
        <v>1043</v>
      </c>
      <c r="B1044" s="3" t="s">
        <v>3315</v>
      </c>
      <c r="C1044" s="3" t="s">
        <v>24</v>
      </c>
      <c r="D1044" s="4"/>
      <c r="E1044" s="3"/>
      <c r="F1044" s="3" t="s">
        <v>3255</v>
      </c>
      <c r="G1044" s="3"/>
      <c r="H1044" s="3"/>
      <c r="I1044" s="4"/>
      <c r="J1044" s="5" t="s">
        <v>20</v>
      </c>
      <c r="K1044" s="6"/>
      <c r="L1044" s="5"/>
      <c r="M1044" s="5"/>
      <c r="N1044" s="6"/>
      <c r="O1044" s="7"/>
      <c r="P1044" s="8" t="s">
        <v>21</v>
      </c>
      <c r="Q1044" s="8" t="s">
        <v>22</v>
      </c>
    </row>
    <row r="1045" customFormat="false" ht="15" hidden="false" customHeight="false" outlineLevel="0" collapsed="false">
      <c r="A1045" s="2" t="n">
        <v>1044</v>
      </c>
      <c r="B1045" s="3" t="s">
        <v>2314</v>
      </c>
      <c r="C1045" s="3" t="s">
        <v>18</v>
      </c>
      <c r="D1045" s="4"/>
      <c r="E1045" s="3"/>
      <c r="F1045" s="3" t="s">
        <v>3255</v>
      </c>
      <c r="G1045" s="3" t="s">
        <v>3316</v>
      </c>
      <c r="H1045" s="8" t="s">
        <v>2317</v>
      </c>
      <c r="I1045" s="4"/>
      <c r="J1045" s="5" t="s">
        <v>20</v>
      </c>
      <c r="K1045" s="6"/>
      <c r="L1045" s="5"/>
      <c r="M1045" s="5"/>
      <c r="N1045" s="6"/>
      <c r="O1045" s="7"/>
      <c r="P1045" s="8" t="s">
        <v>21</v>
      </c>
      <c r="Q1045" s="8" t="s">
        <v>22</v>
      </c>
    </row>
    <row r="1046" customFormat="false" ht="23.85" hidden="false" customHeight="false" outlineLevel="0" collapsed="false">
      <c r="A1046" s="2" t="n">
        <v>1045</v>
      </c>
      <c r="B1046" s="3" t="s">
        <v>3317</v>
      </c>
      <c r="C1046" s="3" t="s">
        <v>24</v>
      </c>
      <c r="D1046" s="4"/>
      <c r="E1046" s="3"/>
      <c r="F1046" s="3" t="s">
        <v>3255</v>
      </c>
      <c r="G1046" s="3" t="s">
        <v>3318</v>
      </c>
      <c r="H1046" s="8" t="s">
        <v>3319</v>
      </c>
      <c r="I1046" s="4" t="s">
        <v>3320</v>
      </c>
      <c r="J1046" s="5" t="s">
        <v>20</v>
      </c>
      <c r="K1046" s="6"/>
      <c r="L1046" s="5"/>
      <c r="M1046" s="5"/>
      <c r="N1046" s="6"/>
      <c r="O1046" s="7"/>
      <c r="P1046" s="8" t="s">
        <v>21</v>
      </c>
      <c r="Q1046" s="8" t="s">
        <v>22</v>
      </c>
    </row>
    <row r="1047" customFormat="false" ht="15" hidden="false" customHeight="false" outlineLevel="0" collapsed="false">
      <c r="A1047" s="2" t="n">
        <v>1046</v>
      </c>
      <c r="B1047" s="3" t="s">
        <v>3321</v>
      </c>
      <c r="C1047" s="3" t="s">
        <v>24</v>
      </c>
      <c r="D1047" s="4" t="s">
        <v>3322</v>
      </c>
      <c r="E1047" s="3" t="s">
        <v>3290</v>
      </c>
      <c r="F1047" s="3" t="s">
        <v>3255</v>
      </c>
      <c r="G1047" s="3" t="s">
        <v>3323</v>
      </c>
      <c r="H1047" s="8" t="s">
        <v>3324</v>
      </c>
      <c r="I1047" s="4"/>
      <c r="J1047" s="5" t="s">
        <v>20</v>
      </c>
      <c r="K1047" s="6"/>
      <c r="L1047" s="5"/>
      <c r="M1047" s="5"/>
      <c r="N1047" s="6"/>
      <c r="O1047" s="7"/>
      <c r="P1047" s="8" t="s">
        <v>21</v>
      </c>
      <c r="Q1047" s="8" t="s">
        <v>22</v>
      </c>
    </row>
    <row r="1048" customFormat="false" ht="15" hidden="false" customHeight="false" outlineLevel="0" collapsed="false">
      <c r="A1048" s="2" t="n">
        <v>1047</v>
      </c>
      <c r="B1048" s="3" t="s">
        <v>3325</v>
      </c>
      <c r="C1048" s="3"/>
      <c r="D1048" s="4" t="s">
        <v>3326</v>
      </c>
      <c r="E1048" s="3"/>
      <c r="F1048" s="3" t="s">
        <v>3255</v>
      </c>
      <c r="G1048" s="3"/>
      <c r="H1048" s="3"/>
      <c r="I1048" s="4"/>
      <c r="J1048" s="5" t="s">
        <v>20</v>
      </c>
      <c r="K1048" s="6"/>
      <c r="L1048" s="5"/>
      <c r="M1048" s="5"/>
      <c r="N1048" s="6"/>
      <c r="O1048" s="7"/>
      <c r="P1048" s="8" t="s">
        <v>21</v>
      </c>
      <c r="Q1048" s="8" t="s">
        <v>22</v>
      </c>
    </row>
    <row r="1049" customFormat="false" ht="15" hidden="false" customHeight="false" outlineLevel="0" collapsed="false">
      <c r="A1049" s="2" t="n">
        <v>1048</v>
      </c>
      <c r="B1049" s="3" t="s">
        <v>3327</v>
      </c>
      <c r="C1049" s="3" t="s">
        <v>116</v>
      </c>
      <c r="D1049" s="4"/>
      <c r="E1049" s="3"/>
      <c r="F1049" s="3" t="s">
        <v>3255</v>
      </c>
      <c r="G1049" s="3"/>
      <c r="H1049" s="3"/>
      <c r="I1049" s="4"/>
      <c r="J1049" s="5" t="s">
        <v>20</v>
      </c>
      <c r="K1049" s="6"/>
      <c r="L1049" s="5"/>
      <c r="M1049" s="5"/>
      <c r="N1049" s="6"/>
      <c r="O1049" s="7"/>
      <c r="P1049" s="8" t="s">
        <v>21</v>
      </c>
      <c r="Q1049" s="8" t="s">
        <v>22</v>
      </c>
    </row>
    <row r="1050" customFormat="false" ht="15" hidden="false" customHeight="false" outlineLevel="0" collapsed="false">
      <c r="A1050" s="2" t="n">
        <v>1049</v>
      </c>
      <c r="B1050" s="3" t="s">
        <v>3328</v>
      </c>
      <c r="C1050" s="3" t="s">
        <v>153</v>
      </c>
      <c r="D1050" s="4" t="s">
        <v>3329</v>
      </c>
      <c r="E1050" s="3"/>
      <c r="F1050" s="3" t="s">
        <v>3255</v>
      </c>
      <c r="G1050" s="3"/>
      <c r="H1050" s="3"/>
      <c r="I1050" s="4"/>
      <c r="J1050" s="5" t="s">
        <v>20</v>
      </c>
      <c r="K1050" s="6"/>
      <c r="L1050" s="5"/>
      <c r="M1050" s="5"/>
      <c r="N1050" s="6"/>
      <c r="O1050" s="7"/>
      <c r="P1050" s="8" t="s">
        <v>21</v>
      </c>
      <c r="Q1050" s="8" t="s">
        <v>22</v>
      </c>
    </row>
    <row r="1051" customFormat="false" ht="15" hidden="false" customHeight="false" outlineLevel="0" collapsed="false">
      <c r="A1051" s="2" t="n">
        <v>1050</v>
      </c>
      <c r="B1051" s="3" t="s">
        <v>3330</v>
      </c>
      <c r="C1051" s="3"/>
      <c r="D1051" s="4" t="s">
        <v>3331</v>
      </c>
      <c r="E1051" s="3"/>
      <c r="F1051" s="3" t="s">
        <v>3255</v>
      </c>
      <c r="G1051" s="3"/>
      <c r="H1051" s="3"/>
      <c r="I1051" s="4"/>
      <c r="J1051" s="5" t="s">
        <v>20</v>
      </c>
      <c r="K1051" s="6"/>
      <c r="L1051" s="5"/>
      <c r="M1051" s="5"/>
      <c r="N1051" s="6"/>
      <c r="O1051" s="7"/>
      <c r="P1051" s="8" t="s">
        <v>21</v>
      </c>
      <c r="Q1051" s="8" t="s">
        <v>22</v>
      </c>
    </row>
    <row r="1052" customFormat="false" ht="23.85" hidden="false" customHeight="false" outlineLevel="0" collapsed="false">
      <c r="A1052" s="2" t="n">
        <v>1051</v>
      </c>
      <c r="B1052" s="3" t="s">
        <v>3332</v>
      </c>
      <c r="C1052" s="3" t="s">
        <v>120</v>
      </c>
      <c r="D1052" s="4"/>
      <c r="E1052" s="3"/>
      <c r="F1052" s="3" t="s">
        <v>3255</v>
      </c>
      <c r="G1052" s="3"/>
      <c r="H1052" s="8" t="s">
        <v>3333</v>
      </c>
      <c r="I1052" s="4" t="s">
        <v>3334</v>
      </c>
      <c r="J1052" s="5" t="s">
        <v>20</v>
      </c>
      <c r="K1052" s="6"/>
      <c r="L1052" s="5"/>
      <c r="M1052" s="5"/>
      <c r="N1052" s="6"/>
      <c r="O1052" s="7"/>
      <c r="P1052" s="8" t="s">
        <v>21</v>
      </c>
      <c r="Q1052" s="8" t="s">
        <v>22</v>
      </c>
    </row>
    <row r="1053" customFormat="false" ht="15" hidden="false" customHeight="false" outlineLevel="0" collapsed="false">
      <c r="A1053" s="2" t="n">
        <v>1052</v>
      </c>
      <c r="B1053" s="3" t="s">
        <v>3335</v>
      </c>
      <c r="C1053" s="3"/>
      <c r="D1053" s="4" t="s">
        <v>3336</v>
      </c>
      <c r="E1053" s="3"/>
      <c r="F1053" s="3" t="s">
        <v>3337</v>
      </c>
      <c r="G1053" s="3" t="s">
        <v>3338</v>
      </c>
      <c r="H1053" s="3"/>
      <c r="I1053" s="4"/>
      <c r="J1053" s="5" t="s">
        <v>20</v>
      </c>
      <c r="K1053" s="6"/>
      <c r="L1053" s="5"/>
      <c r="M1053" s="5"/>
      <c r="N1053" s="6"/>
      <c r="O1053" s="7"/>
      <c r="P1053" s="8" t="s">
        <v>21</v>
      </c>
      <c r="Q1053" s="8" t="s">
        <v>22</v>
      </c>
    </row>
    <row r="1054" customFormat="false" ht="15" hidden="false" customHeight="false" outlineLevel="0" collapsed="false">
      <c r="A1054" s="2" t="n">
        <v>1053</v>
      </c>
      <c r="B1054" s="3" t="s">
        <v>3339</v>
      </c>
      <c r="C1054" s="3" t="s">
        <v>120</v>
      </c>
      <c r="D1054" s="4"/>
      <c r="E1054" s="3"/>
      <c r="F1054" s="3" t="s">
        <v>3337</v>
      </c>
      <c r="G1054" s="3"/>
      <c r="H1054" s="8" t="s">
        <v>3340</v>
      </c>
      <c r="I1054" s="4"/>
      <c r="J1054" s="5" t="s">
        <v>20</v>
      </c>
      <c r="K1054" s="6"/>
      <c r="L1054" s="5"/>
      <c r="M1054" s="5"/>
      <c r="N1054" s="6"/>
      <c r="O1054" s="7"/>
      <c r="P1054" s="8" t="s">
        <v>21</v>
      </c>
      <c r="Q1054" s="8" t="s">
        <v>22</v>
      </c>
    </row>
    <row r="1055" customFormat="false" ht="15" hidden="false" customHeight="false" outlineLevel="0" collapsed="false">
      <c r="A1055" s="2" t="n">
        <v>1054</v>
      </c>
      <c r="B1055" s="3" t="s">
        <v>3341</v>
      </c>
      <c r="C1055" s="3" t="s">
        <v>234</v>
      </c>
      <c r="D1055" s="4"/>
      <c r="E1055" s="3"/>
      <c r="F1055" s="3" t="s">
        <v>3337</v>
      </c>
      <c r="G1055" s="3"/>
      <c r="H1055" s="3"/>
      <c r="I1055" s="4" t="s">
        <v>3342</v>
      </c>
      <c r="J1055" s="5" t="s">
        <v>20</v>
      </c>
      <c r="K1055" s="6"/>
      <c r="L1055" s="5"/>
      <c r="M1055" s="5"/>
      <c r="N1055" s="6"/>
      <c r="O1055" s="7"/>
      <c r="P1055" s="8" t="s">
        <v>21</v>
      </c>
      <c r="Q1055" s="8" t="s">
        <v>22</v>
      </c>
    </row>
    <row r="1056" customFormat="false" ht="15" hidden="false" customHeight="false" outlineLevel="0" collapsed="false">
      <c r="A1056" s="2" t="n">
        <v>1055</v>
      </c>
      <c r="B1056" s="3" t="s">
        <v>3343</v>
      </c>
      <c r="C1056" s="3" t="s">
        <v>3079</v>
      </c>
      <c r="D1056" s="4"/>
      <c r="E1056" s="3"/>
      <c r="F1056" s="3" t="s">
        <v>3337</v>
      </c>
      <c r="G1056" s="3"/>
      <c r="H1056" s="3"/>
      <c r="I1056" s="4"/>
      <c r="J1056" s="5" t="s">
        <v>20</v>
      </c>
      <c r="K1056" s="6"/>
      <c r="L1056" s="5"/>
      <c r="M1056" s="5"/>
      <c r="N1056" s="6"/>
      <c r="O1056" s="7"/>
      <c r="P1056" s="8" t="s">
        <v>21</v>
      </c>
      <c r="Q1056" s="8" t="s">
        <v>22</v>
      </c>
    </row>
    <row r="1057" customFormat="false" ht="15" hidden="false" customHeight="false" outlineLevel="0" collapsed="false">
      <c r="A1057" s="2" t="n">
        <v>1056</v>
      </c>
      <c r="B1057" s="3" t="s">
        <v>3344</v>
      </c>
      <c r="C1057" s="3" t="s">
        <v>601</v>
      </c>
      <c r="D1057" s="4"/>
      <c r="E1057" s="3"/>
      <c r="F1057" s="3" t="s">
        <v>3337</v>
      </c>
      <c r="G1057" s="3"/>
      <c r="H1057" s="3"/>
      <c r="I1057" s="4"/>
      <c r="J1057" s="5" t="s">
        <v>20</v>
      </c>
      <c r="K1057" s="6"/>
      <c r="L1057" s="5"/>
      <c r="M1057" s="5"/>
      <c r="N1057" s="6"/>
      <c r="O1057" s="7"/>
      <c r="P1057" s="8" t="s">
        <v>21</v>
      </c>
      <c r="Q1057" s="8" t="s">
        <v>22</v>
      </c>
    </row>
    <row r="1058" customFormat="false" ht="15" hidden="false" customHeight="false" outlineLevel="0" collapsed="false">
      <c r="A1058" s="2" t="n">
        <v>1057</v>
      </c>
      <c r="B1058" s="3" t="s">
        <v>3345</v>
      </c>
      <c r="C1058" s="3" t="s">
        <v>24</v>
      </c>
      <c r="D1058" s="4"/>
      <c r="E1058" s="3"/>
      <c r="F1058" s="3" t="s">
        <v>3337</v>
      </c>
      <c r="G1058" s="3" t="s">
        <v>3346</v>
      </c>
      <c r="H1058" s="8" t="s">
        <v>3347</v>
      </c>
      <c r="I1058" s="4"/>
      <c r="J1058" s="5" t="s">
        <v>20</v>
      </c>
      <c r="K1058" s="6"/>
      <c r="L1058" s="5"/>
      <c r="M1058" s="5"/>
      <c r="N1058" s="6"/>
      <c r="O1058" s="7"/>
      <c r="P1058" s="8" t="s">
        <v>21</v>
      </c>
      <c r="Q1058" s="8" t="s">
        <v>22</v>
      </c>
    </row>
    <row r="1059" customFormat="false" ht="15" hidden="false" customHeight="false" outlineLevel="0" collapsed="false">
      <c r="A1059" s="2" t="n">
        <v>1058</v>
      </c>
      <c r="B1059" s="3" t="s">
        <v>3348</v>
      </c>
      <c r="C1059" s="3"/>
      <c r="D1059" s="4"/>
      <c r="E1059" s="3"/>
      <c r="F1059" s="3" t="s">
        <v>3337</v>
      </c>
      <c r="G1059" s="3" t="s">
        <v>3349</v>
      </c>
      <c r="H1059" s="8" t="s">
        <v>3350</v>
      </c>
      <c r="I1059" s="4" t="s">
        <v>3351</v>
      </c>
      <c r="J1059" s="5" t="s">
        <v>20</v>
      </c>
      <c r="K1059" s="6"/>
      <c r="L1059" s="5"/>
      <c r="M1059" s="5"/>
      <c r="N1059" s="6"/>
      <c r="O1059" s="7"/>
      <c r="P1059" s="8" t="s">
        <v>21</v>
      </c>
      <c r="Q1059" s="8" t="s">
        <v>22</v>
      </c>
    </row>
    <row r="1060" customFormat="false" ht="15" hidden="false" customHeight="false" outlineLevel="0" collapsed="false">
      <c r="A1060" s="2" t="n">
        <v>1059</v>
      </c>
      <c r="B1060" s="3" t="s">
        <v>3352</v>
      </c>
      <c r="C1060" s="3"/>
      <c r="D1060" s="4" t="s">
        <v>3353</v>
      </c>
      <c r="E1060" s="3" t="s">
        <v>3354</v>
      </c>
      <c r="F1060" s="3" t="s">
        <v>3337</v>
      </c>
      <c r="G1060" s="3"/>
      <c r="H1060" s="3"/>
      <c r="I1060" s="4"/>
      <c r="J1060" s="5" t="s">
        <v>20</v>
      </c>
      <c r="K1060" s="6"/>
      <c r="L1060" s="5"/>
      <c r="M1060" s="5"/>
      <c r="N1060" s="6"/>
      <c r="O1060" s="7"/>
      <c r="P1060" s="8" t="s">
        <v>21</v>
      </c>
      <c r="Q1060" s="8" t="s">
        <v>22</v>
      </c>
    </row>
    <row r="1061" customFormat="false" ht="15" hidden="false" customHeight="false" outlineLevel="0" collapsed="false">
      <c r="A1061" s="2" t="n">
        <v>1060</v>
      </c>
      <c r="B1061" s="3" t="s">
        <v>3355</v>
      </c>
      <c r="C1061" s="3" t="s">
        <v>24</v>
      </c>
      <c r="D1061" s="4"/>
      <c r="E1061" s="3"/>
      <c r="F1061" s="3" t="s">
        <v>3337</v>
      </c>
      <c r="G1061" s="3"/>
      <c r="H1061" s="3"/>
      <c r="I1061" s="4"/>
      <c r="J1061" s="5" t="s">
        <v>20</v>
      </c>
      <c r="K1061" s="6"/>
      <c r="L1061" s="5"/>
      <c r="M1061" s="5"/>
      <c r="N1061" s="6"/>
      <c r="O1061" s="7"/>
      <c r="P1061" s="8" t="s">
        <v>21</v>
      </c>
      <c r="Q1061" s="8" t="s">
        <v>22</v>
      </c>
    </row>
    <row r="1062" customFormat="false" ht="15" hidden="false" customHeight="false" outlineLevel="0" collapsed="false">
      <c r="A1062" s="2" t="n">
        <v>1061</v>
      </c>
      <c r="B1062" s="3" t="s">
        <v>3356</v>
      </c>
      <c r="C1062" s="3" t="s">
        <v>24</v>
      </c>
      <c r="D1062" s="4"/>
      <c r="E1062" s="3"/>
      <c r="F1062" s="3" t="s">
        <v>3337</v>
      </c>
      <c r="G1062" s="3" t="s">
        <v>3357</v>
      </c>
      <c r="H1062" s="3"/>
      <c r="I1062" s="4" t="s">
        <v>3358</v>
      </c>
      <c r="J1062" s="5" t="s">
        <v>20</v>
      </c>
      <c r="K1062" s="6"/>
      <c r="L1062" s="5"/>
      <c r="M1062" s="5"/>
      <c r="N1062" s="6"/>
      <c r="O1062" s="7"/>
      <c r="P1062" s="8" t="s">
        <v>21</v>
      </c>
      <c r="Q1062" s="8" t="s">
        <v>22</v>
      </c>
    </row>
    <row r="1063" customFormat="false" ht="15" hidden="false" customHeight="false" outlineLevel="0" collapsed="false">
      <c r="A1063" s="2" t="n">
        <v>1062</v>
      </c>
      <c r="B1063" s="3" t="s">
        <v>3359</v>
      </c>
      <c r="C1063" s="3"/>
      <c r="D1063" s="4"/>
      <c r="E1063" s="3"/>
      <c r="F1063" s="3" t="s">
        <v>3337</v>
      </c>
      <c r="G1063" s="3"/>
      <c r="H1063" s="3"/>
      <c r="I1063" s="4"/>
      <c r="J1063" s="5" t="s">
        <v>20</v>
      </c>
      <c r="K1063" s="6"/>
      <c r="L1063" s="5"/>
      <c r="M1063" s="5"/>
      <c r="N1063" s="6"/>
      <c r="O1063" s="7"/>
      <c r="P1063" s="8" t="s">
        <v>21</v>
      </c>
      <c r="Q1063" s="8" t="s">
        <v>22</v>
      </c>
    </row>
    <row r="1064" customFormat="false" ht="15" hidden="false" customHeight="false" outlineLevel="0" collapsed="false">
      <c r="A1064" s="2" t="n">
        <v>1063</v>
      </c>
      <c r="B1064" s="3" t="s">
        <v>3360</v>
      </c>
      <c r="C1064" s="3" t="s">
        <v>3361</v>
      </c>
      <c r="D1064" s="4" t="s">
        <v>3362</v>
      </c>
      <c r="E1064" s="3" t="s">
        <v>3354</v>
      </c>
      <c r="F1064" s="3" t="s">
        <v>3337</v>
      </c>
      <c r="G1064" s="3" t="s">
        <v>3363</v>
      </c>
      <c r="H1064" s="8" t="s">
        <v>3364</v>
      </c>
      <c r="I1064" s="4" t="s">
        <v>2737</v>
      </c>
      <c r="J1064" s="5" t="s">
        <v>20</v>
      </c>
      <c r="K1064" s="6"/>
      <c r="L1064" s="5"/>
      <c r="M1064" s="5"/>
      <c r="N1064" s="6"/>
      <c r="O1064" s="7"/>
      <c r="P1064" s="8" t="s">
        <v>21</v>
      </c>
      <c r="Q1064" s="8" t="s">
        <v>22</v>
      </c>
    </row>
    <row r="1065" customFormat="false" ht="15" hidden="false" customHeight="false" outlineLevel="0" collapsed="false">
      <c r="A1065" s="2" t="n">
        <v>1064</v>
      </c>
      <c r="B1065" s="3" t="s">
        <v>3365</v>
      </c>
      <c r="C1065" s="3" t="s">
        <v>120</v>
      </c>
      <c r="D1065" s="4"/>
      <c r="E1065" s="3"/>
      <c r="F1065" s="3" t="s">
        <v>3337</v>
      </c>
      <c r="G1065" s="3"/>
      <c r="H1065" s="3"/>
      <c r="I1065" s="4"/>
      <c r="J1065" s="5" t="s">
        <v>20</v>
      </c>
      <c r="K1065" s="6"/>
      <c r="L1065" s="5"/>
      <c r="M1065" s="5"/>
      <c r="N1065" s="6"/>
      <c r="O1065" s="7"/>
      <c r="P1065" s="8" t="s">
        <v>21</v>
      </c>
      <c r="Q1065" s="8" t="s">
        <v>22</v>
      </c>
    </row>
    <row r="1066" customFormat="false" ht="15" hidden="false" customHeight="false" outlineLevel="0" collapsed="false">
      <c r="A1066" s="2" t="n">
        <v>1065</v>
      </c>
      <c r="B1066" s="3" t="s">
        <v>3366</v>
      </c>
      <c r="C1066" s="3"/>
      <c r="D1066" s="4"/>
      <c r="E1066" s="3"/>
      <c r="F1066" s="3" t="s">
        <v>3337</v>
      </c>
      <c r="G1066" s="3" t="s">
        <v>3367</v>
      </c>
      <c r="H1066" s="3"/>
      <c r="I1066" s="4"/>
      <c r="J1066" s="5" t="s">
        <v>20</v>
      </c>
      <c r="K1066" s="6"/>
      <c r="L1066" s="5"/>
      <c r="M1066" s="5"/>
      <c r="N1066" s="6"/>
      <c r="O1066" s="7"/>
      <c r="P1066" s="8" t="s">
        <v>21</v>
      </c>
      <c r="Q1066" s="8" t="s">
        <v>22</v>
      </c>
    </row>
    <row r="1067" customFormat="false" ht="35.05" hidden="false" customHeight="false" outlineLevel="0" collapsed="false">
      <c r="A1067" s="2" t="n">
        <v>1066</v>
      </c>
      <c r="B1067" s="3" t="s">
        <v>3368</v>
      </c>
      <c r="C1067" s="3" t="s">
        <v>3369</v>
      </c>
      <c r="D1067" s="4" t="s">
        <v>3370</v>
      </c>
      <c r="E1067" s="3" t="s">
        <v>3354</v>
      </c>
      <c r="F1067" s="3" t="s">
        <v>3337</v>
      </c>
      <c r="G1067" s="3" t="s">
        <v>3371</v>
      </c>
      <c r="H1067" s="8" t="s">
        <v>3372</v>
      </c>
      <c r="I1067" s="4" t="s">
        <v>3373</v>
      </c>
      <c r="J1067" s="5" t="s">
        <v>20</v>
      </c>
      <c r="K1067" s="6"/>
      <c r="L1067" s="5"/>
      <c r="M1067" s="5"/>
      <c r="N1067" s="6"/>
      <c r="O1067" s="7"/>
      <c r="P1067" s="8" t="s">
        <v>21</v>
      </c>
      <c r="Q1067" s="8" t="s">
        <v>22</v>
      </c>
    </row>
    <row r="1068" customFormat="false" ht="23.85" hidden="false" customHeight="false" outlineLevel="0" collapsed="false">
      <c r="A1068" s="2" t="n">
        <v>1067</v>
      </c>
      <c r="B1068" s="3" t="s">
        <v>3374</v>
      </c>
      <c r="C1068" s="3" t="s">
        <v>711</v>
      </c>
      <c r="D1068" s="4" t="s">
        <v>3375</v>
      </c>
      <c r="E1068" s="3" t="s">
        <v>3354</v>
      </c>
      <c r="F1068" s="3" t="s">
        <v>3337</v>
      </c>
      <c r="G1068" s="3"/>
      <c r="H1068" s="3"/>
      <c r="I1068" s="4" t="s">
        <v>3376</v>
      </c>
      <c r="J1068" s="5" t="s">
        <v>20</v>
      </c>
      <c r="K1068" s="6"/>
      <c r="L1068" s="5"/>
      <c r="M1068" s="5"/>
      <c r="N1068" s="6"/>
      <c r="O1068" s="7"/>
      <c r="P1068" s="8" t="s">
        <v>21</v>
      </c>
      <c r="Q1068" s="8" t="s">
        <v>22</v>
      </c>
    </row>
    <row r="1069" customFormat="false" ht="15" hidden="false" customHeight="false" outlineLevel="0" collapsed="false">
      <c r="A1069" s="2" t="n">
        <v>1068</v>
      </c>
      <c r="B1069" s="3" t="s">
        <v>3377</v>
      </c>
      <c r="C1069" s="3"/>
      <c r="D1069" s="4"/>
      <c r="E1069" s="3"/>
      <c r="F1069" s="3" t="s">
        <v>3337</v>
      </c>
      <c r="G1069" s="3"/>
      <c r="H1069" s="3"/>
      <c r="I1069" s="4"/>
      <c r="J1069" s="5" t="s">
        <v>20</v>
      </c>
      <c r="K1069" s="6"/>
      <c r="L1069" s="5"/>
      <c r="M1069" s="5"/>
      <c r="N1069" s="6"/>
      <c r="O1069" s="7"/>
      <c r="P1069" s="8" t="s">
        <v>21</v>
      </c>
      <c r="Q1069" s="8" t="s">
        <v>22</v>
      </c>
    </row>
    <row r="1070" customFormat="false" ht="15" hidden="false" customHeight="false" outlineLevel="0" collapsed="false">
      <c r="A1070" s="2" t="n">
        <v>1069</v>
      </c>
      <c r="B1070" s="3" t="s">
        <v>3378</v>
      </c>
      <c r="C1070" s="3" t="s">
        <v>89</v>
      </c>
      <c r="D1070" s="4" t="s">
        <v>3370</v>
      </c>
      <c r="E1070" s="3" t="s">
        <v>3354</v>
      </c>
      <c r="F1070" s="3" t="s">
        <v>3337</v>
      </c>
      <c r="G1070" s="3" t="s">
        <v>3379</v>
      </c>
      <c r="H1070" s="3"/>
      <c r="I1070" s="4" t="s">
        <v>3380</v>
      </c>
      <c r="J1070" s="5" t="s">
        <v>20</v>
      </c>
      <c r="K1070" s="6"/>
      <c r="L1070" s="5"/>
      <c r="M1070" s="5"/>
      <c r="N1070" s="6"/>
      <c r="O1070" s="7"/>
      <c r="P1070" s="8" t="s">
        <v>21</v>
      </c>
      <c r="Q1070" s="8" t="s">
        <v>22</v>
      </c>
    </row>
    <row r="1071" customFormat="false" ht="15" hidden="false" customHeight="false" outlineLevel="0" collapsed="false">
      <c r="A1071" s="2" t="n">
        <v>1070</v>
      </c>
      <c r="B1071" s="3" t="s">
        <v>3381</v>
      </c>
      <c r="C1071" s="3"/>
      <c r="D1071" s="4"/>
      <c r="E1071" s="3"/>
      <c r="F1071" s="3" t="s">
        <v>3337</v>
      </c>
      <c r="G1071" s="3"/>
      <c r="H1071" s="3"/>
      <c r="I1071" s="4"/>
      <c r="J1071" s="5" t="s">
        <v>20</v>
      </c>
      <c r="K1071" s="6"/>
      <c r="L1071" s="5"/>
      <c r="M1071" s="5"/>
      <c r="N1071" s="6"/>
      <c r="O1071" s="7"/>
      <c r="P1071" s="8" t="s">
        <v>21</v>
      </c>
      <c r="Q1071" s="8" t="s">
        <v>22</v>
      </c>
    </row>
    <row r="1072" customFormat="false" ht="15" hidden="false" customHeight="false" outlineLevel="0" collapsed="false">
      <c r="A1072" s="2" t="n">
        <v>1071</v>
      </c>
      <c r="B1072" s="3" t="s">
        <v>3382</v>
      </c>
      <c r="C1072" s="3"/>
      <c r="D1072" s="4"/>
      <c r="E1072" s="3"/>
      <c r="F1072" s="3" t="s">
        <v>3337</v>
      </c>
      <c r="G1072" s="3"/>
      <c r="H1072" s="3"/>
      <c r="I1072" s="4"/>
      <c r="J1072" s="5" t="s">
        <v>20</v>
      </c>
      <c r="K1072" s="6"/>
      <c r="L1072" s="5"/>
      <c r="M1072" s="5"/>
      <c r="N1072" s="6"/>
      <c r="O1072" s="7"/>
      <c r="P1072" s="8" t="s">
        <v>21</v>
      </c>
      <c r="Q1072" s="8" t="s">
        <v>22</v>
      </c>
    </row>
    <row r="1073" customFormat="false" ht="15" hidden="false" customHeight="false" outlineLevel="0" collapsed="false">
      <c r="A1073" s="2" t="n">
        <v>1072</v>
      </c>
      <c r="B1073" s="3" t="s">
        <v>3383</v>
      </c>
      <c r="C1073" s="3" t="s">
        <v>55</v>
      </c>
      <c r="D1073" s="4"/>
      <c r="E1073" s="3"/>
      <c r="F1073" s="3" t="s">
        <v>3337</v>
      </c>
      <c r="G1073" s="3"/>
      <c r="H1073" s="8" t="s">
        <v>3384</v>
      </c>
      <c r="I1073" s="4"/>
      <c r="J1073" s="5" t="s">
        <v>20</v>
      </c>
      <c r="K1073" s="6"/>
      <c r="L1073" s="5"/>
      <c r="M1073" s="5"/>
      <c r="N1073" s="6"/>
      <c r="O1073" s="7"/>
      <c r="P1073" s="8" t="s">
        <v>21</v>
      </c>
      <c r="Q1073" s="8" t="s">
        <v>22</v>
      </c>
    </row>
    <row r="1074" customFormat="false" ht="15" hidden="false" customHeight="false" outlineLevel="0" collapsed="false">
      <c r="A1074" s="2" t="n">
        <v>1073</v>
      </c>
      <c r="B1074" s="3" t="s">
        <v>3385</v>
      </c>
      <c r="C1074" s="3" t="s">
        <v>89</v>
      </c>
      <c r="D1074" s="4"/>
      <c r="E1074" s="3"/>
      <c r="F1074" s="3" t="s">
        <v>3337</v>
      </c>
      <c r="G1074" s="3"/>
      <c r="H1074" s="3"/>
      <c r="I1074" s="4"/>
      <c r="J1074" s="5" t="s">
        <v>20</v>
      </c>
      <c r="K1074" s="6"/>
      <c r="L1074" s="5"/>
      <c r="M1074" s="5"/>
      <c r="N1074" s="6"/>
      <c r="O1074" s="7"/>
      <c r="P1074" s="8" t="s">
        <v>21</v>
      </c>
      <c r="Q1074" s="8" t="s">
        <v>22</v>
      </c>
    </row>
    <row r="1075" customFormat="false" ht="15" hidden="false" customHeight="false" outlineLevel="0" collapsed="false">
      <c r="A1075" s="2" t="n">
        <v>1074</v>
      </c>
      <c r="B1075" s="3" t="s">
        <v>3386</v>
      </c>
      <c r="C1075" s="3" t="s">
        <v>24</v>
      </c>
      <c r="D1075" s="4"/>
      <c r="E1075" s="3"/>
      <c r="F1075" s="3" t="s">
        <v>3337</v>
      </c>
      <c r="G1075" s="3"/>
      <c r="H1075" s="3"/>
      <c r="I1075" s="4"/>
      <c r="J1075" s="5" t="s">
        <v>20</v>
      </c>
      <c r="K1075" s="6"/>
      <c r="L1075" s="5"/>
      <c r="M1075" s="5"/>
      <c r="N1075" s="6"/>
      <c r="O1075" s="7"/>
      <c r="P1075" s="8" t="s">
        <v>21</v>
      </c>
      <c r="Q1075" s="8" t="s">
        <v>22</v>
      </c>
    </row>
    <row r="1076" customFormat="false" ht="15" hidden="false" customHeight="false" outlineLevel="0" collapsed="false">
      <c r="A1076" s="2" t="n">
        <v>1075</v>
      </c>
      <c r="B1076" s="3" t="s">
        <v>3387</v>
      </c>
      <c r="C1076" s="3" t="s">
        <v>116</v>
      </c>
      <c r="D1076" s="4"/>
      <c r="E1076" s="3"/>
      <c r="F1076" s="3" t="s">
        <v>3337</v>
      </c>
      <c r="G1076" s="3"/>
      <c r="H1076" s="3"/>
      <c r="I1076" s="4" t="s">
        <v>3388</v>
      </c>
      <c r="J1076" s="5" t="s">
        <v>20</v>
      </c>
      <c r="K1076" s="6"/>
      <c r="L1076" s="5"/>
      <c r="M1076" s="5"/>
      <c r="N1076" s="6"/>
      <c r="O1076" s="7"/>
      <c r="P1076" s="8" t="s">
        <v>21</v>
      </c>
      <c r="Q1076" s="8" t="s">
        <v>22</v>
      </c>
    </row>
    <row r="1077" customFormat="false" ht="15" hidden="false" customHeight="false" outlineLevel="0" collapsed="false">
      <c r="A1077" s="2" t="n">
        <v>1076</v>
      </c>
      <c r="B1077" s="3" t="s">
        <v>3389</v>
      </c>
      <c r="C1077" s="3" t="s">
        <v>116</v>
      </c>
      <c r="D1077" s="4"/>
      <c r="E1077" s="3"/>
      <c r="F1077" s="3" t="s">
        <v>3337</v>
      </c>
      <c r="G1077" s="3"/>
      <c r="H1077" s="3"/>
      <c r="I1077" s="4"/>
      <c r="J1077" s="5" t="s">
        <v>20</v>
      </c>
      <c r="K1077" s="6"/>
      <c r="L1077" s="5"/>
      <c r="M1077" s="5"/>
      <c r="N1077" s="6"/>
      <c r="O1077" s="7"/>
      <c r="P1077" s="8" t="s">
        <v>21</v>
      </c>
      <c r="Q1077" s="8" t="s">
        <v>22</v>
      </c>
    </row>
    <row r="1078" customFormat="false" ht="23.85" hidden="false" customHeight="false" outlineLevel="0" collapsed="false">
      <c r="A1078" s="2" t="n">
        <v>1077</v>
      </c>
      <c r="B1078" s="3" t="s">
        <v>3390</v>
      </c>
      <c r="C1078" s="3"/>
      <c r="D1078" s="4"/>
      <c r="E1078" s="3"/>
      <c r="F1078" s="3" t="s">
        <v>3337</v>
      </c>
      <c r="G1078" s="3"/>
      <c r="H1078" s="3"/>
      <c r="I1078" s="4" t="s">
        <v>3391</v>
      </c>
      <c r="J1078" s="5" t="s">
        <v>20</v>
      </c>
      <c r="K1078" s="6"/>
      <c r="L1078" s="5"/>
      <c r="M1078" s="5"/>
      <c r="N1078" s="6"/>
      <c r="O1078" s="7"/>
      <c r="P1078" s="8" t="s">
        <v>21</v>
      </c>
      <c r="Q1078" s="8" t="s">
        <v>22</v>
      </c>
    </row>
    <row r="1079" customFormat="false" ht="15" hidden="false" customHeight="false" outlineLevel="0" collapsed="false">
      <c r="A1079" s="2" t="n">
        <v>1078</v>
      </c>
      <c r="B1079" s="3" t="s">
        <v>3392</v>
      </c>
      <c r="C1079" s="3" t="s">
        <v>24</v>
      </c>
      <c r="D1079" s="4"/>
      <c r="E1079" s="3"/>
      <c r="F1079" s="3" t="s">
        <v>3337</v>
      </c>
      <c r="G1079" s="3"/>
      <c r="H1079" s="3"/>
      <c r="I1079" s="4"/>
      <c r="J1079" s="5" t="s">
        <v>20</v>
      </c>
      <c r="K1079" s="6"/>
      <c r="L1079" s="5"/>
      <c r="M1079" s="5"/>
      <c r="N1079" s="6"/>
      <c r="O1079" s="7"/>
      <c r="P1079" s="8" t="s">
        <v>21</v>
      </c>
      <c r="Q1079" s="8" t="s">
        <v>22</v>
      </c>
    </row>
    <row r="1080" customFormat="false" ht="15" hidden="false" customHeight="false" outlineLevel="0" collapsed="false">
      <c r="A1080" s="2" t="n">
        <v>1079</v>
      </c>
      <c r="B1080" s="3" t="s">
        <v>3393</v>
      </c>
      <c r="C1080" s="3" t="s">
        <v>3394</v>
      </c>
      <c r="D1080" s="4"/>
      <c r="E1080" s="3"/>
      <c r="F1080" s="3" t="s">
        <v>3337</v>
      </c>
      <c r="G1080" s="3" t="s">
        <v>3395</v>
      </c>
      <c r="H1080" s="3"/>
      <c r="I1080" s="4" t="s">
        <v>3396</v>
      </c>
      <c r="J1080" s="5" t="s">
        <v>20</v>
      </c>
      <c r="K1080" s="6"/>
      <c r="L1080" s="5"/>
      <c r="M1080" s="5"/>
      <c r="N1080" s="6"/>
      <c r="O1080" s="7"/>
      <c r="P1080" s="8" t="s">
        <v>21</v>
      </c>
      <c r="Q1080" s="8" t="s">
        <v>22</v>
      </c>
    </row>
    <row r="1081" customFormat="false" ht="15" hidden="false" customHeight="false" outlineLevel="0" collapsed="false">
      <c r="A1081" s="2" t="n">
        <v>1080</v>
      </c>
      <c r="B1081" s="3" t="s">
        <v>3397</v>
      </c>
      <c r="C1081" s="3" t="s">
        <v>62</v>
      </c>
      <c r="D1081" s="4"/>
      <c r="E1081" s="3"/>
      <c r="F1081" s="3" t="s">
        <v>3337</v>
      </c>
      <c r="G1081" s="3"/>
      <c r="H1081" s="3"/>
      <c r="I1081" s="4"/>
      <c r="J1081" s="5" t="s">
        <v>20</v>
      </c>
      <c r="K1081" s="6"/>
      <c r="L1081" s="5"/>
      <c r="M1081" s="5"/>
      <c r="N1081" s="6"/>
      <c r="O1081" s="7"/>
      <c r="P1081" s="8" t="s">
        <v>21</v>
      </c>
      <c r="Q1081" s="8" t="s">
        <v>22</v>
      </c>
    </row>
    <row r="1082" customFormat="false" ht="15" hidden="false" customHeight="false" outlineLevel="0" collapsed="false">
      <c r="A1082" s="2" t="n">
        <v>1081</v>
      </c>
      <c r="B1082" s="3" t="s">
        <v>3398</v>
      </c>
      <c r="C1082" s="3"/>
      <c r="D1082" s="4"/>
      <c r="E1082" s="3"/>
      <c r="F1082" s="3" t="s">
        <v>3337</v>
      </c>
      <c r="G1082" s="3"/>
      <c r="H1082" s="3"/>
      <c r="I1082" s="4"/>
      <c r="J1082" s="5" t="s">
        <v>20</v>
      </c>
      <c r="K1082" s="6"/>
      <c r="L1082" s="5"/>
      <c r="M1082" s="5"/>
      <c r="N1082" s="6"/>
      <c r="O1082" s="7"/>
      <c r="P1082" s="8" t="s">
        <v>21</v>
      </c>
      <c r="Q1082" s="8" t="s">
        <v>22</v>
      </c>
    </row>
    <row r="1083" customFormat="false" ht="15" hidden="false" customHeight="false" outlineLevel="0" collapsed="false">
      <c r="A1083" s="2" t="n">
        <v>1082</v>
      </c>
      <c r="B1083" s="3" t="s">
        <v>3399</v>
      </c>
      <c r="C1083" s="3"/>
      <c r="D1083" s="4"/>
      <c r="E1083" s="3"/>
      <c r="F1083" s="3" t="s">
        <v>3400</v>
      </c>
      <c r="G1083" s="3"/>
      <c r="H1083" s="3"/>
      <c r="I1083" s="4"/>
      <c r="J1083" s="5" t="s">
        <v>20</v>
      </c>
      <c r="K1083" s="6"/>
      <c r="L1083" s="5"/>
      <c r="M1083" s="5"/>
      <c r="N1083" s="6"/>
      <c r="O1083" s="7"/>
      <c r="P1083" s="8" t="s">
        <v>21</v>
      </c>
      <c r="Q1083" s="8" t="s">
        <v>22</v>
      </c>
    </row>
    <row r="1084" customFormat="false" ht="15" hidden="false" customHeight="false" outlineLevel="0" collapsed="false">
      <c r="A1084" s="2" t="n">
        <v>1083</v>
      </c>
      <c r="B1084" s="3" t="s">
        <v>3401</v>
      </c>
      <c r="C1084" s="3" t="s">
        <v>3402</v>
      </c>
      <c r="D1084" s="4"/>
      <c r="E1084" s="3"/>
      <c r="F1084" s="3" t="s">
        <v>3400</v>
      </c>
      <c r="G1084" s="3"/>
      <c r="H1084" s="3"/>
      <c r="I1084" s="4"/>
      <c r="J1084" s="5" t="s">
        <v>20</v>
      </c>
      <c r="K1084" s="6"/>
      <c r="L1084" s="5"/>
      <c r="M1084" s="5"/>
      <c r="N1084" s="6"/>
      <c r="O1084" s="7"/>
      <c r="P1084" s="8" t="s">
        <v>21</v>
      </c>
      <c r="Q1084" s="8" t="s">
        <v>22</v>
      </c>
    </row>
    <row r="1085" customFormat="false" ht="15" hidden="false" customHeight="false" outlineLevel="0" collapsed="false">
      <c r="A1085" s="2" t="n">
        <v>1084</v>
      </c>
      <c r="B1085" s="3" t="s">
        <v>2969</v>
      </c>
      <c r="C1085" s="3" t="s">
        <v>116</v>
      </c>
      <c r="D1085" s="4"/>
      <c r="E1085" s="3" t="s">
        <v>3403</v>
      </c>
      <c r="F1085" s="3" t="s">
        <v>3400</v>
      </c>
      <c r="G1085" s="3"/>
      <c r="H1085" s="3"/>
      <c r="I1085" s="4"/>
      <c r="J1085" s="5" t="s">
        <v>20</v>
      </c>
      <c r="K1085" s="6"/>
      <c r="L1085" s="5"/>
      <c r="M1085" s="5"/>
      <c r="N1085" s="6"/>
      <c r="O1085" s="7"/>
      <c r="P1085" s="8" t="s">
        <v>21</v>
      </c>
      <c r="Q1085" s="8" t="s">
        <v>22</v>
      </c>
    </row>
    <row r="1086" customFormat="false" ht="15" hidden="false" customHeight="false" outlineLevel="0" collapsed="false">
      <c r="A1086" s="2" t="n">
        <v>1085</v>
      </c>
      <c r="B1086" s="3" t="s">
        <v>248</v>
      </c>
      <c r="C1086" s="3" t="s">
        <v>249</v>
      </c>
      <c r="D1086" s="4"/>
      <c r="E1086" s="3"/>
      <c r="F1086" s="3" t="s">
        <v>3400</v>
      </c>
      <c r="G1086" s="3"/>
      <c r="H1086" s="3"/>
      <c r="I1086" s="4"/>
      <c r="J1086" s="5" t="s">
        <v>20</v>
      </c>
      <c r="K1086" s="6"/>
      <c r="L1086" s="5"/>
      <c r="M1086" s="5"/>
      <c r="N1086" s="6"/>
      <c r="O1086" s="7"/>
      <c r="P1086" s="8" t="s">
        <v>21</v>
      </c>
      <c r="Q1086" s="8" t="s">
        <v>22</v>
      </c>
    </row>
    <row r="1087" customFormat="false" ht="15" hidden="false" customHeight="false" outlineLevel="0" collapsed="false">
      <c r="A1087" s="2" t="n">
        <v>1086</v>
      </c>
      <c r="B1087" s="3" t="s">
        <v>3404</v>
      </c>
      <c r="C1087" s="3" t="s">
        <v>24</v>
      </c>
      <c r="D1087" s="4"/>
      <c r="E1087" s="3"/>
      <c r="F1087" s="3" t="s">
        <v>3400</v>
      </c>
      <c r="G1087" s="3"/>
      <c r="H1087" s="3"/>
      <c r="I1087" s="4"/>
      <c r="J1087" s="5" t="s">
        <v>20</v>
      </c>
      <c r="K1087" s="6"/>
      <c r="L1087" s="5"/>
      <c r="M1087" s="5"/>
      <c r="N1087" s="6"/>
      <c r="O1087" s="7"/>
      <c r="P1087" s="8" t="s">
        <v>21</v>
      </c>
      <c r="Q1087" s="8" t="s">
        <v>22</v>
      </c>
    </row>
    <row r="1088" customFormat="false" ht="23.85" hidden="false" customHeight="false" outlineLevel="0" collapsed="false">
      <c r="A1088" s="2" t="n">
        <v>1087</v>
      </c>
      <c r="B1088" s="3" t="s">
        <v>3405</v>
      </c>
      <c r="C1088" s="3" t="s">
        <v>24</v>
      </c>
      <c r="D1088" s="4" t="s">
        <v>3406</v>
      </c>
      <c r="E1088" s="3"/>
      <c r="F1088" s="3" t="s">
        <v>3400</v>
      </c>
      <c r="G1088" s="3"/>
      <c r="H1088" s="3"/>
      <c r="I1088" s="4" t="s">
        <v>3407</v>
      </c>
      <c r="J1088" s="5" t="s">
        <v>20</v>
      </c>
      <c r="K1088" s="6"/>
      <c r="L1088" s="5"/>
      <c r="M1088" s="5"/>
      <c r="N1088" s="6"/>
      <c r="O1088" s="7"/>
      <c r="P1088" s="8" t="s">
        <v>21</v>
      </c>
      <c r="Q1088" s="8" t="s">
        <v>22</v>
      </c>
    </row>
    <row r="1089" customFormat="false" ht="15" hidden="false" customHeight="false" outlineLevel="0" collapsed="false">
      <c r="A1089" s="2" t="n">
        <v>1088</v>
      </c>
      <c r="B1089" s="3" t="s">
        <v>3408</v>
      </c>
      <c r="C1089" s="3" t="s">
        <v>3409</v>
      </c>
      <c r="D1089" s="4"/>
      <c r="E1089" s="3"/>
      <c r="F1089" s="3" t="s">
        <v>3400</v>
      </c>
      <c r="G1089" s="3"/>
      <c r="H1089" s="8" t="s">
        <v>3410</v>
      </c>
      <c r="I1089" s="4"/>
      <c r="J1089" s="5" t="s">
        <v>20</v>
      </c>
      <c r="K1089" s="6"/>
      <c r="L1089" s="5"/>
      <c r="M1089" s="5"/>
      <c r="N1089" s="6"/>
      <c r="O1089" s="7"/>
      <c r="P1089" s="8" t="s">
        <v>21</v>
      </c>
      <c r="Q1089" s="8" t="s">
        <v>22</v>
      </c>
    </row>
    <row r="1090" customFormat="false" ht="15" hidden="false" customHeight="false" outlineLevel="0" collapsed="false">
      <c r="A1090" s="2" t="n">
        <v>1089</v>
      </c>
      <c r="B1090" s="3" t="s">
        <v>3411</v>
      </c>
      <c r="C1090" s="3"/>
      <c r="D1090" s="4"/>
      <c r="E1090" s="3"/>
      <c r="F1090" s="3" t="s">
        <v>3400</v>
      </c>
      <c r="G1090" s="3"/>
      <c r="H1090" s="3"/>
      <c r="I1090" s="4"/>
      <c r="J1090" s="5" t="s">
        <v>20</v>
      </c>
      <c r="K1090" s="6"/>
      <c r="L1090" s="5"/>
      <c r="M1090" s="5"/>
      <c r="N1090" s="6"/>
      <c r="O1090" s="7"/>
      <c r="P1090" s="8" t="s">
        <v>21</v>
      </c>
      <c r="Q1090" s="8" t="s">
        <v>22</v>
      </c>
    </row>
    <row r="1091" customFormat="false" ht="15" hidden="false" customHeight="false" outlineLevel="0" collapsed="false">
      <c r="A1091" s="2" t="n">
        <v>1090</v>
      </c>
      <c r="B1091" s="3" t="s">
        <v>3412</v>
      </c>
      <c r="C1091" s="3" t="s">
        <v>120</v>
      </c>
      <c r="D1091" s="4" t="s">
        <v>3413</v>
      </c>
      <c r="E1091" s="3" t="s">
        <v>3403</v>
      </c>
      <c r="F1091" s="3" t="s">
        <v>3400</v>
      </c>
      <c r="G1091" s="3" t="s">
        <v>3414</v>
      </c>
      <c r="H1091" s="8" t="s">
        <v>3415</v>
      </c>
      <c r="I1091" s="4"/>
      <c r="J1091" s="5" t="s">
        <v>20</v>
      </c>
      <c r="K1091" s="6"/>
      <c r="L1091" s="5"/>
      <c r="M1091" s="5"/>
      <c r="N1091" s="6"/>
      <c r="O1091" s="7"/>
      <c r="P1091" s="8" t="s">
        <v>21</v>
      </c>
      <c r="Q1091" s="8" t="s">
        <v>22</v>
      </c>
    </row>
    <row r="1092" customFormat="false" ht="15" hidden="false" customHeight="false" outlineLevel="0" collapsed="false">
      <c r="A1092" s="2" t="n">
        <v>1091</v>
      </c>
      <c r="B1092" s="3" t="s">
        <v>3416</v>
      </c>
      <c r="C1092" s="3" t="s">
        <v>24</v>
      </c>
      <c r="D1092" s="4"/>
      <c r="E1092" s="3"/>
      <c r="F1092" s="3" t="s">
        <v>3400</v>
      </c>
      <c r="G1092" s="3"/>
      <c r="H1092" s="3"/>
      <c r="I1092" s="4"/>
      <c r="J1092" s="5" t="s">
        <v>20</v>
      </c>
      <c r="K1092" s="6"/>
      <c r="L1092" s="5"/>
      <c r="M1092" s="5"/>
      <c r="N1092" s="6"/>
      <c r="O1092" s="7"/>
      <c r="P1092" s="8" t="s">
        <v>21</v>
      </c>
      <c r="Q1092" s="8" t="s">
        <v>22</v>
      </c>
    </row>
    <row r="1093" customFormat="false" ht="15" hidden="false" customHeight="false" outlineLevel="0" collapsed="false">
      <c r="A1093" s="2" t="n">
        <v>1092</v>
      </c>
      <c r="B1093" s="3" t="s">
        <v>3417</v>
      </c>
      <c r="C1093" s="3" t="s">
        <v>1354</v>
      </c>
      <c r="D1093" s="4" t="s">
        <v>3418</v>
      </c>
      <c r="E1093" s="3"/>
      <c r="F1093" s="3" t="s">
        <v>3400</v>
      </c>
      <c r="G1093" s="3"/>
      <c r="H1093" s="3"/>
      <c r="I1093" s="4"/>
      <c r="J1093" s="5" t="s">
        <v>20</v>
      </c>
      <c r="K1093" s="6"/>
      <c r="L1093" s="5"/>
      <c r="M1093" s="5"/>
      <c r="N1093" s="6"/>
      <c r="O1093" s="7"/>
      <c r="P1093" s="8" t="s">
        <v>21</v>
      </c>
      <c r="Q1093" s="8" t="s">
        <v>22</v>
      </c>
    </row>
    <row r="1094" customFormat="false" ht="15" hidden="false" customHeight="false" outlineLevel="0" collapsed="false">
      <c r="A1094" s="2" t="n">
        <v>1093</v>
      </c>
      <c r="B1094" s="3" t="s">
        <v>3419</v>
      </c>
      <c r="C1094" s="3" t="s">
        <v>120</v>
      </c>
      <c r="D1094" s="4"/>
      <c r="E1094" s="3"/>
      <c r="F1094" s="3" t="s">
        <v>3400</v>
      </c>
      <c r="G1094" s="3"/>
      <c r="H1094" s="3"/>
      <c r="I1094" s="4"/>
      <c r="J1094" s="5" t="s">
        <v>20</v>
      </c>
      <c r="K1094" s="6"/>
      <c r="L1094" s="5"/>
      <c r="M1094" s="5"/>
      <c r="N1094" s="6"/>
      <c r="O1094" s="7"/>
      <c r="P1094" s="8" t="s">
        <v>21</v>
      </c>
      <c r="Q1094" s="8" t="s">
        <v>22</v>
      </c>
    </row>
    <row r="1095" customFormat="false" ht="15" hidden="false" customHeight="false" outlineLevel="0" collapsed="false">
      <c r="A1095" s="2" t="n">
        <v>1094</v>
      </c>
      <c r="B1095" s="3" t="s">
        <v>3420</v>
      </c>
      <c r="C1095" s="3" t="s">
        <v>3065</v>
      </c>
      <c r="D1095" s="4"/>
      <c r="E1095" s="3"/>
      <c r="F1095" s="3" t="s">
        <v>3400</v>
      </c>
      <c r="G1095" s="3"/>
      <c r="H1095" s="3"/>
      <c r="I1095" s="4"/>
      <c r="J1095" s="5" t="s">
        <v>20</v>
      </c>
      <c r="K1095" s="6"/>
      <c r="L1095" s="5"/>
      <c r="M1095" s="5"/>
      <c r="N1095" s="6"/>
      <c r="O1095" s="7"/>
      <c r="P1095" s="8" t="s">
        <v>21</v>
      </c>
      <c r="Q1095" s="8" t="s">
        <v>22</v>
      </c>
    </row>
    <row r="1096" customFormat="false" ht="15" hidden="false" customHeight="false" outlineLevel="0" collapsed="false">
      <c r="A1096" s="2" t="n">
        <v>1095</v>
      </c>
      <c r="B1096" s="3" t="s">
        <v>3421</v>
      </c>
      <c r="C1096" s="3" t="s">
        <v>3422</v>
      </c>
      <c r="D1096" s="4" t="s">
        <v>3326</v>
      </c>
      <c r="E1096" s="3" t="s">
        <v>3403</v>
      </c>
      <c r="F1096" s="3" t="s">
        <v>3400</v>
      </c>
      <c r="G1096" s="3"/>
      <c r="H1096" s="8" t="s">
        <v>3423</v>
      </c>
      <c r="I1096" s="4" t="s">
        <v>3424</v>
      </c>
      <c r="J1096" s="5" t="s">
        <v>20</v>
      </c>
      <c r="K1096" s="6"/>
      <c r="L1096" s="5"/>
      <c r="M1096" s="5"/>
      <c r="N1096" s="6"/>
      <c r="O1096" s="7"/>
      <c r="P1096" s="8" t="s">
        <v>21</v>
      </c>
      <c r="Q1096" s="8" t="s">
        <v>22</v>
      </c>
    </row>
    <row r="1097" customFormat="false" ht="15" hidden="false" customHeight="false" outlineLevel="0" collapsed="false">
      <c r="A1097" s="2" t="n">
        <v>1096</v>
      </c>
      <c r="B1097" s="3" t="s">
        <v>3425</v>
      </c>
      <c r="C1097" s="3" t="s">
        <v>3426</v>
      </c>
      <c r="D1097" s="4"/>
      <c r="E1097" s="3"/>
      <c r="F1097" s="3" t="s">
        <v>3400</v>
      </c>
      <c r="G1097" s="3"/>
      <c r="H1097" s="3"/>
      <c r="I1097" s="4"/>
      <c r="J1097" s="5" t="s">
        <v>20</v>
      </c>
      <c r="K1097" s="6"/>
      <c r="L1097" s="5"/>
      <c r="M1097" s="5"/>
      <c r="N1097" s="6"/>
      <c r="O1097" s="7"/>
      <c r="P1097" s="8" t="s">
        <v>21</v>
      </c>
      <c r="Q1097" s="8" t="s">
        <v>22</v>
      </c>
    </row>
    <row r="1098" customFormat="false" ht="23.85" hidden="false" customHeight="false" outlineLevel="0" collapsed="false">
      <c r="A1098" s="2" t="n">
        <v>1097</v>
      </c>
      <c r="B1098" s="3" t="s">
        <v>3427</v>
      </c>
      <c r="C1098" s="3" t="s">
        <v>71</v>
      </c>
      <c r="D1098" s="4"/>
      <c r="E1098" s="3"/>
      <c r="F1098" s="3" t="s">
        <v>3400</v>
      </c>
      <c r="G1098" s="3"/>
      <c r="H1098" s="8" t="s">
        <v>3428</v>
      </c>
      <c r="I1098" s="4" t="s">
        <v>3429</v>
      </c>
      <c r="J1098" s="5" t="s">
        <v>20</v>
      </c>
      <c r="K1098" s="6"/>
      <c r="L1098" s="5"/>
      <c r="M1098" s="5"/>
      <c r="N1098" s="6"/>
      <c r="O1098" s="7"/>
      <c r="P1098" s="8" t="s">
        <v>21</v>
      </c>
      <c r="Q1098" s="8" t="s">
        <v>22</v>
      </c>
    </row>
    <row r="1099" customFormat="false" ht="15" hidden="false" customHeight="false" outlineLevel="0" collapsed="false">
      <c r="A1099" s="2" t="n">
        <v>1098</v>
      </c>
      <c r="B1099" s="3" t="s">
        <v>3430</v>
      </c>
      <c r="C1099" s="3" t="s">
        <v>116</v>
      </c>
      <c r="D1099" s="4"/>
      <c r="E1099" s="3"/>
      <c r="F1099" s="3" t="s">
        <v>3400</v>
      </c>
      <c r="G1099" s="3"/>
      <c r="H1099" s="3"/>
      <c r="I1099" s="4"/>
      <c r="J1099" s="5" t="s">
        <v>20</v>
      </c>
      <c r="K1099" s="6"/>
      <c r="L1099" s="5"/>
      <c r="M1099" s="5"/>
      <c r="N1099" s="6"/>
      <c r="O1099" s="7"/>
      <c r="P1099" s="8" t="s">
        <v>21</v>
      </c>
      <c r="Q1099" s="8" t="s">
        <v>22</v>
      </c>
    </row>
    <row r="1100" customFormat="false" ht="15" hidden="false" customHeight="false" outlineLevel="0" collapsed="false">
      <c r="A1100" s="2" t="n">
        <v>1099</v>
      </c>
      <c r="B1100" s="3" t="s">
        <v>3431</v>
      </c>
      <c r="C1100" s="3" t="s">
        <v>24</v>
      </c>
      <c r="D1100" s="4"/>
      <c r="E1100" s="3"/>
      <c r="F1100" s="3" t="s">
        <v>3400</v>
      </c>
      <c r="G1100" s="3"/>
      <c r="H1100" s="3"/>
      <c r="I1100" s="4"/>
      <c r="J1100" s="5" t="s">
        <v>20</v>
      </c>
      <c r="K1100" s="6"/>
      <c r="L1100" s="5"/>
      <c r="M1100" s="5"/>
      <c r="N1100" s="6"/>
      <c r="O1100" s="7"/>
      <c r="P1100" s="8" t="s">
        <v>21</v>
      </c>
      <c r="Q1100" s="8" t="s">
        <v>22</v>
      </c>
    </row>
    <row r="1101" customFormat="false" ht="15" hidden="false" customHeight="false" outlineLevel="0" collapsed="false">
      <c r="A1101" s="2" t="n">
        <v>1100</v>
      </c>
      <c r="B1101" s="3" t="s">
        <v>3432</v>
      </c>
      <c r="C1101" s="3" t="s">
        <v>24</v>
      </c>
      <c r="D1101" s="4"/>
      <c r="E1101" s="3"/>
      <c r="F1101" s="3" t="s">
        <v>3400</v>
      </c>
      <c r="G1101" s="3"/>
      <c r="H1101" s="3"/>
      <c r="I1101" s="4"/>
      <c r="J1101" s="5" t="s">
        <v>20</v>
      </c>
      <c r="K1101" s="6"/>
      <c r="L1101" s="5"/>
      <c r="M1101" s="5"/>
      <c r="N1101" s="6"/>
      <c r="O1101" s="7"/>
      <c r="P1101" s="8" t="s">
        <v>21</v>
      </c>
      <c r="Q1101" s="8" t="s">
        <v>22</v>
      </c>
    </row>
    <row r="1102" customFormat="false" ht="15" hidden="false" customHeight="false" outlineLevel="0" collapsed="false">
      <c r="A1102" s="2" t="n">
        <v>1101</v>
      </c>
      <c r="B1102" s="3" t="s">
        <v>3433</v>
      </c>
      <c r="C1102" s="3" t="s">
        <v>116</v>
      </c>
      <c r="D1102" s="4"/>
      <c r="E1102" s="3"/>
      <c r="F1102" s="3" t="s">
        <v>3400</v>
      </c>
      <c r="G1102" s="3"/>
      <c r="H1102" s="3"/>
      <c r="I1102" s="4"/>
      <c r="J1102" s="5" t="s">
        <v>20</v>
      </c>
      <c r="K1102" s="6"/>
      <c r="L1102" s="5"/>
      <c r="M1102" s="5"/>
      <c r="N1102" s="6"/>
      <c r="O1102" s="7"/>
      <c r="P1102" s="8" t="s">
        <v>21</v>
      </c>
      <c r="Q1102" s="8" t="s">
        <v>22</v>
      </c>
    </row>
    <row r="1103" customFormat="false" ht="15" hidden="false" customHeight="false" outlineLevel="0" collapsed="false">
      <c r="A1103" s="2" t="n">
        <v>1102</v>
      </c>
      <c r="B1103" s="3" t="s">
        <v>3434</v>
      </c>
      <c r="C1103" s="3"/>
      <c r="D1103" s="4"/>
      <c r="E1103" s="3"/>
      <c r="F1103" s="3" t="s">
        <v>3435</v>
      </c>
      <c r="G1103" s="3" t="s">
        <v>3436</v>
      </c>
      <c r="H1103" s="8" t="s">
        <v>3437</v>
      </c>
      <c r="I1103" s="4" t="s">
        <v>402</v>
      </c>
      <c r="J1103" s="5" t="s">
        <v>20</v>
      </c>
      <c r="K1103" s="6"/>
      <c r="L1103" s="5"/>
      <c r="M1103" s="5"/>
      <c r="N1103" s="6"/>
      <c r="O1103" s="7"/>
      <c r="P1103" s="8" t="s">
        <v>21</v>
      </c>
      <c r="Q1103" s="8" t="s">
        <v>22</v>
      </c>
    </row>
    <row r="1104" customFormat="false" ht="15" hidden="false" customHeight="false" outlineLevel="0" collapsed="false">
      <c r="A1104" s="2" t="n">
        <v>1103</v>
      </c>
      <c r="B1104" s="3" t="s">
        <v>3438</v>
      </c>
      <c r="C1104" s="3"/>
      <c r="D1104" s="4"/>
      <c r="E1104" s="3"/>
      <c r="F1104" s="3" t="s">
        <v>3435</v>
      </c>
      <c r="G1104" s="3"/>
      <c r="H1104" s="3"/>
      <c r="I1104" s="4"/>
      <c r="J1104" s="5" t="s">
        <v>20</v>
      </c>
      <c r="K1104" s="6"/>
      <c r="L1104" s="5"/>
      <c r="M1104" s="5"/>
      <c r="N1104" s="6"/>
      <c r="O1104" s="7"/>
      <c r="P1104" s="8" t="s">
        <v>21</v>
      </c>
      <c r="Q1104" s="8" t="s">
        <v>22</v>
      </c>
    </row>
    <row r="1105" customFormat="false" ht="15" hidden="false" customHeight="false" outlineLevel="0" collapsed="false">
      <c r="A1105" s="2" t="n">
        <v>1104</v>
      </c>
      <c r="B1105" s="3" t="s">
        <v>3439</v>
      </c>
      <c r="C1105" s="3" t="s">
        <v>153</v>
      </c>
      <c r="D1105" s="4"/>
      <c r="E1105" s="3"/>
      <c r="F1105" s="3" t="s">
        <v>3435</v>
      </c>
      <c r="G1105" s="3"/>
      <c r="H1105" s="3"/>
      <c r="I1105" s="4"/>
      <c r="J1105" s="5" t="s">
        <v>20</v>
      </c>
      <c r="K1105" s="6"/>
      <c r="L1105" s="5"/>
      <c r="M1105" s="5"/>
      <c r="N1105" s="6"/>
      <c r="O1105" s="7"/>
      <c r="P1105" s="8" t="s">
        <v>21</v>
      </c>
      <c r="Q1105" s="8" t="s">
        <v>22</v>
      </c>
    </row>
    <row r="1106" customFormat="false" ht="15" hidden="false" customHeight="false" outlineLevel="0" collapsed="false">
      <c r="A1106" s="2" t="n">
        <v>1105</v>
      </c>
      <c r="B1106" s="3" t="s">
        <v>3440</v>
      </c>
      <c r="C1106" s="3"/>
      <c r="D1106" s="4"/>
      <c r="E1106" s="3"/>
      <c r="F1106" s="3" t="s">
        <v>3435</v>
      </c>
      <c r="G1106" s="3"/>
      <c r="H1106" s="8" t="s">
        <v>3441</v>
      </c>
      <c r="I1106" s="4" t="s">
        <v>3442</v>
      </c>
      <c r="J1106" s="5" t="s">
        <v>20</v>
      </c>
      <c r="K1106" s="6"/>
      <c r="L1106" s="5"/>
      <c r="M1106" s="5"/>
      <c r="N1106" s="6"/>
      <c r="O1106" s="7"/>
      <c r="P1106" s="8" t="s">
        <v>21</v>
      </c>
      <c r="Q1106" s="8" t="s">
        <v>22</v>
      </c>
    </row>
    <row r="1107" customFormat="false" ht="15" hidden="false" customHeight="false" outlineLevel="0" collapsed="false">
      <c r="A1107" s="2" t="n">
        <v>1106</v>
      </c>
      <c r="B1107" s="3" t="s">
        <v>3443</v>
      </c>
      <c r="C1107" s="3"/>
      <c r="D1107" s="4"/>
      <c r="E1107" s="3"/>
      <c r="F1107" s="3" t="s">
        <v>3435</v>
      </c>
      <c r="G1107" s="3" t="s">
        <v>3444</v>
      </c>
      <c r="H1107" s="8" t="s">
        <v>3445</v>
      </c>
      <c r="I1107" s="4" t="s">
        <v>1406</v>
      </c>
      <c r="J1107" s="5" t="s">
        <v>20</v>
      </c>
      <c r="K1107" s="6"/>
      <c r="L1107" s="5"/>
      <c r="M1107" s="5"/>
      <c r="N1107" s="6"/>
      <c r="O1107" s="7"/>
      <c r="P1107" s="8" t="s">
        <v>21</v>
      </c>
      <c r="Q1107" s="8" t="s">
        <v>22</v>
      </c>
    </row>
    <row r="1108" customFormat="false" ht="15" hidden="false" customHeight="false" outlineLevel="0" collapsed="false">
      <c r="A1108" s="2" t="n">
        <v>1107</v>
      </c>
      <c r="B1108" s="3" t="s">
        <v>3117</v>
      </c>
      <c r="C1108" s="3" t="s">
        <v>120</v>
      </c>
      <c r="D1108" s="4"/>
      <c r="E1108" s="3"/>
      <c r="F1108" s="3" t="s">
        <v>3435</v>
      </c>
      <c r="G1108" s="3" t="s">
        <v>3446</v>
      </c>
      <c r="H1108" s="8" t="s">
        <v>3447</v>
      </c>
      <c r="I1108" s="4" t="s">
        <v>3448</v>
      </c>
      <c r="J1108" s="5" t="s">
        <v>20</v>
      </c>
      <c r="K1108" s="6"/>
      <c r="L1108" s="5"/>
      <c r="M1108" s="5"/>
      <c r="N1108" s="6"/>
      <c r="O1108" s="7"/>
      <c r="P1108" s="8" t="s">
        <v>21</v>
      </c>
      <c r="Q1108" s="8" t="s">
        <v>22</v>
      </c>
    </row>
    <row r="1109" customFormat="false" ht="15" hidden="false" customHeight="false" outlineLevel="0" collapsed="false">
      <c r="A1109" s="2" t="n">
        <v>1108</v>
      </c>
      <c r="B1109" s="3" t="s">
        <v>3449</v>
      </c>
      <c r="C1109" s="3"/>
      <c r="D1109" s="4"/>
      <c r="E1109" s="3"/>
      <c r="F1109" s="3" t="s">
        <v>3435</v>
      </c>
      <c r="G1109" s="3"/>
      <c r="H1109" s="3"/>
      <c r="I1109" s="4"/>
      <c r="J1109" s="5" t="s">
        <v>20</v>
      </c>
      <c r="K1109" s="6"/>
      <c r="L1109" s="5"/>
      <c r="M1109" s="5"/>
      <c r="N1109" s="6"/>
      <c r="O1109" s="7"/>
      <c r="P1109" s="8" t="s">
        <v>21</v>
      </c>
      <c r="Q1109" s="8" t="s">
        <v>22</v>
      </c>
    </row>
    <row r="1110" customFormat="false" ht="15" hidden="false" customHeight="false" outlineLevel="0" collapsed="false">
      <c r="A1110" s="2" t="n">
        <v>1109</v>
      </c>
      <c r="B1110" s="3" t="s">
        <v>3450</v>
      </c>
      <c r="C1110" s="3"/>
      <c r="D1110" s="4"/>
      <c r="E1110" s="3"/>
      <c r="F1110" s="3" t="s">
        <v>3435</v>
      </c>
      <c r="G1110" s="3"/>
      <c r="H1110" s="3"/>
      <c r="I1110" s="4"/>
      <c r="J1110" s="5" t="s">
        <v>20</v>
      </c>
      <c r="K1110" s="6"/>
      <c r="L1110" s="5"/>
      <c r="M1110" s="5"/>
      <c r="N1110" s="6"/>
      <c r="O1110" s="7"/>
      <c r="P1110" s="8" t="s">
        <v>21</v>
      </c>
      <c r="Q1110" s="8" t="s">
        <v>22</v>
      </c>
    </row>
    <row r="1111" customFormat="false" ht="15" hidden="false" customHeight="false" outlineLevel="0" collapsed="false">
      <c r="A1111" s="2" t="n">
        <v>1110</v>
      </c>
      <c r="B1111" s="3" t="s">
        <v>3451</v>
      </c>
      <c r="C1111" s="3" t="s">
        <v>91</v>
      </c>
      <c r="D1111" s="4"/>
      <c r="E1111" s="3"/>
      <c r="F1111" s="3" t="s">
        <v>3435</v>
      </c>
      <c r="G1111" s="3" t="s">
        <v>3452</v>
      </c>
      <c r="H1111" s="8" t="s">
        <v>3453</v>
      </c>
      <c r="I1111" s="4"/>
      <c r="J1111" s="5" t="s">
        <v>20</v>
      </c>
      <c r="K1111" s="6"/>
      <c r="L1111" s="5"/>
      <c r="M1111" s="5"/>
      <c r="N1111" s="6"/>
      <c r="O1111" s="7"/>
      <c r="P1111" s="8" t="s">
        <v>21</v>
      </c>
      <c r="Q1111" s="8" t="s">
        <v>22</v>
      </c>
    </row>
    <row r="1112" customFormat="false" ht="15" hidden="false" customHeight="false" outlineLevel="0" collapsed="false">
      <c r="A1112" s="2" t="n">
        <v>1111</v>
      </c>
      <c r="B1112" s="3" t="s">
        <v>3454</v>
      </c>
      <c r="C1112" s="3" t="s">
        <v>116</v>
      </c>
      <c r="D1112" s="4"/>
      <c r="E1112" s="3"/>
      <c r="F1112" s="3" t="s">
        <v>3435</v>
      </c>
      <c r="G1112" s="3"/>
      <c r="H1112" s="3"/>
      <c r="I1112" s="4" t="s">
        <v>3455</v>
      </c>
      <c r="J1112" s="5" t="s">
        <v>20</v>
      </c>
      <c r="K1112" s="6"/>
      <c r="L1112" s="5"/>
      <c r="M1112" s="5"/>
      <c r="N1112" s="6"/>
      <c r="O1112" s="7"/>
      <c r="P1112" s="8" t="s">
        <v>21</v>
      </c>
      <c r="Q1112" s="8" t="s">
        <v>22</v>
      </c>
    </row>
    <row r="1113" customFormat="false" ht="15" hidden="false" customHeight="false" outlineLevel="0" collapsed="false">
      <c r="A1113" s="2" t="n">
        <v>1112</v>
      </c>
      <c r="B1113" s="3" t="s">
        <v>3456</v>
      </c>
      <c r="C1113" s="3" t="s">
        <v>1274</v>
      </c>
      <c r="D1113" s="4"/>
      <c r="E1113" s="3"/>
      <c r="F1113" s="3" t="s">
        <v>3435</v>
      </c>
      <c r="G1113" s="3" t="s">
        <v>3457</v>
      </c>
      <c r="H1113" s="8" t="s">
        <v>3458</v>
      </c>
      <c r="I1113" s="4" t="s">
        <v>3459</v>
      </c>
      <c r="J1113" s="5" t="s">
        <v>20</v>
      </c>
      <c r="K1113" s="6"/>
      <c r="L1113" s="5"/>
      <c r="M1113" s="5"/>
      <c r="N1113" s="6"/>
      <c r="O1113" s="7"/>
      <c r="P1113" s="8" t="s">
        <v>21</v>
      </c>
      <c r="Q1113" s="8" t="s">
        <v>22</v>
      </c>
    </row>
    <row r="1114" customFormat="false" ht="15" hidden="false" customHeight="false" outlineLevel="0" collapsed="false">
      <c r="A1114" s="2" t="n">
        <v>1113</v>
      </c>
      <c r="B1114" s="3" t="s">
        <v>3460</v>
      </c>
      <c r="C1114" s="3"/>
      <c r="D1114" s="4"/>
      <c r="E1114" s="3"/>
      <c r="F1114" s="3" t="s">
        <v>3435</v>
      </c>
      <c r="G1114" s="3"/>
      <c r="H1114" s="3"/>
      <c r="I1114" s="4"/>
      <c r="J1114" s="5" t="s">
        <v>20</v>
      </c>
      <c r="K1114" s="6"/>
      <c r="L1114" s="5"/>
      <c r="M1114" s="5"/>
      <c r="N1114" s="6"/>
      <c r="O1114" s="7"/>
      <c r="P1114" s="8" t="s">
        <v>21</v>
      </c>
      <c r="Q1114" s="8" t="s">
        <v>22</v>
      </c>
    </row>
    <row r="1115" customFormat="false" ht="15" hidden="false" customHeight="false" outlineLevel="0" collapsed="false">
      <c r="A1115" s="2" t="n">
        <v>1114</v>
      </c>
      <c r="B1115" s="3" t="s">
        <v>3461</v>
      </c>
      <c r="C1115" s="3"/>
      <c r="D1115" s="4"/>
      <c r="E1115" s="3"/>
      <c r="F1115" s="3" t="s">
        <v>3435</v>
      </c>
      <c r="G1115" s="3" t="s">
        <v>3462</v>
      </c>
      <c r="H1115" s="8" t="s">
        <v>3463</v>
      </c>
      <c r="I1115" s="4"/>
      <c r="J1115" s="5" t="s">
        <v>20</v>
      </c>
      <c r="K1115" s="6"/>
      <c r="L1115" s="5"/>
      <c r="M1115" s="5"/>
      <c r="N1115" s="6"/>
      <c r="O1115" s="7"/>
      <c r="P1115" s="8" t="s">
        <v>21</v>
      </c>
      <c r="Q1115" s="8" t="s">
        <v>22</v>
      </c>
    </row>
    <row r="1116" customFormat="false" ht="15" hidden="false" customHeight="false" outlineLevel="0" collapsed="false">
      <c r="A1116" s="2" t="n">
        <v>1115</v>
      </c>
      <c r="B1116" s="3" t="s">
        <v>3464</v>
      </c>
      <c r="C1116" s="3"/>
      <c r="D1116" s="4"/>
      <c r="E1116" s="3"/>
      <c r="F1116" s="3" t="s">
        <v>3435</v>
      </c>
      <c r="G1116" s="3" t="s">
        <v>3465</v>
      </c>
      <c r="H1116" s="8" t="s">
        <v>3466</v>
      </c>
      <c r="I1116" s="4" t="s">
        <v>3467</v>
      </c>
      <c r="J1116" s="5" t="s">
        <v>20</v>
      </c>
      <c r="K1116" s="6"/>
      <c r="L1116" s="5"/>
      <c r="M1116" s="5"/>
      <c r="N1116" s="6"/>
      <c r="O1116" s="7"/>
      <c r="P1116" s="8" t="s">
        <v>21</v>
      </c>
      <c r="Q1116" s="8" t="s">
        <v>22</v>
      </c>
    </row>
    <row r="1117" customFormat="false" ht="15" hidden="false" customHeight="false" outlineLevel="0" collapsed="false">
      <c r="A1117" s="2" t="n">
        <v>1116</v>
      </c>
      <c r="B1117" s="3" t="s">
        <v>3197</v>
      </c>
      <c r="C1117" s="3" t="s">
        <v>24</v>
      </c>
      <c r="D1117" s="4"/>
      <c r="E1117" s="3"/>
      <c r="F1117" s="3" t="s">
        <v>3435</v>
      </c>
      <c r="G1117" s="3" t="s">
        <v>3468</v>
      </c>
      <c r="H1117" s="8" t="s">
        <v>3469</v>
      </c>
      <c r="I1117" s="4" t="s">
        <v>3470</v>
      </c>
      <c r="J1117" s="5" t="s">
        <v>20</v>
      </c>
      <c r="K1117" s="6"/>
      <c r="L1117" s="5"/>
      <c r="M1117" s="5"/>
      <c r="N1117" s="6"/>
      <c r="O1117" s="7"/>
      <c r="P1117" s="8" t="s">
        <v>21</v>
      </c>
      <c r="Q1117" s="8" t="s">
        <v>22</v>
      </c>
    </row>
    <row r="1118" customFormat="false" ht="15" hidden="false" customHeight="false" outlineLevel="0" collapsed="false">
      <c r="A1118" s="2" t="n">
        <v>1117</v>
      </c>
      <c r="B1118" s="3" t="s">
        <v>3471</v>
      </c>
      <c r="C1118" s="3" t="s">
        <v>673</v>
      </c>
      <c r="D1118" s="4"/>
      <c r="E1118" s="3"/>
      <c r="F1118" s="3" t="s">
        <v>3435</v>
      </c>
      <c r="G1118" s="3"/>
      <c r="H1118" s="3"/>
      <c r="I1118" s="4"/>
      <c r="J1118" s="5" t="s">
        <v>20</v>
      </c>
      <c r="K1118" s="6"/>
      <c r="L1118" s="5"/>
      <c r="M1118" s="5"/>
      <c r="N1118" s="6"/>
      <c r="O1118" s="7"/>
      <c r="P1118" s="8" t="s">
        <v>21</v>
      </c>
      <c r="Q1118" s="8" t="s">
        <v>22</v>
      </c>
    </row>
    <row r="1119" customFormat="false" ht="15" hidden="false" customHeight="false" outlineLevel="0" collapsed="false">
      <c r="A1119" s="2" t="n">
        <v>1118</v>
      </c>
      <c r="B1119" s="3" t="s">
        <v>3472</v>
      </c>
      <c r="C1119" s="3" t="s">
        <v>3473</v>
      </c>
      <c r="D1119" s="4"/>
      <c r="E1119" s="3"/>
      <c r="F1119" s="3" t="s">
        <v>3435</v>
      </c>
      <c r="G1119" s="3"/>
      <c r="H1119" s="3"/>
      <c r="I1119" s="4"/>
      <c r="J1119" s="5" t="s">
        <v>20</v>
      </c>
      <c r="K1119" s="6"/>
      <c r="L1119" s="5"/>
      <c r="M1119" s="5"/>
      <c r="N1119" s="6"/>
      <c r="O1119" s="7"/>
      <c r="P1119" s="8" t="s">
        <v>21</v>
      </c>
      <c r="Q1119" s="8" t="s">
        <v>22</v>
      </c>
    </row>
    <row r="1120" customFormat="false" ht="15" hidden="false" customHeight="false" outlineLevel="0" collapsed="false">
      <c r="A1120" s="2" t="n">
        <v>1119</v>
      </c>
      <c r="B1120" s="3" t="s">
        <v>3474</v>
      </c>
      <c r="C1120" s="3"/>
      <c r="D1120" s="4"/>
      <c r="E1120" s="3"/>
      <c r="F1120" s="3" t="s">
        <v>3435</v>
      </c>
      <c r="G1120" s="3" t="s">
        <v>3475</v>
      </c>
      <c r="H1120" s="8" t="s">
        <v>3476</v>
      </c>
      <c r="I1120" s="4" t="s">
        <v>3477</v>
      </c>
      <c r="J1120" s="5" t="s">
        <v>20</v>
      </c>
      <c r="K1120" s="6"/>
      <c r="L1120" s="5"/>
      <c r="M1120" s="5"/>
      <c r="N1120" s="6"/>
      <c r="O1120" s="7"/>
      <c r="P1120" s="8" t="s">
        <v>21</v>
      </c>
      <c r="Q1120" s="8" t="s">
        <v>22</v>
      </c>
    </row>
    <row r="1121" customFormat="false" ht="15" hidden="false" customHeight="false" outlineLevel="0" collapsed="false">
      <c r="A1121" s="2" t="n">
        <v>1120</v>
      </c>
      <c r="B1121" s="3" t="s">
        <v>3478</v>
      </c>
      <c r="C1121" s="3" t="s">
        <v>24</v>
      </c>
      <c r="D1121" s="4"/>
      <c r="E1121" s="3"/>
      <c r="F1121" s="3" t="s">
        <v>3435</v>
      </c>
      <c r="G1121" s="3" t="s">
        <v>3479</v>
      </c>
      <c r="H1121" s="8" t="s">
        <v>3480</v>
      </c>
      <c r="I1121" s="4" t="s">
        <v>3481</v>
      </c>
      <c r="J1121" s="5" t="s">
        <v>20</v>
      </c>
      <c r="K1121" s="6"/>
      <c r="L1121" s="5"/>
      <c r="M1121" s="5"/>
      <c r="N1121" s="6"/>
      <c r="O1121" s="7"/>
      <c r="P1121" s="8" t="s">
        <v>21</v>
      </c>
      <c r="Q1121" s="8" t="s">
        <v>22</v>
      </c>
    </row>
    <row r="1122" customFormat="false" ht="15" hidden="false" customHeight="false" outlineLevel="0" collapsed="false">
      <c r="A1122" s="2" t="n">
        <v>1121</v>
      </c>
      <c r="B1122" s="3" t="s">
        <v>3482</v>
      </c>
      <c r="C1122" s="3"/>
      <c r="D1122" s="4"/>
      <c r="E1122" s="3"/>
      <c r="F1122" s="3" t="s">
        <v>3435</v>
      </c>
      <c r="G1122" s="3"/>
      <c r="H1122" s="3"/>
      <c r="I1122" s="4"/>
      <c r="J1122" s="5" t="s">
        <v>20</v>
      </c>
      <c r="K1122" s="6"/>
      <c r="L1122" s="5"/>
      <c r="M1122" s="5"/>
      <c r="N1122" s="6"/>
      <c r="O1122" s="7"/>
      <c r="P1122" s="8" t="s">
        <v>21</v>
      </c>
      <c r="Q1122" s="8" t="s">
        <v>22</v>
      </c>
    </row>
    <row r="1123" customFormat="false" ht="15" hidden="false" customHeight="false" outlineLevel="0" collapsed="false">
      <c r="A1123" s="2" t="n">
        <v>1122</v>
      </c>
      <c r="B1123" s="3" t="s">
        <v>2498</v>
      </c>
      <c r="C1123" s="3"/>
      <c r="D1123" s="4"/>
      <c r="E1123" s="3"/>
      <c r="F1123" s="3" t="s">
        <v>3435</v>
      </c>
      <c r="G1123" s="3"/>
      <c r="H1123" s="3"/>
      <c r="I1123" s="4"/>
      <c r="J1123" s="5" t="s">
        <v>20</v>
      </c>
      <c r="K1123" s="6"/>
      <c r="L1123" s="5"/>
      <c r="M1123" s="5"/>
      <c r="N1123" s="6"/>
      <c r="O1123" s="7"/>
      <c r="P1123" s="8" t="s">
        <v>21</v>
      </c>
      <c r="Q1123" s="8" t="s">
        <v>22</v>
      </c>
    </row>
    <row r="1124" customFormat="false" ht="15" hidden="false" customHeight="false" outlineLevel="0" collapsed="false">
      <c r="A1124" s="2" t="n">
        <v>1123</v>
      </c>
      <c r="B1124" s="3" t="s">
        <v>3483</v>
      </c>
      <c r="C1124" s="3"/>
      <c r="D1124" s="4"/>
      <c r="E1124" s="3"/>
      <c r="F1124" s="3" t="s">
        <v>3435</v>
      </c>
      <c r="G1124" s="3"/>
      <c r="H1124" s="3"/>
      <c r="I1124" s="4" t="s">
        <v>404</v>
      </c>
      <c r="J1124" s="5" t="s">
        <v>20</v>
      </c>
      <c r="K1124" s="6"/>
      <c r="L1124" s="5"/>
      <c r="M1124" s="5"/>
      <c r="N1124" s="6"/>
      <c r="O1124" s="7"/>
      <c r="P1124" s="8" t="s">
        <v>21</v>
      </c>
      <c r="Q1124" s="8" t="s">
        <v>22</v>
      </c>
    </row>
    <row r="1125" customFormat="false" ht="23.85" hidden="false" customHeight="false" outlineLevel="0" collapsed="false">
      <c r="A1125" s="2" t="n">
        <v>1124</v>
      </c>
      <c r="B1125" s="3" t="s">
        <v>3484</v>
      </c>
      <c r="C1125" s="3" t="s">
        <v>24</v>
      </c>
      <c r="D1125" s="4"/>
      <c r="E1125" s="3"/>
      <c r="F1125" s="3" t="s">
        <v>3485</v>
      </c>
      <c r="G1125" s="3" t="s">
        <v>3486</v>
      </c>
      <c r="H1125" s="8" t="s">
        <v>3487</v>
      </c>
      <c r="I1125" s="4" t="s">
        <v>3488</v>
      </c>
      <c r="J1125" s="5" t="s">
        <v>20</v>
      </c>
      <c r="K1125" s="6"/>
      <c r="L1125" s="5"/>
      <c r="M1125" s="5"/>
      <c r="N1125" s="6"/>
      <c r="O1125" s="7"/>
      <c r="P1125" s="8" t="s">
        <v>21</v>
      </c>
      <c r="Q1125" s="8" t="s">
        <v>22</v>
      </c>
    </row>
    <row r="1126" customFormat="false" ht="15" hidden="false" customHeight="false" outlineLevel="0" collapsed="false">
      <c r="A1126" s="2" t="n">
        <v>1125</v>
      </c>
      <c r="B1126" s="3" t="s">
        <v>3489</v>
      </c>
      <c r="C1126" s="3" t="s">
        <v>3490</v>
      </c>
      <c r="D1126" s="4"/>
      <c r="E1126" s="3"/>
      <c r="F1126" s="3" t="s">
        <v>3485</v>
      </c>
      <c r="G1126" s="3"/>
      <c r="H1126" s="3"/>
      <c r="I1126" s="4" t="s">
        <v>3491</v>
      </c>
      <c r="J1126" s="5" t="s">
        <v>20</v>
      </c>
      <c r="K1126" s="6"/>
      <c r="L1126" s="5"/>
      <c r="M1126" s="5"/>
      <c r="N1126" s="6"/>
      <c r="O1126" s="7"/>
      <c r="P1126" s="8" t="s">
        <v>21</v>
      </c>
      <c r="Q1126" s="8" t="s">
        <v>22</v>
      </c>
    </row>
    <row r="1127" customFormat="false" ht="23.85" hidden="false" customHeight="false" outlineLevel="0" collapsed="false">
      <c r="A1127" s="2" t="n">
        <v>1126</v>
      </c>
      <c r="B1127" s="3" t="s">
        <v>3492</v>
      </c>
      <c r="C1127" s="3" t="s">
        <v>711</v>
      </c>
      <c r="D1127" s="4"/>
      <c r="E1127" s="3"/>
      <c r="F1127" s="3" t="s">
        <v>3485</v>
      </c>
      <c r="G1127" s="3" t="s">
        <v>3493</v>
      </c>
      <c r="H1127" s="8" t="s">
        <v>3494</v>
      </c>
      <c r="I1127" s="4" t="s">
        <v>3495</v>
      </c>
      <c r="J1127" s="5" t="s">
        <v>20</v>
      </c>
      <c r="K1127" s="6"/>
      <c r="L1127" s="5"/>
      <c r="M1127" s="5"/>
      <c r="N1127" s="6"/>
      <c r="O1127" s="7"/>
      <c r="P1127" s="8" t="s">
        <v>21</v>
      </c>
      <c r="Q1127" s="8" t="s">
        <v>22</v>
      </c>
    </row>
    <row r="1128" customFormat="false" ht="15" hidden="false" customHeight="false" outlineLevel="0" collapsed="false">
      <c r="A1128" s="2" t="n">
        <v>1127</v>
      </c>
      <c r="B1128" s="3" t="s">
        <v>3496</v>
      </c>
      <c r="C1128" s="3"/>
      <c r="D1128" s="4"/>
      <c r="E1128" s="3"/>
      <c r="F1128" s="3" t="s">
        <v>3485</v>
      </c>
      <c r="G1128" s="3"/>
      <c r="H1128" s="3"/>
      <c r="I1128" s="4"/>
      <c r="J1128" s="5" t="s">
        <v>20</v>
      </c>
      <c r="K1128" s="6"/>
      <c r="L1128" s="5"/>
      <c r="M1128" s="5"/>
      <c r="N1128" s="6"/>
      <c r="O1128" s="7"/>
      <c r="P1128" s="8" t="s">
        <v>21</v>
      </c>
      <c r="Q1128" s="8" t="s">
        <v>22</v>
      </c>
    </row>
    <row r="1129" customFormat="false" ht="15" hidden="false" customHeight="false" outlineLevel="0" collapsed="false">
      <c r="A1129" s="2" t="n">
        <v>1128</v>
      </c>
      <c r="B1129" s="3" t="s">
        <v>3497</v>
      </c>
      <c r="C1129" s="3" t="s">
        <v>430</v>
      </c>
      <c r="D1129" s="4" t="s">
        <v>3498</v>
      </c>
      <c r="E1129" s="3" t="s">
        <v>3499</v>
      </c>
      <c r="F1129" s="3" t="s">
        <v>3485</v>
      </c>
      <c r="G1129" s="3"/>
      <c r="H1129" s="8" t="s">
        <v>3500</v>
      </c>
      <c r="I1129" s="4" t="s">
        <v>3501</v>
      </c>
      <c r="J1129" s="5" t="s">
        <v>20</v>
      </c>
      <c r="K1129" s="6"/>
      <c r="L1129" s="5"/>
      <c r="M1129" s="5"/>
      <c r="N1129" s="6"/>
      <c r="O1129" s="7"/>
      <c r="P1129" s="8" t="s">
        <v>21</v>
      </c>
      <c r="Q1129" s="8" t="s">
        <v>22</v>
      </c>
    </row>
    <row r="1130" customFormat="false" ht="15" hidden="false" customHeight="false" outlineLevel="0" collapsed="false">
      <c r="A1130" s="2" t="n">
        <v>1129</v>
      </c>
      <c r="B1130" s="3" t="s">
        <v>3502</v>
      </c>
      <c r="C1130" s="3"/>
      <c r="D1130" s="4"/>
      <c r="E1130" s="3"/>
      <c r="F1130" s="3" t="s">
        <v>3485</v>
      </c>
      <c r="G1130" s="3"/>
      <c r="H1130" s="8" t="s">
        <v>3503</v>
      </c>
      <c r="I1130" s="4" t="s">
        <v>3504</v>
      </c>
      <c r="J1130" s="5" t="s">
        <v>20</v>
      </c>
      <c r="K1130" s="6"/>
      <c r="L1130" s="5"/>
      <c r="M1130" s="5"/>
      <c r="N1130" s="6"/>
      <c r="O1130" s="7"/>
      <c r="P1130" s="8" t="s">
        <v>21</v>
      </c>
      <c r="Q1130" s="8" t="s">
        <v>22</v>
      </c>
    </row>
    <row r="1131" customFormat="false" ht="15" hidden="false" customHeight="false" outlineLevel="0" collapsed="false">
      <c r="A1131" s="2" t="n">
        <v>1130</v>
      </c>
      <c r="B1131" s="3" t="s">
        <v>3505</v>
      </c>
      <c r="C1131" s="3"/>
      <c r="D1131" s="4"/>
      <c r="E1131" s="3"/>
      <c r="F1131" s="3" t="s">
        <v>3485</v>
      </c>
      <c r="G1131" s="3" t="s">
        <v>3506</v>
      </c>
      <c r="H1131" s="8" t="s">
        <v>3507</v>
      </c>
      <c r="I1131" s="4" t="s">
        <v>3508</v>
      </c>
      <c r="J1131" s="5" t="s">
        <v>20</v>
      </c>
      <c r="K1131" s="6"/>
      <c r="L1131" s="5"/>
      <c r="M1131" s="5"/>
      <c r="N1131" s="6"/>
      <c r="O1131" s="7"/>
      <c r="P1131" s="8" t="s">
        <v>21</v>
      </c>
      <c r="Q1131" s="8" t="s">
        <v>22</v>
      </c>
    </row>
    <row r="1132" customFormat="false" ht="15" hidden="false" customHeight="false" outlineLevel="0" collapsed="false">
      <c r="A1132" s="2" t="n">
        <v>1131</v>
      </c>
      <c r="B1132" s="3" t="s">
        <v>3509</v>
      </c>
      <c r="C1132" s="3" t="s">
        <v>126</v>
      </c>
      <c r="D1132" s="4" t="s">
        <v>3510</v>
      </c>
      <c r="E1132" s="3" t="s">
        <v>3499</v>
      </c>
      <c r="F1132" s="3" t="s">
        <v>3485</v>
      </c>
      <c r="G1132" s="3" t="s">
        <v>3511</v>
      </c>
      <c r="H1132" s="8" t="s">
        <v>3512</v>
      </c>
      <c r="I1132" s="4" t="s">
        <v>3513</v>
      </c>
      <c r="J1132" s="5" t="s">
        <v>20</v>
      </c>
      <c r="K1132" s="6"/>
      <c r="L1132" s="5"/>
      <c r="M1132" s="5"/>
      <c r="N1132" s="6"/>
      <c r="O1132" s="7"/>
      <c r="P1132" s="8" t="s">
        <v>21</v>
      </c>
      <c r="Q1132" s="8" t="s">
        <v>22</v>
      </c>
    </row>
    <row r="1133" customFormat="false" ht="23.85" hidden="false" customHeight="false" outlineLevel="0" collapsed="false">
      <c r="A1133" s="2" t="n">
        <v>1132</v>
      </c>
      <c r="B1133" s="3" t="s">
        <v>3514</v>
      </c>
      <c r="C1133" s="3" t="s">
        <v>428</v>
      </c>
      <c r="D1133" s="4" t="s">
        <v>3515</v>
      </c>
      <c r="E1133" s="3" t="s">
        <v>3499</v>
      </c>
      <c r="F1133" s="3" t="s">
        <v>3485</v>
      </c>
      <c r="G1133" s="3" t="s">
        <v>3516</v>
      </c>
      <c r="H1133" s="8" t="s">
        <v>3517</v>
      </c>
      <c r="I1133" s="4" t="s">
        <v>3518</v>
      </c>
      <c r="J1133" s="5" t="s">
        <v>20</v>
      </c>
      <c r="K1133" s="6"/>
      <c r="L1133" s="5"/>
      <c r="M1133" s="5"/>
      <c r="N1133" s="6"/>
      <c r="O1133" s="7"/>
      <c r="P1133" s="8" t="s">
        <v>21</v>
      </c>
      <c r="Q1133" s="8" t="s">
        <v>22</v>
      </c>
    </row>
    <row r="1134" customFormat="false" ht="15" hidden="false" customHeight="false" outlineLevel="0" collapsed="false">
      <c r="A1134" s="2" t="n">
        <v>1133</v>
      </c>
      <c r="B1134" s="3" t="s">
        <v>3519</v>
      </c>
      <c r="C1134" s="3"/>
      <c r="D1134" s="4"/>
      <c r="E1134" s="3"/>
      <c r="F1134" s="3" t="s">
        <v>3485</v>
      </c>
      <c r="G1134" s="3" t="s">
        <v>3520</v>
      </c>
      <c r="H1134" s="8" t="s">
        <v>3521</v>
      </c>
      <c r="I1134" s="4" t="s">
        <v>3522</v>
      </c>
      <c r="J1134" s="5" t="s">
        <v>20</v>
      </c>
      <c r="K1134" s="6"/>
      <c r="L1134" s="5"/>
      <c r="M1134" s="5"/>
      <c r="N1134" s="6"/>
      <c r="O1134" s="7"/>
      <c r="P1134" s="8" t="s">
        <v>21</v>
      </c>
      <c r="Q1134" s="8" t="s">
        <v>22</v>
      </c>
    </row>
    <row r="1135" customFormat="false" ht="15" hidden="false" customHeight="false" outlineLevel="0" collapsed="false">
      <c r="A1135" s="2" t="n">
        <v>1134</v>
      </c>
      <c r="B1135" s="3" t="s">
        <v>3523</v>
      </c>
      <c r="C1135" s="3"/>
      <c r="D1135" s="4"/>
      <c r="E1135" s="3"/>
      <c r="F1135" s="3" t="s">
        <v>3485</v>
      </c>
      <c r="G1135" s="3"/>
      <c r="H1135" s="3"/>
      <c r="I1135" s="4" t="s">
        <v>3524</v>
      </c>
      <c r="J1135" s="5" t="s">
        <v>20</v>
      </c>
      <c r="K1135" s="6"/>
      <c r="L1135" s="5"/>
      <c r="M1135" s="5"/>
      <c r="N1135" s="6"/>
      <c r="O1135" s="7"/>
      <c r="P1135" s="8" t="s">
        <v>21</v>
      </c>
      <c r="Q1135" s="8" t="s">
        <v>22</v>
      </c>
    </row>
    <row r="1136" customFormat="false" ht="15" hidden="false" customHeight="false" outlineLevel="0" collapsed="false">
      <c r="A1136" s="2" t="n">
        <v>1135</v>
      </c>
      <c r="B1136" s="3" t="s">
        <v>3525</v>
      </c>
      <c r="C1136" s="3" t="s">
        <v>24</v>
      </c>
      <c r="D1136" s="4"/>
      <c r="E1136" s="3"/>
      <c r="F1136" s="3" t="s">
        <v>3485</v>
      </c>
      <c r="G1136" s="3"/>
      <c r="H1136" s="3"/>
      <c r="I1136" s="4"/>
      <c r="J1136" s="5" t="s">
        <v>20</v>
      </c>
      <c r="K1136" s="6"/>
      <c r="L1136" s="5"/>
      <c r="M1136" s="5"/>
      <c r="N1136" s="6"/>
      <c r="O1136" s="7"/>
      <c r="P1136" s="8" t="s">
        <v>21</v>
      </c>
      <c r="Q1136" s="8" t="s">
        <v>22</v>
      </c>
    </row>
    <row r="1137" customFormat="false" ht="15" hidden="false" customHeight="false" outlineLevel="0" collapsed="false">
      <c r="A1137" s="2" t="n">
        <v>1136</v>
      </c>
      <c r="B1137" s="3" t="s">
        <v>3526</v>
      </c>
      <c r="C1137" s="3" t="s">
        <v>24</v>
      </c>
      <c r="D1137" s="4" t="s">
        <v>3527</v>
      </c>
      <c r="E1137" s="3" t="s">
        <v>3499</v>
      </c>
      <c r="F1137" s="3" t="s">
        <v>3485</v>
      </c>
      <c r="G1137" s="3" t="s">
        <v>3528</v>
      </c>
      <c r="H1137" s="8" t="s">
        <v>3529</v>
      </c>
      <c r="I1137" s="4" t="s">
        <v>3530</v>
      </c>
      <c r="J1137" s="5" t="s">
        <v>20</v>
      </c>
      <c r="K1137" s="6"/>
      <c r="L1137" s="5"/>
      <c r="M1137" s="5"/>
      <c r="N1137" s="6"/>
      <c r="O1137" s="7"/>
      <c r="P1137" s="8" t="s">
        <v>21</v>
      </c>
      <c r="Q1137" s="8" t="s">
        <v>22</v>
      </c>
    </row>
    <row r="1138" customFormat="false" ht="15" hidden="false" customHeight="false" outlineLevel="0" collapsed="false">
      <c r="A1138" s="2" t="n">
        <v>1137</v>
      </c>
      <c r="B1138" s="3" t="s">
        <v>2314</v>
      </c>
      <c r="C1138" s="3" t="s">
        <v>24</v>
      </c>
      <c r="D1138" s="4" t="s">
        <v>3531</v>
      </c>
      <c r="E1138" s="3"/>
      <c r="F1138" s="3" t="s">
        <v>3485</v>
      </c>
      <c r="G1138" s="3" t="s">
        <v>3532</v>
      </c>
      <c r="H1138" s="8" t="s">
        <v>3533</v>
      </c>
      <c r="I1138" s="4" t="s">
        <v>3534</v>
      </c>
      <c r="J1138" s="5" t="s">
        <v>20</v>
      </c>
      <c r="K1138" s="6"/>
      <c r="L1138" s="5"/>
      <c r="M1138" s="5"/>
      <c r="N1138" s="6"/>
      <c r="O1138" s="7"/>
      <c r="P1138" s="8" t="s">
        <v>21</v>
      </c>
      <c r="Q1138" s="8" t="s">
        <v>22</v>
      </c>
    </row>
    <row r="1139" customFormat="false" ht="15" hidden="false" customHeight="false" outlineLevel="0" collapsed="false">
      <c r="A1139" s="2" t="n">
        <v>1138</v>
      </c>
      <c r="B1139" s="3" t="s">
        <v>3535</v>
      </c>
      <c r="C1139" s="3" t="s">
        <v>91</v>
      </c>
      <c r="D1139" s="4"/>
      <c r="E1139" s="3"/>
      <c r="F1139" s="3" t="s">
        <v>3485</v>
      </c>
      <c r="G1139" s="3"/>
      <c r="H1139" s="3"/>
      <c r="I1139" s="4"/>
      <c r="J1139" s="5" t="s">
        <v>20</v>
      </c>
      <c r="K1139" s="6"/>
      <c r="L1139" s="5"/>
      <c r="M1139" s="5"/>
      <c r="N1139" s="6"/>
      <c r="O1139" s="7"/>
      <c r="P1139" s="8" t="s">
        <v>21</v>
      </c>
      <c r="Q1139" s="8" t="s">
        <v>22</v>
      </c>
    </row>
    <row r="1140" customFormat="false" ht="15" hidden="false" customHeight="false" outlineLevel="0" collapsed="false">
      <c r="A1140" s="2" t="n">
        <v>1139</v>
      </c>
      <c r="B1140" s="3" t="s">
        <v>3536</v>
      </c>
      <c r="C1140" s="3"/>
      <c r="D1140" s="4"/>
      <c r="E1140" s="3"/>
      <c r="F1140" s="3" t="s">
        <v>3485</v>
      </c>
      <c r="G1140" s="3"/>
      <c r="H1140" s="3"/>
      <c r="I1140" s="4" t="s">
        <v>895</v>
      </c>
      <c r="J1140" s="5" t="s">
        <v>20</v>
      </c>
      <c r="K1140" s="6"/>
      <c r="L1140" s="5"/>
      <c r="M1140" s="5"/>
      <c r="N1140" s="6"/>
      <c r="O1140" s="7"/>
      <c r="P1140" s="8" t="s">
        <v>21</v>
      </c>
      <c r="Q1140" s="8" t="s">
        <v>22</v>
      </c>
    </row>
    <row r="1141" customFormat="false" ht="15" hidden="false" customHeight="false" outlineLevel="0" collapsed="false">
      <c r="A1141" s="2" t="n">
        <v>1140</v>
      </c>
      <c r="B1141" s="3" t="s">
        <v>3537</v>
      </c>
      <c r="C1141" s="3" t="s">
        <v>234</v>
      </c>
      <c r="D1141" s="4"/>
      <c r="E1141" s="3"/>
      <c r="F1141" s="3" t="s">
        <v>3485</v>
      </c>
      <c r="G1141" s="3"/>
      <c r="H1141" s="3"/>
      <c r="I1141" s="4"/>
      <c r="J1141" s="5" t="s">
        <v>20</v>
      </c>
      <c r="K1141" s="6"/>
      <c r="L1141" s="5"/>
      <c r="M1141" s="5"/>
      <c r="N1141" s="6"/>
      <c r="O1141" s="7"/>
      <c r="P1141" s="8" t="s">
        <v>21</v>
      </c>
      <c r="Q1141" s="8" t="s">
        <v>22</v>
      </c>
    </row>
    <row r="1142" customFormat="false" ht="23.85" hidden="false" customHeight="false" outlineLevel="0" collapsed="false">
      <c r="A1142" s="2" t="n">
        <v>1141</v>
      </c>
      <c r="B1142" s="3" t="s">
        <v>3538</v>
      </c>
      <c r="C1142" s="3" t="s">
        <v>91</v>
      </c>
      <c r="D1142" s="4" t="s">
        <v>3539</v>
      </c>
      <c r="E1142" s="3"/>
      <c r="F1142" s="3" t="s">
        <v>3485</v>
      </c>
      <c r="G1142" s="3"/>
      <c r="H1142" s="3"/>
      <c r="I1142" s="4" t="s">
        <v>3540</v>
      </c>
      <c r="J1142" s="5" t="s">
        <v>20</v>
      </c>
      <c r="K1142" s="6"/>
      <c r="L1142" s="5"/>
      <c r="M1142" s="5"/>
      <c r="N1142" s="6"/>
      <c r="O1142" s="7"/>
      <c r="P1142" s="8" t="s">
        <v>21</v>
      </c>
      <c r="Q1142" s="8" t="s">
        <v>22</v>
      </c>
    </row>
    <row r="1143" customFormat="false" ht="23.85" hidden="false" customHeight="false" outlineLevel="0" collapsed="false">
      <c r="A1143" s="2" t="n">
        <v>1142</v>
      </c>
      <c r="B1143" s="3" t="s">
        <v>3541</v>
      </c>
      <c r="C1143" s="3" t="s">
        <v>116</v>
      </c>
      <c r="D1143" s="4" t="s">
        <v>3542</v>
      </c>
      <c r="E1143" s="3"/>
      <c r="F1143" s="3" t="s">
        <v>3485</v>
      </c>
      <c r="G1143" s="3"/>
      <c r="H1143" s="8" t="s">
        <v>3543</v>
      </c>
      <c r="I1143" s="4" t="s">
        <v>3544</v>
      </c>
      <c r="J1143" s="5" t="s">
        <v>20</v>
      </c>
      <c r="K1143" s="6"/>
      <c r="L1143" s="5"/>
      <c r="M1143" s="5"/>
      <c r="N1143" s="6"/>
      <c r="O1143" s="7"/>
      <c r="P1143" s="8" t="s">
        <v>21</v>
      </c>
      <c r="Q1143" s="8" t="s">
        <v>22</v>
      </c>
    </row>
    <row r="1144" customFormat="false" ht="23.85" hidden="false" customHeight="false" outlineLevel="0" collapsed="false">
      <c r="A1144" s="2" t="n">
        <v>1143</v>
      </c>
      <c r="B1144" s="3" t="s">
        <v>3545</v>
      </c>
      <c r="C1144" s="3" t="s">
        <v>24</v>
      </c>
      <c r="D1144" s="4" t="s">
        <v>3546</v>
      </c>
      <c r="E1144" s="3" t="s">
        <v>3547</v>
      </c>
      <c r="F1144" s="3" t="s">
        <v>3548</v>
      </c>
      <c r="G1144" s="3" t="s">
        <v>3549</v>
      </c>
      <c r="H1144" s="3"/>
      <c r="I1144" s="4" t="s">
        <v>3550</v>
      </c>
      <c r="J1144" s="5" t="s">
        <v>20</v>
      </c>
      <c r="K1144" s="6"/>
      <c r="L1144" s="5"/>
      <c r="M1144" s="5"/>
      <c r="N1144" s="6"/>
      <c r="O1144" s="7"/>
      <c r="P1144" s="8" t="s">
        <v>21</v>
      </c>
      <c r="Q1144" s="8" t="s">
        <v>22</v>
      </c>
    </row>
    <row r="1145" customFormat="false" ht="23.85" hidden="false" customHeight="false" outlineLevel="0" collapsed="false">
      <c r="A1145" s="2" t="n">
        <v>1144</v>
      </c>
      <c r="B1145" s="3" t="s">
        <v>3551</v>
      </c>
      <c r="C1145" s="3" t="s">
        <v>116</v>
      </c>
      <c r="D1145" s="4" t="s">
        <v>3552</v>
      </c>
      <c r="E1145" s="3" t="s">
        <v>3547</v>
      </c>
      <c r="F1145" s="3" t="s">
        <v>3548</v>
      </c>
      <c r="G1145" s="3" t="s">
        <v>3553</v>
      </c>
      <c r="H1145" s="8" t="s">
        <v>3554</v>
      </c>
      <c r="I1145" s="4" t="s">
        <v>3555</v>
      </c>
      <c r="J1145" s="5" t="s">
        <v>20</v>
      </c>
      <c r="K1145" s="6"/>
      <c r="L1145" s="5"/>
      <c r="M1145" s="5"/>
      <c r="N1145" s="6"/>
      <c r="O1145" s="7"/>
      <c r="P1145" s="8" t="s">
        <v>21</v>
      </c>
      <c r="Q1145" s="8" t="s">
        <v>22</v>
      </c>
    </row>
    <row r="1146" customFormat="false" ht="15" hidden="false" customHeight="false" outlineLevel="0" collapsed="false">
      <c r="A1146" s="2" t="n">
        <v>1145</v>
      </c>
      <c r="B1146" s="3" t="s">
        <v>3556</v>
      </c>
      <c r="C1146" s="3"/>
      <c r="D1146" s="4"/>
      <c r="E1146" s="3"/>
      <c r="F1146" s="3" t="s">
        <v>3548</v>
      </c>
      <c r="G1146" s="3" t="s">
        <v>3557</v>
      </c>
      <c r="H1146" s="8" t="s">
        <v>3558</v>
      </c>
      <c r="I1146" s="4"/>
      <c r="J1146" s="5" t="s">
        <v>20</v>
      </c>
      <c r="K1146" s="6"/>
      <c r="L1146" s="5"/>
      <c r="M1146" s="5"/>
      <c r="N1146" s="6"/>
      <c r="O1146" s="7"/>
      <c r="P1146" s="8" t="s">
        <v>21</v>
      </c>
      <c r="Q1146" s="8" t="s">
        <v>22</v>
      </c>
    </row>
    <row r="1147" customFormat="false" ht="23.85" hidden="false" customHeight="false" outlineLevel="0" collapsed="false">
      <c r="A1147" s="2" t="n">
        <v>1146</v>
      </c>
      <c r="B1147" s="3" t="s">
        <v>3559</v>
      </c>
      <c r="C1147" s="3" t="s">
        <v>24</v>
      </c>
      <c r="D1147" s="4"/>
      <c r="E1147" s="3"/>
      <c r="F1147" s="3" t="s">
        <v>3548</v>
      </c>
      <c r="G1147" s="3" t="s">
        <v>3560</v>
      </c>
      <c r="H1147" s="8" t="s">
        <v>3561</v>
      </c>
      <c r="I1147" s="4" t="s">
        <v>3562</v>
      </c>
      <c r="J1147" s="5" t="s">
        <v>20</v>
      </c>
      <c r="K1147" s="6"/>
      <c r="L1147" s="5"/>
      <c r="M1147" s="5"/>
      <c r="N1147" s="6"/>
      <c r="O1147" s="7"/>
      <c r="P1147" s="8" t="s">
        <v>21</v>
      </c>
      <c r="Q1147" s="8" t="s">
        <v>22</v>
      </c>
    </row>
    <row r="1148" customFormat="false" ht="15" hidden="false" customHeight="false" outlineLevel="0" collapsed="false">
      <c r="A1148" s="2" t="n">
        <v>1147</v>
      </c>
      <c r="B1148" s="3" t="s">
        <v>3563</v>
      </c>
      <c r="C1148" s="3"/>
      <c r="D1148" s="4"/>
      <c r="E1148" s="3"/>
      <c r="F1148" s="3" t="s">
        <v>3548</v>
      </c>
      <c r="G1148" s="3"/>
      <c r="H1148" s="3"/>
      <c r="I1148" s="4"/>
      <c r="J1148" s="5" t="s">
        <v>20</v>
      </c>
      <c r="K1148" s="6"/>
      <c r="L1148" s="5"/>
      <c r="M1148" s="5"/>
      <c r="N1148" s="6"/>
      <c r="O1148" s="7"/>
      <c r="P1148" s="8" t="s">
        <v>21</v>
      </c>
      <c r="Q1148" s="8" t="s">
        <v>22</v>
      </c>
    </row>
    <row r="1149" customFormat="false" ht="15" hidden="false" customHeight="false" outlineLevel="0" collapsed="false">
      <c r="A1149" s="2" t="n">
        <v>1148</v>
      </c>
      <c r="B1149" s="3" t="s">
        <v>3564</v>
      </c>
      <c r="C1149" s="3" t="s">
        <v>120</v>
      </c>
      <c r="D1149" s="4" t="s">
        <v>3565</v>
      </c>
      <c r="E1149" s="3" t="s">
        <v>3547</v>
      </c>
      <c r="F1149" s="3" t="s">
        <v>3548</v>
      </c>
      <c r="G1149" s="3" t="s">
        <v>3566</v>
      </c>
      <c r="H1149" s="8" t="s">
        <v>3567</v>
      </c>
      <c r="I1149" s="4" t="s">
        <v>3568</v>
      </c>
      <c r="J1149" s="5" t="s">
        <v>20</v>
      </c>
      <c r="K1149" s="6"/>
      <c r="L1149" s="5"/>
      <c r="M1149" s="5"/>
      <c r="N1149" s="6"/>
      <c r="O1149" s="7"/>
      <c r="P1149" s="8" t="s">
        <v>21</v>
      </c>
      <c r="Q1149" s="8" t="s">
        <v>22</v>
      </c>
    </row>
    <row r="1150" customFormat="false" ht="15" hidden="false" customHeight="false" outlineLevel="0" collapsed="false">
      <c r="A1150" s="2" t="n">
        <v>1149</v>
      </c>
      <c r="B1150" s="3" t="s">
        <v>3569</v>
      </c>
      <c r="C1150" s="3"/>
      <c r="D1150" s="4"/>
      <c r="E1150" s="3"/>
      <c r="F1150" s="3" t="s">
        <v>3548</v>
      </c>
      <c r="G1150" s="3" t="s">
        <v>3570</v>
      </c>
      <c r="H1150" s="8" t="s">
        <v>3571</v>
      </c>
      <c r="I1150" s="4" t="s">
        <v>3572</v>
      </c>
      <c r="J1150" s="5" t="s">
        <v>20</v>
      </c>
      <c r="K1150" s="6"/>
      <c r="L1150" s="5"/>
      <c r="M1150" s="5"/>
      <c r="N1150" s="6"/>
      <c r="O1150" s="7"/>
      <c r="P1150" s="8" t="s">
        <v>21</v>
      </c>
      <c r="Q1150" s="8" t="s">
        <v>22</v>
      </c>
    </row>
    <row r="1151" customFormat="false" ht="15" hidden="false" customHeight="false" outlineLevel="0" collapsed="false">
      <c r="A1151" s="2" t="n">
        <v>1150</v>
      </c>
      <c r="B1151" s="3" t="s">
        <v>3573</v>
      </c>
      <c r="C1151" s="3" t="s">
        <v>116</v>
      </c>
      <c r="D1151" s="4" t="s">
        <v>3574</v>
      </c>
      <c r="E1151" s="3"/>
      <c r="F1151" s="3" t="s">
        <v>3548</v>
      </c>
      <c r="G1151" s="3" t="s">
        <v>3575</v>
      </c>
      <c r="H1151" s="8" t="s">
        <v>3576</v>
      </c>
      <c r="I1151" s="4" t="s">
        <v>3577</v>
      </c>
      <c r="J1151" s="5" t="s">
        <v>20</v>
      </c>
      <c r="K1151" s="6"/>
      <c r="L1151" s="5"/>
      <c r="M1151" s="5"/>
      <c r="N1151" s="6"/>
      <c r="O1151" s="7"/>
      <c r="P1151" s="8" t="s">
        <v>21</v>
      </c>
      <c r="Q1151" s="8" t="s">
        <v>22</v>
      </c>
    </row>
    <row r="1152" customFormat="false" ht="15" hidden="false" customHeight="false" outlineLevel="0" collapsed="false">
      <c r="A1152" s="2" t="n">
        <v>1151</v>
      </c>
      <c r="B1152" s="3" t="s">
        <v>3578</v>
      </c>
      <c r="C1152" s="3" t="s">
        <v>89</v>
      </c>
      <c r="D1152" s="4"/>
      <c r="E1152" s="3"/>
      <c r="F1152" s="3" t="s">
        <v>3548</v>
      </c>
      <c r="G1152" s="3"/>
      <c r="H1152" s="3"/>
      <c r="I1152" s="4"/>
      <c r="J1152" s="5" t="s">
        <v>20</v>
      </c>
      <c r="K1152" s="6"/>
      <c r="L1152" s="5"/>
      <c r="M1152" s="5"/>
      <c r="N1152" s="6"/>
      <c r="O1152" s="7"/>
      <c r="P1152" s="8" t="s">
        <v>21</v>
      </c>
      <c r="Q1152" s="8" t="s">
        <v>22</v>
      </c>
    </row>
    <row r="1153" customFormat="false" ht="15" hidden="false" customHeight="false" outlineLevel="0" collapsed="false">
      <c r="A1153" s="2" t="n">
        <v>1152</v>
      </c>
      <c r="B1153" s="3" t="s">
        <v>3579</v>
      </c>
      <c r="C1153" s="3" t="s">
        <v>126</v>
      </c>
      <c r="D1153" s="4"/>
      <c r="E1153" s="3"/>
      <c r="F1153" s="3" t="s">
        <v>3548</v>
      </c>
      <c r="G1153" s="3"/>
      <c r="H1153" s="3"/>
      <c r="I1153" s="4"/>
      <c r="J1153" s="5" t="s">
        <v>20</v>
      </c>
      <c r="K1153" s="6"/>
      <c r="L1153" s="5"/>
      <c r="M1153" s="5"/>
      <c r="N1153" s="6"/>
      <c r="O1153" s="7"/>
      <c r="P1153" s="8" t="s">
        <v>21</v>
      </c>
      <c r="Q1153" s="8" t="s">
        <v>22</v>
      </c>
    </row>
    <row r="1154" customFormat="false" ht="15" hidden="false" customHeight="false" outlineLevel="0" collapsed="false">
      <c r="A1154" s="2" t="n">
        <v>1153</v>
      </c>
      <c r="B1154" s="3" t="s">
        <v>3580</v>
      </c>
      <c r="C1154" s="3" t="s">
        <v>64</v>
      </c>
      <c r="D1154" s="4" t="s">
        <v>3581</v>
      </c>
      <c r="E1154" s="3" t="s">
        <v>3547</v>
      </c>
      <c r="F1154" s="3" t="s">
        <v>3548</v>
      </c>
      <c r="G1154" s="3"/>
      <c r="H1154" s="3"/>
      <c r="I1154" s="4"/>
      <c r="J1154" s="5" t="s">
        <v>20</v>
      </c>
      <c r="K1154" s="6"/>
      <c r="L1154" s="5"/>
      <c r="M1154" s="5"/>
      <c r="N1154" s="6"/>
      <c r="O1154" s="7"/>
      <c r="P1154" s="8" t="s">
        <v>21</v>
      </c>
      <c r="Q1154" s="8" t="s">
        <v>22</v>
      </c>
    </row>
    <row r="1155" customFormat="false" ht="23.85" hidden="false" customHeight="false" outlineLevel="0" collapsed="false">
      <c r="A1155" s="2" t="n">
        <v>1154</v>
      </c>
      <c r="B1155" s="3" t="s">
        <v>3582</v>
      </c>
      <c r="C1155" s="3" t="s">
        <v>120</v>
      </c>
      <c r="D1155" s="4"/>
      <c r="E1155" s="3"/>
      <c r="F1155" s="3" t="s">
        <v>3548</v>
      </c>
      <c r="G1155" s="3"/>
      <c r="H1155" s="3"/>
      <c r="I1155" s="4" t="s">
        <v>3583</v>
      </c>
      <c r="J1155" s="5" t="s">
        <v>20</v>
      </c>
      <c r="K1155" s="6"/>
      <c r="L1155" s="5"/>
      <c r="M1155" s="5"/>
      <c r="N1155" s="6"/>
      <c r="O1155" s="7"/>
      <c r="P1155" s="8" t="s">
        <v>21</v>
      </c>
      <c r="Q1155" s="8" t="s">
        <v>22</v>
      </c>
    </row>
    <row r="1156" customFormat="false" ht="15" hidden="false" customHeight="false" outlineLevel="0" collapsed="false">
      <c r="A1156" s="2" t="n">
        <v>1155</v>
      </c>
      <c r="B1156" s="3" t="s">
        <v>3584</v>
      </c>
      <c r="C1156" s="3" t="s">
        <v>120</v>
      </c>
      <c r="D1156" s="4"/>
      <c r="E1156" s="3"/>
      <c r="F1156" s="3" t="s">
        <v>3548</v>
      </c>
      <c r="G1156" s="3" t="s">
        <v>3585</v>
      </c>
      <c r="H1156" s="8" t="s">
        <v>3586</v>
      </c>
      <c r="I1156" s="4" t="s">
        <v>3587</v>
      </c>
      <c r="J1156" s="5" t="s">
        <v>20</v>
      </c>
      <c r="K1156" s="6"/>
      <c r="L1156" s="5"/>
      <c r="M1156" s="5"/>
      <c r="N1156" s="6"/>
      <c r="O1156" s="7"/>
      <c r="P1156" s="8" t="s">
        <v>21</v>
      </c>
      <c r="Q1156" s="8" t="s">
        <v>22</v>
      </c>
    </row>
    <row r="1157" customFormat="false" ht="15" hidden="false" customHeight="false" outlineLevel="0" collapsed="false">
      <c r="A1157" s="2" t="n">
        <v>1156</v>
      </c>
      <c r="B1157" s="3" t="s">
        <v>3588</v>
      </c>
      <c r="C1157" s="3"/>
      <c r="D1157" s="4" t="s">
        <v>3589</v>
      </c>
      <c r="E1157" s="3"/>
      <c r="F1157" s="3" t="s">
        <v>3548</v>
      </c>
      <c r="G1157" s="3" t="s">
        <v>3590</v>
      </c>
      <c r="H1157" s="8" t="s">
        <v>3591</v>
      </c>
      <c r="I1157" s="4" t="s">
        <v>3592</v>
      </c>
      <c r="J1157" s="5" t="s">
        <v>20</v>
      </c>
      <c r="K1157" s="6"/>
      <c r="L1157" s="5"/>
      <c r="M1157" s="5"/>
      <c r="N1157" s="6"/>
      <c r="O1157" s="7"/>
      <c r="P1157" s="8" t="s">
        <v>21</v>
      </c>
      <c r="Q1157" s="8" t="s">
        <v>22</v>
      </c>
    </row>
    <row r="1158" customFormat="false" ht="15" hidden="false" customHeight="false" outlineLevel="0" collapsed="false">
      <c r="A1158" s="2" t="n">
        <v>1157</v>
      </c>
      <c r="B1158" s="3" t="s">
        <v>3593</v>
      </c>
      <c r="C1158" s="3" t="s">
        <v>91</v>
      </c>
      <c r="D1158" s="4"/>
      <c r="E1158" s="3"/>
      <c r="F1158" s="3" t="s">
        <v>3548</v>
      </c>
      <c r="G1158" s="3" t="s">
        <v>3594</v>
      </c>
      <c r="H1158" s="8" t="s">
        <v>3595</v>
      </c>
      <c r="I1158" s="4" t="s">
        <v>3596</v>
      </c>
      <c r="J1158" s="5" t="s">
        <v>20</v>
      </c>
      <c r="K1158" s="6"/>
      <c r="L1158" s="5"/>
      <c r="M1158" s="5"/>
      <c r="N1158" s="6"/>
      <c r="O1158" s="7"/>
      <c r="P1158" s="8" t="s">
        <v>21</v>
      </c>
      <c r="Q1158" s="8" t="s">
        <v>22</v>
      </c>
    </row>
    <row r="1159" customFormat="false" ht="15" hidden="false" customHeight="false" outlineLevel="0" collapsed="false">
      <c r="A1159" s="2" t="n">
        <v>1158</v>
      </c>
      <c r="B1159" s="3" t="s">
        <v>3597</v>
      </c>
      <c r="C1159" s="3" t="s">
        <v>24</v>
      </c>
      <c r="D1159" s="4" t="s">
        <v>3598</v>
      </c>
      <c r="E1159" s="3"/>
      <c r="F1159" s="3" t="s">
        <v>3548</v>
      </c>
      <c r="G1159" s="3" t="s">
        <v>3599</v>
      </c>
      <c r="H1159" s="8" t="s">
        <v>3600</v>
      </c>
      <c r="I1159" s="4" t="s">
        <v>3601</v>
      </c>
      <c r="J1159" s="5" t="s">
        <v>20</v>
      </c>
      <c r="K1159" s="6"/>
      <c r="L1159" s="5"/>
      <c r="M1159" s="5"/>
      <c r="N1159" s="6"/>
      <c r="O1159" s="7"/>
      <c r="P1159" s="8" t="s">
        <v>21</v>
      </c>
      <c r="Q1159" s="8" t="s">
        <v>22</v>
      </c>
    </row>
    <row r="1160" customFormat="false" ht="15" hidden="false" customHeight="false" outlineLevel="0" collapsed="false">
      <c r="A1160" s="2" t="n">
        <v>1159</v>
      </c>
      <c r="B1160" s="3" t="s">
        <v>3602</v>
      </c>
      <c r="C1160" s="3"/>
      <c r="D1160" s="4"/>
      <c r="E1160" s="3"/>
      <c r="F1160" s="3" t="s">
        <v>3603</v>
      </c>
      <c r="G1160" s="3"/>
      <c r="H1160" s="3"/>
      <c r="I1160" s="4"/>
      <c r="J1160" s="5" t="s">
        <v>20</v>
      </c>
      <c r="K1160" s="6"/>
      <c r="L1160" s="5"/>
      <c r="M1160" s="5"/>
      <c r="N1160" s="6"/>
      <c r="O1160" s="7"/>
      <c r="P1160" s="8" t="s">
        <v>21</v>
      </c>
      <c r="Q1160" s="8" t="s">
        <v>22</v>
      </c>
    </row>
    <row r="1161" customFormat="false" ht="15" hidden="false" customHeight="false" outlineLevel="0" collapsed="false">
      <c r="A1161" s="2" t="n">
        <v>1160</v>
      </c>
      <c r="B1161" s="3" t="s">
        <v>3604</v>
      </c>
      <c r="C1161" s="3"/>
      <c r="D1161" s="4"/>
      <c r="E1161" s="3"/>
      <c r="F1161" s="3" t="s">
        <v>3603</v>
      </c>
      <c r="G1161" s="3" t="s">
        <v>3605</v>
      </c>
      <c r="H1161" s="3"/>
      <c r="I1161" s="4"/>
      <c r="J1161" s="5" t="s">
        <v>20</v>
      </c>
      <c r="K1161" s="6"/>
      <c r="L1161" s="5"/>
      <c r="M1161" s="5"/>
      <c r="N1161" s="6"/>
      <c r="O1161" s="7"/>
      <c r="P1161" s="8" t="s">
        <v>21</v>
      </c>
      <c r="Q1161" s="8" t="s">
        <v>22</v>
      </c>
    </row>
    <row r="1162" customFormat="false" ht="15" hidden="false" customHeight="false" outlineLevel="0" collapsed="false">
      <c r="A1162" s="2" t="n">
        <v>1161</v>
      </c>
      <c r="B1162" s="3" t="s">
        <v>3606</v>
      </c>
      <c r="C1162" s="3" t="s">
        <v>71</v>
      </c>
      <c r="D1162" s="4"/>
      <c r="E1162" s="3"/>
      <c r="F1162" s="3" t="s">
        <v>3603</v>
      </c>
      <c r="G1162" s="3" t="s">
        <v>3607</v>
      </c>
      <c r="H1162" s="3"/>
      <c r="I1162" s="4" t="s">
        <v>3608</v>
      </c>
      <c r="J1162" s="5" t="s">
        <v>20</v>
      </c>
      <c r="K1162" s="6"/>
      <c r="L1162" s="5"/>
      <c r="M1162" s="5"/>
      <c r="N1162" s="6"/>
      <c r="O1162" s="7"/>
      <c r="P1162" s="8" t="s">
        <v>21</v>
      </c>
      <c r="Q1162" s="8" t="s">
        <v>22</v>
      </c>
    </row>
    <row r="1163" customFormat="false" ht="15" hidden="false" customHeight="false" outlineLevel="0" collapsed="false">
      <c r="A1163" s="2" t="n">
        <v>1162</v>
      </c>
      <c r="B1163" s="3" t="s">
        <v>3609</v>
      </c>
      <c r="C1163" s="3" t="s">
        <v>126</v>
      </c>
      <c r="D1163" s="4"/>
      <c r="E1163" s="3"/>
      <c r="F1163" s="3" t="s">
        <v>3603</v>
      </c>
      <c r="G1163" s="3"/>
      <c r="H1163" s="8" t="s">
        <v>3610</v>
      </c>
      <c r="I1163" s="4" t="s">
        <v>3611</v>
      </c>
      <c r="J1163" s="5" t="s">
        <v>20</v>
      </c>
      <c r="K1163" s="6"/>
      <c r="L1163" s="5"/>
      <c r="M1163" s="5"/>
      <c r="N1163" s="6"/>
      <c r="O1163" s="7"/>
      <c r="P1163" s="8" t="s">
        <v>21</v>
      </c>
      <c r="Q1163" s="8" t="s">
        <v>22</v>
      </c>
    </row>
    <row r="1164" customFormat="false" ht="23.85" hidden="false" customHeight="false" outlineLevel="0" collapsed="false">
      <c r="A1164" s="2" t="n">
        <v>1163</v>
      </c>
      <c r="B1164" s="3" t="s">
        <v>3612</v>
      </c>
      <c r="C1164" s="3" t="s">
        <v>120</v>
      </c>
      <c r="D1164" s="4"/>
      <c r="E1164" s="3"/>
      <c r="F1164" s="3" t="s">
        <v>3603</v>
      </c>
      <c r="G1164" s="3" t="s">
        <v>3613</v>
      </c>
      <c r="H1164" s="8" t="s">
        <v>3614</v>
      </c>
      <c r="I1164" s="4" t="s">
        <v>3615</v>
      </c>
      <c r="J1164" s="5" t="s">
        <v>20</v>
      </c>
      <c r="K1164" s="6"/>
      <c r="L1164" s="5"/>
      <c r="M1164" s="5"/>
      <c r="N1164" s="6"/>
      <c r="O1164" s="7"/>
      <c r="P1164" s="8" t="s">
        <v>21</v>
      </c>
      <c r="Q1164" s="8" t="s">
        <v>22</v>
      </c>
    </row>
    <row r="1165" customFormat="false" ht="15" hidden="false" customHeight="false" outlineLevel="0" collapsed="false">
      <c r="A1165" s="2" t="n">
        <v>1164</v>
      </c>
      <c r="B1165" s="3" t="s">
        <v>3616</v>
      </c>
      <c r="C1165" s="3" t="s">
        <v>120</v>
      </c>
      <c r="D1165" s="4"/>
      <c r="E1165" s="3"/>
      <c r="F1165" s="3" t="s">
        <v>3603</v>
      </c>
      <c r="G1165" s="3"/>
      <c r="H1165" s="3"/>
      <c r="I1165" s="4"/>
      <c r="J1165" s="5" t="s">
        <v>20</v>
      </c>
      <c r="K1165" s="6"/>
      <c r="L1165" s="5"/>
      <c r="M1165" s="5"/>
      <c r="N1165" s="6"/>
      <c r="O1165" s="7"/>
      <c r="P1165" s="8" t="s">
        <v>21</v>
      </c>
      <c r="Q1165" s="8" t="s">
        <v>22</v>
      </c>
    </row>
    <row r="1166" customFormat="false" ht="15" hidden="false" customHeight="false" outlineLevel="0" collapsed="false">
      <c r="A1166" s="2" t="n">
        <v>1165</v>
      </c>
      <c r="B1166" s="3" t="s">
        <v>3617</v>
      </c>
      <c r="C1166" s="3" t="s">
        <v>153</v>
      </c>
      <c r="D1166" s="4"/>
      <c r="E1166" s="3"/>
      <c r="F1166" s="3" t="s">
        <v>3603</v>
      </c>
      <c r="G1166" s="3"/>
      <c r="H1166" s="3"/>
      <c r="I1166" s="4"/>
      <c r="J1166" s="5" t="s">
        <v>20</v>
      </c>
      <c r="K1166" s="6"/>
      <c r="L1166" s="5"/>
      <c r="M1166" s="5"/>
      <c r="N1166" s="6"/>
      <c r="O1166" s="7"/>
      <c r="P1166" s="8" t="s">
        <v>21</v>
      </c>
      <c r="Q1166" s="8" t="s">
        <v>22</v>
      </c>
    </row>
    <row r="1167" customFormat="false" ht="15" hidden="false" customHeight="false" outlineLevel="0" collapsed="false">
      <c r="A1167" s="2" t="n">
        <v>1166</v>
      </c>
      <c r="B1167" s="3" t="s">
        <v>3618</v>
      </c>
      <c r="C1167" s="3"/>
      <c r="D1167" s="4" t="s">
        <v>3619</v>
      </c>
      <c r="E1167" s="3" t="s">
        <v>3620</v>
      </c>
      <c r="F1167" s="3" t="s">
        <v>3603</v>
      </c>
      <c r="G1167" s="3"/>
      <c r="H1167" s="3"/>
      <c r="I1167" s="4"/>
      <c r="J1167" s="5" t="s">
        <v>20</v>
      </c>
      <c r="K1167" s="6"/>
      <c r="L1167" s="5"/>
      <c r="M1167" s="5"/>
      <c r="N1167" s="6"/>
      <c r="O1167" s="7"/>
      <c r="P1167" s="8" t="s">
        <v>21</v>
      </c>
      <c r="Q1167" s="8" t="s">
        <v>22</v>
      </c>
    </row>
    <row r="1168" customFormat="false" ht="23.85" hidden="false" customHeight="false" outlineLevel="0" collapsed="false">
      <c r="A1168" s="2" t="n">
        <v>1167</v>
      </c>
      <c r="B1168" s="3" t="s">
        <v>3228</v>
      </c>
      <c r="C1168" s="3" t="s">
        <v>91</v>
      </c>
      <c r="D1168" s="4" t="s">
        <v>3621</v>
      </c>
      <c r="E1168" s="3" t="s">
        <v>3620</v>
      </c>
      <c r="F1168" s="3" t="s">
        <v>3603</v>
      </c>
      <c r="G1168" s="3" t="s">
        <v>3622</v>
      </c>
      <c r="H1168" s="8" t="s">
        <v>3623</v>
      </c>
      <c r="I1168" s="4" t="s">
        <v>3624</v>
      </c>
      <c r="J1168" s="5" t="s">
        <v>20</v>
      </c>
      <c r="K1168" s="6"/>
      <c r="L1168" s="5"/>
      <c r="M1168" s="5"/>
      <c r="N1168" s="6"/>
      <c r="O1168" s="7"/>
      <c r="P1168" s="8" t="s">
        <v>21</v>
      </c>
      <c r="Q1168" s="8" t="s">
        <v>22</v>
      </c>
    </row>
    <row r="1169" customFormat="false" ht="15" hidden="false" customHeight="false" outlineLevel="0" collapsed="false">
      <c r="A1169" s="2" t="n">
        <v>1168</v>
      </c>
      <c r="B1169" s="3" t="s">
        <v>3625</v>
      </c>
      <c r="C1169" s="3" t="s">
        <v>71</v>
      </c>
      <c r="D1169" s="4"/>
      <c r="E1169" s="3"/>
      <c r="F1169" s="3" t="s">
        <v>3603</v>
      </c>
      <c r="G1169" s="3"/>
      <c r="H1169" s="3"/>
      <c r="I1169" s="4"/>
      <c r="J1169" s="5" t="s">
        <v>20</v>
      </c>
      <c r="K1169" s="6"/>
      <c r="L1169" s="5"/>
      <c r="M1169" s="5"/>
      <c r="N1169" s="6"/>
      <c r="O1169" s="7"/>
      <c r="P1169" s="8" t="s">
        <v>21</v>
      </c>
      <c r="Q1169" s="8" t="s">
        <v>22</v>
      </c>
    </row>
    <row r="1170" customFormat="false" ht="15" hidden="false" customHeight="false" outlineLevel="0" collapsed="false">
      <c r="A1170" s="2" t="n">
        <v>1169</v>
      </c>
      <c r="B1170" s="3" t="s">
        <v>3626</v>
      </c>
      <c r="C1170" s="3"/>
      <c r="D1170" s="4"/>
      <c r="E1170" s="3"/>
      <c r="F1170" s="3" t="s">
        <v>3603</v>
      </c>
      <c r="G1170" s="3"/>
      <c r="H1170" s="3"/>
      <c r="I1170" s="4"/>
      <c r="J1170" s="5" t="s">
        <v>20</v>
      </c>
      <c r="K1170" s="6"/>
      <c r="L1170" s="5"/>
      <c r="M1170" s="5"/>
      <c r="N1170" s="6"/>
      <c r="O1170" s="7"/>
      <c r="P1170" s="8" t="s">
        <v>21</v>
      </c>
      <c r="Q1170" s="8" t="s">
        <v>22</v>
      </c>
    </row>
    <row r="1171" customFormat="false" ht="15" hidden="false" customHeight="false" outlineLevel="0" collapsed="false">
      <c r="A1171" s="2" t="n">
        <v>1170</v>
      </c>
      <c r="B1171" s="3" t="s">
        <v>3627</v>
      </c>
      <c r="C1171" s="3"/>
      <c r="D1171" s="4"/>
      <c r="E1171" s="3"/>
      <c r="F1171" s="3" t="s">
        <v>3603</v>
      </c>
      <c r="G1171" s="3"/>
      <c r="H1171" s="3"/>
      <c r="I1171" s="4"/>
      <c r="J1171" s="5" t="s">
        <v>20</v>
      </c>
      <c r="K1171" s="6"/>
      <c r="L1171" s="5"/>
      <c r="M1171" s="5"/>
      <c r="N1171" s="6"/>
      <c r="O1171" s="7"/>
      <c r="P1171" s="8" t="s">
        <v>21</v>
      </c>
      <c r="Q1171" s="8" t="s">
        <v>22</v>
      </c>
    </row>
    <row r="1172" customFormat="false" ht="15" hidden="false" customHeight="false" outlineLevel="0" collapsed="false">
      <c r="A1172" s="2" t="n">
        <v>1171</v>
      </c>
      <c r="B1172" s="3" t="s">
        <v>3628</v>
      </c>
      <c r="C1172" s="3"/>
      <c r="D1172" s="4"/>
      <c r="E1172" s="3"/>
      <c r="F1172" s="3" t="s">
        <v>3629</v>
      </c>
      <c r="G1172" s="3"/>
      <c r="H1172" s="3"/>
      <c r="I1172" s="4"/>
      <c r="J1172" s="5" t="s">
        <v>20</v>
      </c>
      <c r="K1172" s="6"/>
      <c r="L1172" s="5"/>
      <c r="M1172" s="5"/>
      <c r="N1172" s="6"/>
      <c r="O1172" s="7"/>
      <c r="P1172" s="8" t="s">
        <v>21</v>
      </c>
      <c r="Q1172" s="8" t="s">
        <v>22</v>
      </c>
    </row>
    <row r="1173" customFormat="false" ht="15" hidden="false" customHeight="false" outlineLevel="0" collapsed="false">
      <c r="A1173" s="2" t="n">
        <v>1172</v>
      </c>
      <c r="B1173" s="3" t="s">
        <v>3630</v>
      </c>
      <c r="C1173" s="3" t="s">
        <v>24</v>
      </c>
      <c r="D1173" s="4"/>
      <c r="E1173" s="3"/>
      <c r="F1173" s="3" t="s">
        <v>3629</v>
      </c>
      <c r="G1173" s="3"/>
      <c r="H1173" s="3"/>
      <c r="I1173" s="4"/>
      <c r="J1173" s="5" t="s">
        <v>20</v>
      </c>
      <c r="K1173" s="6"/>
      <c r="L1173" s="5"/>
      <c r="M1173" s="5"/>
      <c r="N1173" s="6"/>
      <c r="O1173" s="7"/>
      <c r="P1173" s="8" t="s">
        <v>21</v>
      </c>
      <c r="Q1173" s="8" t="s">
        <v>22</v>
      </c>
    </row>
    <row r="1174" customFormat="false" ht="15" hidden="false" customHeight="false" outlineLevel="0" collapsed="false">
      <c r="A1174" s="2" t="n">
        <v>1173</v>
      </c>
      <c r="B1174" s="3" t="s">
        <v>3631</v>
      </c>
      <c r="C1174" s="3" t="s">
        <v>601</v>
      </c>
      <c r="D1174" s="4"/>
      <c r="E1174" s="3"/>
      <c r="F1174" s="3" t="s">
        <v>3629</v>
      </c>
      <c r="G1174" s="3"/>
      <c r="H1174" s="3"/>
      <c r="I1174" s="4"/>
      <c r="J1174" s="5" t="s">
        <v>20</v>
      </c>
      <c r="K1174" s="6"/>
      <c r="L1174" s="5"/>
      <c r="M1174" s="5"/>
      <c r="N1174" s="6"/>
      <c r="O1174" s="7"/>
      <c r="P1174" s="8" t="s">
        <v>21</v>
      </c>
      <c r="Q1174" s="8" t="s">
        <v>22</v>
      </c>
    </row>
    <row r="1175" customFormat="false" ht="15" hidden="false" customHeight="false" outlineLevel="0" collapsed="false">
      <c r="A1175" s="2" t="n">
        <v>1174</v>
      </c>
      <c r="B1175" s="3" t="s">
        <v>3632</v>
      </c>
      <c r="C1175" s="3"/>
      <c r="D1175" s="4"/>
      <c r="E1175" s="3"/>
      <c r="F1175" s="3" t="s">
        <v>3633</v>
      </c>
      <c r="G1175" s="3"/>
      <c r="H1175" s="3"/>
      <c r="I1175" s="4"/>
      <c r="J1175" s="5" t="s">
        <v>20</v>
      </c>
      <c r="K1175" s="6"/>
      <c r="L1175" s="5"/>
      <c r="M1175" s="5"/>
      <c r="N1175" s="6"/>
      <c r="O1175" s="7"/>
      <c r="P1175" s="8" t="s">
        <v>21</v>
      </c>
      <c r="Q1175" s="8" t="s">
        <v>22</v>
      </c>
    </row>
    <row r="1176" customFormat="false" ht="15" hidden="false" customHeight="false" outlineLevel="0" collapsed="false">
      <c r="A1176" s="2" t="n">
        <v>1175</v>
      </c>
      <c r="B1176" s="3" t="s">
        <v>3634</v>
      </c>
      <c r="C1176" s="3" t="s">
        <v>116</v>
      </c>
      <c r="D1176" s="4" t="s">
        <v>3635</v>
      </c>
      <c r="E1176" s="3" t="s">
        <v>3636</v>
      </c>
      <c r="F1176" s="3" t="s">
        <v>3633</v>
      </c>
      <c r="G1176" s="3" t="s">
        <v>3637</v>
      </c>
      <c r="H1176" s="8" t="s">
        <v>3638</v>
      </c>
      <c r="I1176" s="4" t="s">
        <v>3639</v>
      </c>
      <c r="J1176" s="5" t="s">
        <v>20</v>
      </c>
      <c r="K1176" s="6"/>
      <c r="L1176" s="5"/>
      <c r="M1176" s="5"/>
      <c r="N1176" s="6"/>
      <c r="O1176" s="7"/>
      <c r="P1176" s="8" t="s">
        <v>21</v>
      </c>
      <c r="Q1176" s="8" t="s">
        <v>22</v>
      </c>
    </row>
    <row r="1177" customFormat="false" ht="15" hidden="false" customHeight="false" outlineLevel="0" collapsed="false">
      <c r="A1177" s="2" t="n">
        <v>1176</v>
      </c>
      <c r="B1177" s="3" t="s">
        <v>3640</v>
      </c>
      <c r="C1177" s="3" t="s">
        <v>711</v>
      </c>
      <c r="D1177" s="4" t="s">
        <v>3641</v>
      </c>
      <c r="E1177" s="3" t="s">
        <v>3636</v>
      </c>
      <c r="F1177" s="3" t="s">
        <v>3633</v>
      </c>
      <c r="G1177" s="3"/>
      <c r="H1177" s="3"/>
      <c r="I1177" s="4"/>
      <c r="J1177" s="5" t="s">
        <v>20</v>
      </c>
      <c r="K1177" s="6"/>
      <c r="L1177" s="5"/>
      <c r="M1177" s="5"/>
      <c r="N1177" s="6"/>
      <c r="O1177" s="7"/>
      <c r="P1177" s="8" t="s">
        <v>21</v>
      </c>
      <c r="Q1177" s="8" t="s">
        <v>22</v>
      </c>
    </row>
    <row r="1178" customFormat="false" ht="15" hidden="false" customHeight="false" outlineLevel="0" collapsed="false">
      <c r="A1178" s="2" t="n">
        <v>1177</v>
      </c>
      <c r="B1178" s="3" t="s">
        <v>3642</v>
      </c>
      <c r="C1178" s="3"/>
      <c r="D1178" s="4" t="s">
        <v>3643</v>
      </c>
      <c r="E1178" s="3"/>
      <c r="F1178" s="3" t="s">
        <v>3633</v>
      </c>
      <c r="G1178" s="3"/>
      <c r="H1178" s="8" t="s">
        <v>3644</v>
      </c>
      <c r="I1178" s="4"/>
      <c r="J1178" s="5" t="s">
        <v>20</v>
      </c>
      <c r="K1178" s="6"/>
      <c r="L1178" s="5"/>
      <c r="M1178" s="5"/>
      <c r="N1178" s="6"/>
      <c r="O1178" s="7"/>
      <c r="P1178" s="8" t="s">
        <v>21</v>
      </c>
      <c r="Q1178" s="8" t="s">
        <v>22</v>
      </c>
    </row>
    <row r="1179" customFormat="false" ht="15" hidden="false" customHeight="false" outlineLevel="0" collapsed="false">
      <c r="A1179" s="2" t="n">
        <v>1178</v>
      </c>
      <c r="B1179" s="3" t="s">
        <v>3645</v>
      </c>
      <c r="C1179" s="3" t="s">
        <v>91</v>
      </c>
      <c r="D1179" s="4"/>
      <c r="E1179" s="3"/>
      <c r="F1179" s="3" t="s">
        <v>3633</v>
      </c>
      <c r="G1179" s="3"/>
      <c r="H1179" s="3"/>
      <c r="I1179" s="4"/>
      <c r="J1179" s="5" t="s">
        <v>20</v>
      </c>
      <c r="K1179" s="6"/>
      <c r="L1179" s="5"/>
      <c r="M1179" s="5"/>
      <c r="N1179" s="6"/>
      <c r="O1179" s="7"/>
      <c r="P1179" s="8" t="s">
        <v>21</v>
      </c>
      <c r="Q1179" s="8" t="s">
        <v>22</v>
      </c>
    </row>
    <row r="1180" customFormat="false" ht="15" hidden="false" customHeight="false" outlineLevel="0" collapsed="false">
      <c r="A1180" s="2" t="n">
        <v>1179</v>
      </c>
      <c r="B1180" s="3" t="s">
        <v>3646</v>
      </c>
      <c r="C1180" s="3" t="s">
        <v>91</v>
      </c>
      <c r="D1180" s="4" t="s">
        <v>3647</v>
      </c>
      <c r="E1180" s="3" t="s">
        <v>3636</v>
      </c>
      <c r="F1180" s="3" t="s">
        <v>3633</v>
      </c>
      <c r="G1180" s="3"/>
      <c r="H1180" s="3"/>
      <c r="I1180" s="4"/>
      <c r="J1180" s="5" t="s">
        <v>20</v>
      </c>
      <c r="K1180" s="6"/>
      <c r="L1180" s="5"/>
      <c r="M1180" s="5"/>
      <c r="N1180" s="6"/>
      <c r="O1180" s="7"/>
      <c r="P1180" s="8" t="s">
        <v>21</v>
      </c>
      <c r="Q1180" s="8" t="s">
        <v>22</v>
      </c>
    </row>
    <row r="1181" customFormat="false" ht="15" hidden="false" customHeight="false" outlineLevel="0" collapsed="false">
      <c r="A1181" s="2" t="n">
        <v>1180</v>
      </c>
      <c r="B1181" s="3" t="s">
        <v>3648</v>
      </c>
      <c r="C1181" s="3" t="s">
        <v>120</v>
      </c>
      <c r="D1181" s="4" t="s">
        <v>3649</v>
      </c>
      <c r="E1181" s="3"/>
      <c r="F1181" s="3" t="s">
        <v>3633</v>
      </c>
      <c r="G1181" s="3" t="s">
        <v>3650</v>
      </c>
      <c r="H1181" s="3"/>
      <c r="I1181" s="4" t="s">
        <v>3651</v>
      </c>
      <c r="J1181" s="5" t="s">
        <v>20</v>
      </c>
      <c r="K1181" s="6"/>
      <c r="L1181" s="5"/>
      <c r="M1181" s="5"/>
      <c r="N1181" s="6"/>
      <c r="O1181" s="7"/>
      <c r="P1181" s="8" t="s">
        <v>21</v>
      </c>
      <c r="Q1181" s="8" t="s">
        <v>22</v>
      </c>
    </row>
    <row r="1182" customFormat="false" ht="15" hidden="false" customHeight="false" outlineLevel="0" collapsed="false">
      <c r="A1182" s="2" t="n">
        <v>1181</v>
      </c>
      <c r="B1182" s="3" t="s">
        <v>3652</v>
      </c>
      <c r="C1182" s="3"/>
      <c r="D1182" s="4" t="s">
        <v>3653</v>
      </c>
      <c r="E1182" s="3" t="s">
        <v>3636</v>
      </c>
      <c r="F1182" s="3" t="s">
        <v>3633</v>
      </c>
      <c r="G1182" s="3"/>
      <c r="H1182" s="3"/>
      <c r="I1182" s="4"/>
      <c r="J1182" s="5" t="s">
        <v>20</v>
      </c>
      <c r="K1182" s="6"/>
      <c r="L1182" s="5"/>
      <c r="M1182" s="5"/>
      <c r="N1182" s="6"/>
      <c r="O1182" s="7"/>
      <c r="P1182" s="8" t="s">
        <v>21</v>
      </c>
      <c r="Q1182" s="8" t="s">
        <v>22</v>
      </c>
    </row>
    <row r="1183" customFormat="false" ht="15" hidden="false" customHeight="false" outlineLevel="0" collapsed="false">
      <c r="A1183" s="2" t="n">
        <v>1182</v>
      </c>
      <c r="B1183" s="3" t="s">
        <v>3654</v>
      </c>
      <c r="C1183" s="3" t="s">
        <v>89</v>
      </c>
      <c r="D1183" s="4" t="s">
        <v>3655</v>
      </c>
      <c r="E1183" s="3" t="s">
        <v>3636</v>
      </c>
      <c r="F1183" s="3" t="s">
        <v>3633</v>
      </c>
      <c r="G1183" s="3"/>
      <c r="H1183" s="8" t="s">
        <v>3656</v>
      </c>
      <c r="I1183" s="4" t="s">
        <v>3657</v>
      </c>
      <c r="J1183" s="5" t="s">
        <v>20</v>
      </c>
      <c r="K1183" s="6"/>
      <c r="L1183" s="5"/>
      <c r="M1183" s="5"/>
      <c r="N1183" s="6"/>
      <c r="O1183" s="7"/>
      <c r="P1183" s="8" t="s">
        <v>21</v>
      </c>
      <c r="Q1183" s="8" t="s">
        <v>22</v>
      </c>
    </row>
    <row r="1184" customFormat="false" ht="15" hidden="false" customHeight="false" outlineLevel="0" collapsed="false">
      <c r="A1184" s="2" t="n">
        <v>1183</v>
      </c>
      <c r="B1184" s="3" t="s">
        <v>3658</v>
      </c>
      <c r="C1184" s="3"/>
      <c r="D1184" s="4"/>
      <c r="E1184" s="3"/>
      <c r="F1184" s="3" t="s">
        <v>3633</v>
      </c>
      <c r="G1184" s="3" t="s">
        <v>3659</v>
      </c>
      <c r="H1184" s="8" t="s">
        <v>3660</v>
      </c>
      <c r="I1184" s="4"/>
      <c r="J1184" s="5" t="s">
        <v>20</v>
      </c>
      <c r="K1184" s="6"/>
      <c r="L1184" s="5"/>
      <c r="M1184" s="5"/>
      <c r="N1184" s="6"/>
      <c r="O1184" s="7"/>
      <c r="P1184" s="8" t="s">
        <v>21</v>
      </c>
      <c r="Q1184" s="8" t="s">
        <v>22</v>
      </c>
    </row>
    <row r="1185" customFormat="false" ht="15" hidden="false" customHeight="false" outlineLevel="0" collapsed="false">
      <c r="A1185" s="2" t="n">
        <v>1184</v>
      </c>
      <c r="B1185" s="3" t="s">
        <v>3661</v>
      </c>
      <c r="C1185" s="3"/>
      <c r="D1185" s="4" t="s">
        <v>3649</v>
      </c>
      <c r="E1185" s="3"/>
      <c r="F1185" s="3" t="s">
        <v>3633</v>
      </c>
      <c r="G1185" s="3"/>
      <c r="H1185" s="3"/>
      <c r="I1185" s="4" t="s">
        <v>3662</v>
      </c>
      <c r="J1185" s="5" t="s">
        <v>20</v>
      </c>
      <c r="K1185" s="6"/>
      <c r="L1185" s="5"/>
      <c r="M1185" s="5"/>
      <c r="N1185" s="6"/>
      <c r="O1185" s="7"/>
      <c r="P1185" s="8" t="s">
        <v>21</v>
      </c>
      <c r="Q1185" s="8" t="s">
        <v>22</v>
      </c>
    </row>
    <row r="1186" customFormat="false" ht="15" hidden="false" customHeight="false" outlineLevel="0" collapsed="false">
      <c r="A1186" s="2" t="n">
        <v>1185</v>
      </c>
      <c r="B1186" s="3" t="s">
        <v>3663</v>
      </c>
      <c r="C1186" s="3" t="s">
        <v>24</v>
      </c>
      <c r="D1186" s="4"/>
      <c r="E1186" s="3"/>
      <c r="F1186" s="3" t="s">
        <v>3633</v>
      </c>
      <c r="G1186" s="3"/>
      <c r="H1186" s="3"/>
      <c r="I1186" s="4" t="s">
        <v>3664</v>
      </c>
      <c r="J1186" s="5" t="s">
        <v>20</v>
      </c>
      <c r="K1186" s="6"/>
      <c r="L1186" s="5"/>
      <c r="M1186" s="5"/>
      <c r="N1186" s="6"/>
      <c r="O1186" s="7"/>
      <c r="P1186" s="8" t="s">
        <v>21</v>
      </c>
      <c r="Q1186" s="8" t="s">
        <v>22</v>
      </c>
    </row>
    <row r="1187" customFormat="false" ht="15" hidden="false" customHeight="false" outlineLevel="0" collapsed="false">
      <c r="A1187" s="2" t="n">
        <v>1186</v>
      </c>
      <c r="B1187" s="3" t="s">
        <v>3665</v>
      </c>
      <c r="C1187" s="3" t="s">
        <v>24</v>
      </c>
      <c r="D1187" s="4"/>
      <c r="E1187" s="3"/>
      <c r="F1187" s="3" t="s">
        <v>3633</v>
      </c>
      <c r="G1187" s="3"/>
      <c r="H1187" s="3"/>
      <c r="I1187" s="4"/>
      <c r="J1187" s="5" t="s">
        <v>20</v>
      </c>
      <c r="K1187" s="6"/>
      <c r="L1187" s="5"/>
      <c r="M1187" s="5"/>
      <c r="N1187" s="6"/>
      <c r="O1187" s="7"/>
      <c r="P1187" s="8" t="s">
        <v>21</v>
      </c>
      <c r="Q1187" s="8" t="s">
        <v>22</v>
      </c>
    </row>
    <row r="1188" customFormat="false" ht="15" hidden="false" customHeight="false" outlineLevel="0" collapsed="false">
      <c r="A1188" s="2" t="n">
        <v>1187</v>
      </c>
      <c r="B1188" s="3" t="s">
        <v>3666</v>
      </c>
      <c r="C1188" s="3" t="s">
        <v>3271</v>
      </c>
      <c r="D1188" s="4" t="s">
        <v>3667</v>
      </c>
      <c r="E1188" s="3" t="s">
        <v>3636</v>
      </c>
      <c r="F1188" s="3" t="s">
        <v>3633</v>
      </c>
      <c r="G1188" s="3" t="s">
        <v>3668</v>
      </c>
      <c r="H1188" s="8" t="s">
        <v>3669</v>
      </c>
      <c r="I1188" s="4"/>
      <c r="J1188" s="5" t="s">
        <v>20</v>
      </c>
      <c r="K1188" s="6"/>
      <c r="L1188" s="5"/>
      <c r="M1188" s="5"/>
      <c r="N1188" s="6"/>
      <c r="O1188" s="7"/>
      <c r="P1188" s="8" t="s">
        <v>21</v>
      </c>
      <c r="Q1188" s="8" t="s">
        <v>22</v>
      </c>
    </row>
    <row r="1189" customFormat="false" ht="15" hidden="false" customHeight="false" outlineLevel="0" collapsed="false">
      <c r="A1189" s="2" t="n">
        <v>1188</v>
      </c>
      <c r="B1189" s="3" t="s">
        <v>3670</v>
      </c>
      <c r="C1189" s="3"/>
      <c r="D1189" s="4" t="s">
        <v>3671</v>
      </c>
      <c r="E1189" s="3" t="s">
        <v>3636</v>
      </c>
      <c r="F1189" s="3" t="s">
        <v>3633</v>
      </c>
      <c r="G1189" s="3"/>
      <c r="H1189" s="8" t="s">
        <v>3672</v>
      </c>
      <c r="I1189" s="4" t="s">
        <v>1406</v>
      </c>
      <c r="J1189" s="5" t="s">
        <v>20</v>
      </c>
      <c r="K1189" s="6"/>
      <c r="L1189" s="5"/>
      <c r="M1189" s="5"/>
      <c r="N1189" s="6"/>
      <c r="O1189" s="7"/>
      <c r="P1189" s="8" t="s">
        <v>21</v>
      </c>
      <c r="Q1189" s="8" t="s">
        <v>22</v>
      </c>
    </row>
    <row r="1190" customFormat="false" ht="15" hidden="false" customHeight="false" outlineLevel="0" collapsed="false">
      <c r="A1190" s="2" t="n">
        <v>1189</v>
      </c>
      <c r="B1190" s="3" t="s">
        <v>3673</v>
      </c>
      <c r="C1190" s="3" t="s">
        <v>91</v>
      </c>
      <c r="D1190" s="4"/>
      <c r="E1190" s="3"/>
      <c r="F1190" s="3" t="s">
        <v>3633</v>
      </c>
      <c r="G1190" s="3"/>
      <c r="H1190" s="3"/>
      <c r="I1190" s="4" t="s">
        <v>3674</v>
      </c>
      <c r="J1190" s="5" t="s">
        <v>20</v>
      </c>
      <c r="K1190" s="6"/>
      <c r="L1190" s="5"/>
      <c r="M1190" s="5"/>
      <c r="N1190" s="6"/>
      <c r="O1190" s="7"/>
      <c r="P1190" s="8" t="s">
        <v>21</v>
      </c>
      <c r="Q1190" s="8" t="s">
        <v>22</v>
      </c>
    </row>
    <row r="1191" customFormat="false" ht="15" hidden="false" customHeight="false" outlineLevel="0" collapsed="false">
      <c r="A1191" s="2" t="n">
        <v>1190</v>
      </c>
      <c r="B1191" s="3" t="s">
        <v>3675</v>
      </c>
      <c r="C1191" s="3"/>
      <c r="D1191" s="4"/>
      <c r="E1191" s="3"/>
      <c r="F1191" s="3" t="s">
        <v>3633</v>
      </c>
      <c r="G1191" s="3"/>
      <c r="H1191" s="3"/>
      <c r="I1191" s="4"/>
      <c r="J1191" s="5" t="s">
        <v>20</v>
      </c>
      <c r="K1191" s="6"/>
      <c r="L1191" s="5"/>
      <c r="M1191" s="5"/>
      <c r="N1191" s="6"/>
      <c r="O1191" s="7"/>
      <c r="P1191" s="8" t="s">
        <v>21</v>
      </c>
      <c r="Q1191" s="8" t="s">
        <v>22</v>
      </c>
    </row>
    <row r="1192" customFormat="false" ht="15" hidden="false" customHeight="false" outlineLevel="0" collapsed="false">
      <c r="A1192" s="2" t="n">
        <v>1191</v>
      </c>
      <c r="B1192" s="3" t="s">
        <v>3676</v>
      </c>
      <c r="C1192" s="3" t="s">
        <v>89</v>
      </c>
      <c r="D1192" s="4"/>
      <c r="E1192" s="3"/>
      <c r="F1192" s="3" t="s">
        <v>3633</v>
      </c>
      <c r="G1192" s="3"/>
      <c r="H1192" s="3"/>
      <c r="I1192" s="4" t="s">
        <v>3677</v>
      </c>
      <c r="J1192" s="5" t="s">
        <v>20</v>
      </c>
      <c r="K1192" s="6"/>
      <c r="L1192" s="5"/>
      <c r="M1192" s="5"/>
      <c r="N1192" s="6"/>
      <c r="O1192" s="7"/>
      <c r="P1192" s="8" t="s">
        <v>21</v>
      </c>
      <c r="Q1192" s="8" t="s">
        <v>22</v>
      </c>
    </row>
    <row r="1193" customFormat="false" ht="15" hidden="false" customHeight="false" outlineLevel="0" collapsed="false">
      <c r="A1193" s="2" t="n">
        <v>1192</v>
      </c>
      <c r="B1193" s="3" t="s">
        <v>3678</v>
      </c>
      <c r="C1193" s="3" t="s">
        <v>3679</v>
      </c>
      <c r="D1193" s="4" t="s">
        <v>3680</v>
      </c>
      <c r="E1193" s="3" t="s">
        <v>3636</v>
      </c>
      <c r="F1193" s="3" t="s">
        <v>3633</v>
      </c>
      <c r="G1193" s="3" t="s">
        <v>3681</v>
      </c>
      <c r="H1193" s="8" t="s">
        <v>3682</v>
      </c>
      <c r="I1193" s="4" t="s">
        <v>846</v>
      </c>
      <c r="J1193" s="5" t="s">
        <v>20</v>
      </c>
      <c r="K1193" s="6"/>
      <c r="L1193" s="5"/>
      <c r="M1193" s="5"/>
      <c r="N1193" s="6"/>
      <c r="O1193" s="7"/>
      <c r="P1193" s="8" t="s">
        <v>21</v>
      </c>
      <c r="Q1193" s="8" t="s">
        <v>22</v>
      </c>
    </row>
    <row r="1194" customFormat="false" ht="15" hidden="false" customHeight="false" outlineLevel="0" collapsed="false">
      <c r="A1194" s="2" t="n">
        <v>1193</v>
      </c>
      <c r="B1194" s="3" t="s">
        <v>3683</v>
      </c>
      <c r="C1194" s="3" t="s">
        <v>3684</v>
      </c>
      <c r="D1194" s="4" t="s">
        <v>3685</v>
      </c>
      <c r="E1194" s="3" t="s">
        <v>3636</v>
      </c>
      <c r="F1194" s="3" t="s">
        <v>3633</v>
      </c>
      <c r="G1194" s="3" t="s">
        <v>3686</v>
      </c>
      <c r="H1194" s="8" t="s">
        <v>3687</v>
      </c>
      <c r="I1194" s="4" t="s">
        <v>3688</v>
      </c>
      <c r="J1194" s="5" t="s">
        <v>20</v>
      </c>
      <c r="K1194" s="6"/>
      <c r="L1194" s="5"/>
      <c r="M1194" s="5"/>
      <c r="N1194" s="6"/>
      <c r="O1194" s="7"/>
      <c r="P1194" s="8" t="s">
        <v>21</v>
      </c>
      <c r="Q1194" s="8" t="s">
        <v>22</v>
      </c>
    </row>
    <row r="1195" customFormat="false" ht="15" hidden="false" customHeight="false" outlineLevel="0" collapsed="false">
      <c r="A1195" s="2" t="n">
        <v>1194</v>
      </c>
      <c r="B1195" s="3" t="s">
        <v>3689</v>
      </c>
      <c r="C1195" s="3" t="s">
        <v>1274</v>
      </c>
      <c r="D1195" s="4" t="s">
        <v>3690</v>
      </c>
      <c r="E1195" s="3" t="s">
        <v>3636</v>
      </c>
      <c r="F1195" s="3" t="s">
        <v>3633</v>
      </c>
      <c r="G1195" s="3"/>
      <c r="H1195" s="8" t="s">
        <v>3691</v>
      </c>
      <c r="I1195" s="4" t="s">
        <v>3692</v>
      </c>
      <c r="J1195" s="5" t="s">
        <v>20</v>
      </c>
      <c r="K1195" s="6"/>
      <c r="L1195" s="5"/>
      <c r="M1195" s="5"/>
      <c r="N1195" s="6"/>
      <c r="O1195" s="7"/>
      <c r="P1195" s="8" t="s">
        <v>21</v>
      </c>
      <c r="Q1195" s="8" t="s">
        <v>22</v>
      </c>
    </row>
    <row r="1196" customFormat="false" ht="15" hidden="false" customHeight="false" outlineLevel="0" collapsed="false">
      <c r="A1196" s="2" t="n">
        <v>1195</v>
      </c>
      <c r="B1196" s="3" t="s">
        <v>3693</v>
      </c>
      <c r="C1196" s="3"/>
      <c r="D1196" s="4"/>
      <c r="E1196" s="3"/>
      <c r="F1196" s="3" t="s">
        <v>3633</v>
      </c>
      <c r="G1196" s="3"/>
      <c r="H1196" s="3"/>
      <c r="I1196" s="4" t="s">
        <v>3694</v>
      </c>
      <c r="J1196" s="5" t="s">
        <v>20</v>
      </c>
      <c r="K1196" s="6"/>
      <c r="L1196" s="5"/>
      <c r="M1196" s="5"/>
      <c r="N1196" s="6"/>
      <c r="O1196" s="7"/>
      <c r="P1196" s="8" t="s">
        <v>21</v>
      </c>
      <c r="Q1196" s="8" t="s">
        <v>22</v>
      </c>
    </row>
    <row r="1197" customFormat="false" ht="15" hidden="false" customHeight="false" outlineLevel="0" collapsed="false">
      <c r="A1197" s="2" t="n">
        <v>1196</v>
      </c>
      <c r="B1197" s="3" t="s">
        <v>3695</v>
      </c>
      <c r="C1197" s="3"/>
      <c r="D1197" s="4"/>
      <c r="E1197" s="3"/>
      <c r="F1197" s="3" t="s">
        <v>3633</v>
      </c>
      <c r="G1197" s="3"/>
      <c r="H1197" s="3"/>
      <c r="I1197" s="4"/>
      <c r="J1197" s="5" t="s">
        <v>20</v>
      </c>
      <c r="K1197" s="6"/>
      <c r="L1197" s="5"/>
      <c r="M1197" s="5"/>
      <c r="N1197" s="6"/>
      <c r="O1197" s="7"/>
      <c r="P1197" s="8" t="s">
        <v>21</v>
      </c>
      <c r="Q1197" s="8" t="s">
        <v>22</v>
      </c>
    </row>
    <row r="1198" customFormat="false" ht="15" hidden="false" customHeight="false" outlineLevel="0" collapsed="false">
      <c r="A1198" s="2" t="n">
        <v>1197</v>
      </c>
      <c r="B1198" s="3" t="s">
        <v>3696</v>
      </c>
      <c r="C1198" s="3"/>
      <c r="D1198" s="4"/>
      <c r="E1198" s="3"/>
      <c r="F1198" s="3" t="s">
        <v>3633</v>
      </c>
      <c r="G1198" s="3"/>
      <c r="H1198" s="3"/>
      <c r="I1198" s="4" t="s">
        <v>3697</v>
      </c>
      <c r="J1198" s="5" t="s">
        <v>20</v>
      </c>
      <c r="K1198" s="6"/>
      <c r="L1198" s="5"/>
      <c r="M1198" s="5"/>
      <c r="N1198" s="6"/>
      <c r="O1198" s="7"/>
      <c r="P1198" s="8" t="s">
        <v>21</v>
      </c>
      <c r="Q1198" s="8" t="s">
        <v>22</v>
      </c>
    </row>
    <row r="1199" customFormat="false" ht="23.85" hidden="false" customHeight="false" outlineLevel="0" collapsed="false">
      <c r="A1199" s="2" t="n">
        <v>1198</v>
      </c>
      <c r="B1199" s="3" t="s">
        <v>3698</v>
      </c>
      <c r="C1199" s="3" t="s">
        <v>71</v>
      </c>
      <c r="D1199" s="4" t="s">
        <v>3699</v>
      </c>
      <c r="E1199" s="3"/>
      <c r="F1199" s="3" t="s">
        <v>3633</v>
      </c>
      <c r="G1199" s="3" t="s">
        <v>3700</v>
      </c>
      <c r="H1199" s="8" t="s">
        <v>3701</v>
      </c>
      <c r="I1199" s="4" t="s">
        <v>3702</v>
      </c>
      <c r="J1199" s="5" t="s">
        <v>20</v>
      </c>
      <c r="K1199" s="6"/>
      <c r="L1199" s="5"/>
      <c r="M1199" s="5"/>
      <c r="N1199" s="6"/>
      <c r="O1199" s="7"/>
      <c r="P1199" s="8" t="s">
        <v>21</v>
      </c>
      <c r="Q1199" s="8" t="s">
        <v>22</v>
      </c>
    </row>
    <row r="1200" customFormat="false" ht="15" hidden="false" customHeight="false" outlineLevel="0" collapsed="false">
      <c r="A1200" s="2" t="n">
        <v>1199</v>
      </c>
      <c r="B1200" s="3" t="s">
        <v>3703</v>
      </c>
      <c r="C1200" s="3"/>
      <c r="D1200" s="4" t="s">
        <v>3704</v>
      </c>
      <c r="E1200" s="3"/>
      <c r="F1200" s="3" t="s">
        <v>3705</v>
      </c>
      <c r="G1200" s="3"/>
      <c r="H1200" s="3"/>
      <c r="I1200" s="4"/>
      <c r="J1200" s="5" t="s">
        <v>20</v>
      </c>
      <c r="K1200" s="6"/>
      <c r="L1200" s="5"/>
      <c r="M1200" s="5"/>
      <c r="N1200" s="6"/>
      <c r="O1200" s="7"/>
      <c r="P1200" s="8" t="s">
        <v>21</v>
      </c>
      <c r="Q1200" s="8" t="s">
        <v>22</v>
      </c>
    </row>
    <row r="1201" customFormat="false" ht="15" hidden="false" customHeight="false" outlineLevel="0" collapsed="false">
      <c r="A1201" s="2" t="n">
        <v>1200</v>
      </c>
      <c r="B1201" s="3" t="s">
        <v>3706</v>
      </c>
      <c r="C1201" s="3" t="s">
        <v>120</v>
      </c>
      <c r="D1201" s="4" t="s">
        <v>3707</v>
      </c>
      <c r="E1201" s="3" t="s">
        <v>3354</v>
      </c>
      <c r="F1201" s="3" t="s">
        <v>3708</v>
      </c>
      <c r="G1201" s="3"/>
      <c r="H1201" s="3"/>
      <c r="I1201" s="4"/>
      <c r="J1201" s="5" t="s">
        <v>20</v>
      </c>
      <c r="K1201" s="6"/>
      <c r="L1201" s="5"/>
      <c r="M1201" s="5"/>
      <c r="N1201" s="6"/>
      <c r="O1201" s="7"/>
      <c r="P1201" s="8" t="s">
        <v>21</v>
      </c>
      <c r="Q1201" s="8" t="s">
        <v>22</v>
      </c>
    </row>
    <row r="1202" customFormat="false" ht="15" hidden="false" customHeight="false" outlineLevel="0" collapsed="false">
      <c r="A1202" s="2" t="n">
        <v>1201</v>
      </c>
      <c r="B1202" s="3" t="s">
        <v>3709</v>
      </c>
      <c r="C1202" s="3"/>
      <c r="D1202" s="4" t="s">
        <v>3710</v>
      </c>
      <c r="E1202" s="3" t="s">
        <v>3354</v>
      </c>
      <c r="F1202" s="3" t="s">
        <v>3708</v>
      </c>
      <c r="G1202" s="3"/>
      <c r="H1202" s="3"/>
      <c r="I1202" s="4"/>
      <c r="J1202" s="5" t="s">
        <v>20</v>
      </c>
      <c r="K1202" s="6"/>
      <c r="L1202" s="5"/>
      <c r="M1202" s="5"/>
      <c r="N1202" s="6"/>
      <c r="O1202" s="7"/>
      <c r="P1202" s="8" t="s">
        <v>21</v>
      </c>
      <c r="Q1202" s="8" t="s">
        <v>22</v>
      </c>
    </row>
    <row r="1203" customFormat="false" ht="15" hidden="false" customHeight="false" outlineLevel="0" collapsed="false">
      <c r="A1203" s="2" t="n">
        <v>1202</v>
      </c>
      <c r="B1203" s="3" t="s">
        <v>3711</v>
      </c>
      <c r="C1203" s="3" t="s">
        <v>3712</v>
      </c>
      <c r="D1203" s="4" t="s">
        <v>3713</v>
      </c>
      <c r="E1203" s="3" t="s">
        <v>3354</v>
      </c>
      <c r="F1203" s="3" t="s">
        <v>3708</v>
      </c>
      <c r="G1203" s="3" t="s">
        <v>3714</v>
      </c>
      <c r="H1203" s="8" t="s">
        <v>3715</v>
      </c>
      <c r="I1203" s="4" t="s">
        <v>3716</v>
      </c>
      <c r="J1203" s="5" t="s">
        <v>20</v>
      </c>
      <c r="K1203" s="6"/>
      <c r="L1203" s="5"/>
      <c r="M1203" s="5"/>
      <c r="N1203" s="6"/>
      <c r="O1203" s="7"/>
      <c r="P1203" s="8" t="s">
        <v>21</v>
      </c>
      <c r="Q1203" s="8" t="s">
        <v>22</v>
      </c>
    </row>
    <row r="1204" customFormat="false" ht="15" hidden="false" customHeight="false" outlineLevel="0" collapsed="false">
      <c r="A1204" s="2" t="n">
        <v>1203</v>
      </c>
      <c r="B1204" s="3" t="s">
        <v>3717</v>
      </c>
      <c r="C1204" s="3" t="s">
        <v>120</v>
      </c>
      <c r="D1204" s="4" t="s">
        <v>2514</v>
      </c>
      <c r="E1204" s="3" t="s">
        <v>3354</v>
      </c>
      <c r="F1204" s="3" t="s">
        <v>3708</v>
      </c>
      <c r="G1204" s="3" t="s">
        <v>3718</v>
      </c>
      <c r="H1204" s="8" t="s">
        <v>3719</v>
      </c>
      <c r="I1204" s="4" t="s">
        <v>3720</v>
      </c>
      <c r="J1204" s="5" t="s">
        <v>20</v>
      </c>
      <c r="K1204" s="6"/>
      <c r="L1204" s="5"/>
      <c r="M1204" s="5"/>
      <c r="N1204" s="6"/>
      <c r="O1204" s="7"/>
      <c r="P1204" s="8" t="s">
        <v>21</v>
      </c>
      <c r="Q1204" s="8" t="s">
        <v>22</v>
      </c>
    </row>
    <row r="1205" customFormat="false" ht="15" hidden="false" customHeight="false" outlineLevel="0" collapsed="false">
      <c r="A1205" s="2" t="n">
        <v>1204</v>
      </c>
      <c r="B1205" s="3" t="s">
        <v>3721</v>
      </c>
      <c r="C1205" s="3" t="s">
        <v>153</v>
      </c>
      <c r="D1205" s="4" t="s">
        <v>3722</v>
      </c>
      <c r="E1205" s="3" t="s">
        <v>3354</v>
      </c>
      <c r="F1205" s="3" t="s">
        <v>3708</v>
      </c>
      <c r="G1205" s="3"/>
      <c r="H1205" s="3"/>
      <c r="I1205" s="4"/>
      <c r="J1205" s="5" t="s">
        <v>20</v>
      </c>
      <c r="K1205" s="6"/>
      <c r="L1205" s="5"/>
      <c r="M1205" s="5"/>
      <c r="N1205" s="6"/>
      <c r="O1205" s="7"/>
      <c r="P1205" s="8" t="s">
        <v>21</v>
      </c>
      <c r="Q1205" s="8" t="s">
        <v>22</v>
      </c>
    </row>
    <row r="1206" customFormat="false" ht="15" hidden="false" customHeight="false" outlineLevel="0" collapsed="false">
      <c r="A1206" s="2" t="n">
        <v>1205</v>
      </c>
      <c r="B1206" s="3" t="s">
        <v>3723</v>
      </c>
      <c r="C1206" s="3"/>
      <c r="D1206" s="4" t="s">
        <v>3724</v>
      </c>
      <c r="E1206" s="3" t="s">
        <v>3354</v>
      </c>
      <c r="F1206" s="3" t="s">
        <v>3708</v>
      </c>
      <c r="G1206" s="3" t="s">
        <v>3725</v>
      </c>
      <c r="H1206" s="3"/>
      <c r="I1206" s="4"/>
      <c r="J1206" s="5" t="s">
        <v>20</v>
      </c>
      <c r="K1206" s="6"/>
      <c r="L1206" s="5"/>
      <c r="M1206" s="5"/>
      <c r="N1206" s="6"/>
      <c r="O1206" s="7"/>
      <c r="P1206" s="8" t="s">
        <v>21</v>
      </c>
      <c r="Q1206" s="8" t="s">
        <v>22</v>
      </c>
    </row>
    <row r="1207" customFormat="false" ht="15" hidden="false" customHeight="false" outlineLevel="0" collapsed="false">
      <c r="A1207" s="2" t="n">
        <v>1206</v>
      </c>
      <c r="B1207" s="3" t="s">
        <v>3640</v>
      </c>
      <c r="C1207" s="3" t="s">
        <v>711</v>
      </c>
      <c r="D1207" s="4"/>
      <c r="E1207" s="3"/>
      <c r="F1207" s="3" t="s">
        <v>3726</v>
      </c>
      <c r="G1207" s="3"/>
      <c r="H1207" s="3"/>
      <c r="I1207" s="4"/>
      <c r="J1207" s="5" t="s">
        <v>20</v>
      </c>
      <c r="K1207" s="6"/>
      <c r="L1207" s="5"/>
      <c r="M1207" s="5"/>
      <c r="N1207" s="6"/>
      <c r="O1207" s="7"/>
      <c r="P1207" s="8" t="s">
        <v>21</v>
      </c>
      <c r="Q1207" s="8" t="s">
        <v>22</v>
      </c>
    </row>
    <row r="1208" customFormat="false" ht="15" hidden="false" customHeight="false" outlineLevel="0" collapsed="false">
      <c r="A1208" s="2" t="n">
        <v>1207</v>
      </c>
      <c r="B1208" s="3" t="s">
        <v>3727</v>
      </c>
      <c r="C1208" s="3" t="s">
        <v>3728</v>
      </c>
      <c r="D1208" s="4" t="s">
        <v>3729</v>
      </c>
      <c r="E1208" s="3" t="s">
        <v>3730</v>
      </c>
      <c r="F1208" s="3" t="s">
        <v>3726</v>
      </c>
      <c r="G1208" s="3"/>
      <c r="H1208" s="3"/>
      <c r="I1208" s="4"/>
      <c r="J1208" s="5" t="s">
        <v>20</v>
      </c>
      <c r="K1208" s="6"/>
      <c r="L1208" s="5"/>
      <c r="M1208" s="5"/>
      <c r="N1208" s="6"/>
      <c r="O1208" s="7"/>
      <c r="P1208" s="8" t="s">
        <v>21</v>
      </c>
      <c r="Q1208" s="8" t="s">
        <v>22</v>
      </c>
    </row>
    <row r="1209" customFormat="false" ht="15" hidden="false" customHeight="false" outlineLevel="0" collapsed="false">
      <c r="A1209" s="2" t="n">
        <v>1208</v>
      </c>
      <c r="B1209" s="3" t="s">
        <v>3731</v>
      </c>
      <c r="C1209" s="3" t="s">
        <v>91</v>
      </c>
      <c r="D1209" s="4"/>
      <c r="E1209" s="3"/>
      <c r="F1209" s="3" t="s">
        <v>3726</v>
      </c>
      <c r="G1209" s="3"/>
      <c r="H1209" s="3"/>
      <c r="I1209" s="4"/>
      <c r="J1209" s="5" t="s">
        <v>20</v>
      </c>
      <c r="K1209" s="6"/>
      <c r="L1209" s="5"/>
      <c r="M1209" s="5"/>
      <c r="N1209" s="6"/>
      <c r="O1209" s="7"/>
      <c r="P1209" s="8" t="s">
        <v>21</v>
      </c>
      <c r="Q1209" s="8" t="s">
        <v>22</v>
      </c>
    </row>
    <row r="1210" customFormat="false" ht="15" hidden="false" customHeight="false" outlineLevel="0" collapsed="false">
      <c r="A1210" s="2" t="n">
        <v>1209</v>
      </c>
      <c r="B1210" s="3" t="s">
        <v>3732</v>
      </c>
      <c r="C1210" s="3" t="s">
        <v>418</v>
      </c>
      <c r="D1210" s="4" t="s">
        <v>3733</v>
      </c>
      <c r="E1210" s="3" t="s">
        <v>3730</v>
      </c>
      <c r="F1210" s="3" t="s">
        <v>3726</v>
      </c>
      <c r="G1210" s="3" t="s">
        <v>3734</v>
      </c>
      <c r="H1210" s="3"/>
      <c r="I1210" s="4" t="s">
        <v>3735</v>
      </c>
      <c r="J1210" s="5" t="s">
        <v>20</v>
      </c>
      <c r="K1210" s="6"/>
      <c r="L1210" s="5"/>
      <c r="M1210" s="5"/>
      <c r="N1210" s="6"/>
      <c r="O1210" s="7"/>
      <c r="P1210" s="8" t="s">
        <v>21</v>
      </c>
      <c r="Q1210" s="8" t="s">
        <v>22</v>
      </c>
    </row>
    <row r="1211" customFormat="false" ht="15" hidden="false" customHeight="false" outlineLevel="0" collapsed="false">
      <c r="A1211" s="2" t="n">
        <v>1210</v>
      </c>
      <c r="B1211" s="3" t="s">
        <v>3736</v>
      </c>
      <c r="C1211" s="3" t="s">
        <v>116</v>
      </c>
      <c r="D1211" s="4" t="s">
        <v>3737</v>
      </c>
      <c r="E1211" s="3" t="s">
        <v>3730</v>
      </c>
      <c r="F1211" s="3" t="s">
        <v>3726</v>
      </c>
      <c r="G1211" s="3" t="s">
        <v>3738</v>
      </c>
      <c r="H1211" s="8" t="s">
        <v>3739</v>
      </c>
      <c r="I1211" s="4" t="s">
        <v>3740</v>
      </c>
      <c r="J1211" s="5" t="s">
        <v>20</v>
      </c>
      <c r="K1211" s="6"/>
      <c r="L1211" s="5"/>
      <c r="M1211" s="5"/>
      <c r="N1211" s="6"/>
      <c r="O1211" s="7"/>
      <c r="P1211" s="8" t="s">
        <v>21</v>
      </c>
      <c r="Q1211" s="8" t="s">
        <v>22</v>
      </c>
    </row>
    <row r="1212" customFormat="false" ht="15" hidden="false" customHeight="false" outlineLevel="0" collapsed="false">
      <c r="A1212" s="2" t="n">
        <v>1211</v>
      </c>
      <c r="B1212" s="3" t="s">
        <v>3741</v>
      </c>
      <c r="C1212" s="3"/>
      <c r="D1212" s="4"/>
      <c r="E1212" s="3"/>
      <c r="F1212" s="3" t="s">
        <v>3726</v>
      </c>
      <c r="G1212" s="3"/>
      <c r="H1212" s="3"/>
      <c r="I1212" s="4"/>
      <c r="J1212" s="5" t="s">
        <v>20</v>
      </c>
      <c r="K1212" s="6"/>
      <c r="L1212" s="5"/>
      <c r="M1212" s="5"/>
      <c r="N1212" s="6"/>
      <c r="O1212" s="7"/>
      <c r="P1212" s="8" t="s">
        <v>21</v>
      </c>
      <c r="Q1212" s="8" t="s">
        <v>22</v>
      </c>
    </row>
    <row r="1213" customFormat="false" ht="15" hidden="false" customHeight="false" outlineLevel="0" collapsed="false">
      <c r="A1213" s="2" t="n">
        <v>1212</v>
      </c>
      <c r="B1213" s="3" t="s">
        <v>3742</v>
      </c>
      <c r="C1213" s="3" t="s">
        <v>91</v>
      </c>
      <c r="D1213" s="4"/>
      <c r="E1213" s="3"/>
      <c r="F1213" s="3" t="s">
        <v>3726</v>
      </c>
      <c r="G1213" s="3"/>
      <c r="H1213" s="3"/>
      <c r="I1213" s="4"/>
      <c r="J1213" s="5" t="s">
        <v>20</v>
      </c>
      <c r="K1213" s="6"/>
      <c r="L1213" s="5"/>
      <c r="M1213" s="5"/>
      <c r="N1213" s="6"/>
      <c r="O1213" s="7"/>
      <c r="P1213" s="8" t="s">
        <v>21</v>
      </c>
      <c r="Q1213" s="8" t="s">
        <v>22</v>
      </c>
    </row>
    <row r="1214" customFormat="false" ht="15" hidden="false" customHeight="false" outlineLevel="0" collapsed="false">
      <c r="A1214" s="2" t="n">
        <v>1213</v>
      </c>
      <c r="B1214" s="3" t="s">
        <v>3743</v>
      </c>
      <c r="C1214" s="3"/>
      <c r="D1214" s="4"/>
      <c r="E1214" s="3"/>
      <c r="F1214" s="3" t="s">
        <v>3726</v>
      </c>
      <c r="G1214" s="3"/>
      <c r="H1214" s="3"/>
      <c r="I1214" s="4"/>
      <c r="J1214" s="5" t="s">
        <v>20</v>
      </c>
      <c r="K1214" s="6"/>
      <c r="L1214" s="5"/>
      <c r="M1214" s="5"/>
      <c r="N1214" s="6"/>
      <c r="O1214" s="7"/>
      <c r="P1214" s="8" t="s">
        <v>21</v>
      </c>
      <c r="Q1214" s="8" t="s">
        <v>22</v>
      </c>
    </row>
    <row r="1215" customFormat="false" ht="15" hidden="false" customHeight="false" outlineLevel="0" collapsed="false">
      <c r="A1215" s="2" t="n">
        <v>1214</v>
      </c>
      <c r="B1215" s="3" t="s">
        <v>3744</v>
      </c>
      <c r="C1215" s="3"/>
      <c r="D1215" s="4"/>
      <c r="E1215" s="3"/>
      <c r="F1215" s="3" t="s">
        <v>3726</v>
      </c>
      <c r="G1215" s="3"/>
      <c r="H1215" s="3"/>
      <c r="I1215" s="4"/>
      <c r="J1215" s="5" t="s">
        <v>20</v>
      </c>
      <c r="K1215" s="6"/>
      <c r="L1215" s="5"/>
      <c r="M1215" s="5"/>
      <c r="N1215" s="6"/>
      <c r="O1215" s="7"/>
      <c r="P1215" s="8" t="s">
        <v>21</v>
      </c>
      <c r="Q1215" s="8" t="s">
        <v>22</v>
      </c>
    </row>
    <row r="1216" customFormat="false" ht="15" hidden="false" customHeight="false" outlineLevel="0" collapsed="false">
      <c r="A1216" s="2" t="n">
        <v>1215</v>
      </c>
      <c r="B1216" s="3" t="s">
        <v>3745</v>
      </c>
      <c r="C1216" s="3" t="s">
        <v>41</v>
      </c>
      <c r="D1216" s="4"/>
      <c r="E1216" s="3"/>
      <c r="F1216" s="3" t="s">
        <v>3726</v>
      </c>
      <c r="G1216" s="3"/>
      <c r="H1216" s="3"/>
      <c r="I1216" s="4"/>
      <c r="J1216" s="5" t="s">
        <v>20</v>
      </c>
      <c r="K1216" s="6"/>
      <c r="L1216" s="5"/>
      <c r="M1216" s="5"/>
      <c r="N1216" s="6"/>
      <c r="O1216" s="7"/>
      <c r="P1216" s="8" t="s">
        <v>21</v>
      </c>
      <c r="Q1216" s="8" t="s">
        <v>22</v>
      </c>
    </row>
    <row r="1217" customFormat="false" ht="15" hidden="false" customHeight="false" outlineLevel="0" collapsed="false">
      <c r="A1217" s="2" t="n">
        <v>1216</v>
      </c>
      <c r="B1217" s="3" t="s">
        <v>3746</v>
      </c>
      <c r="C1217" s="3"/>
      <c r="D1217" s="4"/>
      <c r="E1217" s="3"/>
      <c r="F1217" s="3" t="s">
        <v>3726</v>
      </c>
      <c r="G1217" s="3" t="s">
        <v>3747</v>
      </c>
      <c r="H1217" s="8" t="s">
        <v>3748</v>
      </c>
      <c r="I1217" s="4"/>
      <c r="J1217" s="5" t="s">
        <v>20</v>
      </c>
      <c r="K1217" s="6"/>
      <c r="L1217" s="5"/>
      <c r="M1217" s="5"/>
      <c r="N1217" s="6"/>
      <c r="O1217" s="7"/>
      <c r="P1217" s="8" t="s">
        <v>21</v>
      </c>
      <c r="Q1217" s="8" t="s">
        <v>22</v>
      </c>
    </row>
    <row r="1218" customFormat="false" ht="15" hidden="false" customHeight="false" outlineLevel="0" collapsed="false">
      <c r="A1218" s="2" t="n">
        <v>1217</v>
      </c>
      <c r="B1218" s="3" t="s">
        <v>3228</v>
      </c>
      <c r="C1218" s="3" t="s">
        <v>91</v>
      </c>
      <c r="D1218" s="4" t="s">
        <v>3749</v>
      </c>
      <c r="E1218" s="3" t="s">
        <v>3730</v>
      </c>
      <c r="F1218" s="3" t="s">
        <v>3726</v>
      </c>
      <c r="G1218" s="3" t="s">
        <v>3750</v>
      </c>
      <c r="H1218" s="8" t="s">
        <v>3751</v>
      </c>
      <c r="I1218" s="4" t="s">
        <v>3752</v>
      </c>
      <c r="J1218" s="5" t="s">
        <v>20</v>
      </c>
      <c r="K1218" s="6"/>
      <c r="L1218" s="5"/>
      <c r="M1218" s="5"/>
      <c r="N1218" s="6"/>
      <c r="O1218" s="7"/>
      <c r="P1218" s="8" t="s">
        <v>21</v>
      </c>
      <c r="Q1218" s="8" t="s">
        <v>22</v>
      </c>
    </row>
    <row r="1219" customFormat="false" ht="23.85" hidden="false" customHeight="false" outlineLevel="0" collapsed="false">
      <c r="A1219" s="2" t="n">
        <v>1218</v>
      </c>
      <c r="B1219" s="3" t="s">
        <v>3753</v>
      </c>
      <c r="C1219" s="3"/>
      <c r="D1219" s="4"/>
      <c r="E1219" s="3"/>
      <c r="F1219" s="3" t="s">
        <v>3754</v>
      </c>
      <c r="G1219" s="3" t="s">
        <v>3755</v>
      </c>
      <c r="H1219" s="8" t="s">
        <v>3756</v>
      </c>
      <c r="I1219" s="4" t="s">
        <v>3757</v>
      </c>
      <c r="J1219" s="5" t="s">
        <v>20</v>
      </c>
      <c r="K1219" s="6"/>
      <c r="L1219" s="5"/>
      <c r="M1219" s="5"/>
      <c r="N1219" s="6"/>
      <c r="O1219" s="7"/>
      <c r="P1219" s="8" t="s">
        <v>21</v>
      </c>
      <c r="Q1219" s="8" t="s">
        <v>22</v>
      </c>
    </row>
    <row r="1220" customFormat="false" ht="15" hidden="false" customHeight="false" outlineLevel="0" collapsed="false">
      <c r="A1220" s="2" t="n">
        <v>1219</v>
      </c>
      <c r="B1220" s="3" t="s">
        <v>3758</v>
      </c>
      <c r="C1220" s="3" t="s">
        <v>24</v>
      </c>
      <c r="D1220" s="4"/>
      <c r="E1220" s="3"/>
      <c r="F1220" s="3" t="s">
        <v>3754</v>
      </c>
      <c r="G1220" s="3"/>
      <c r="H1220" s="3"/>
      <c r="I1220" s="4"/>
      <c r="J1220" s="5" t="s">
        <v>20</v>
      </c>
      <c r="K1220" s="6"/>
      <c r="L1220" s="5"/>
      <c r="M1220" s="5"/>
      <c r="N1220" s="6"/>
      <c r="O1220" s="7"/>
      <c r="P1220" s="8" t="s">
        <v>21</v>
      </c>
      <c r="Q1220" s="8" t="s">
        <v>22</v>
      </c>
    </row>
    <row r="1221" customFormat="false" ht="15" hidden="false" customHeight="false" outlineLevel="0" collapsed="false">
      <c r="A1221" s="2" t="n">
        <v>1220</v>
      </c>
      <c r="B1221" s="3" t="s">
        <v>3759</v>
      </c>
      <c r="C1221" s="3" t="s">
        <v>2362</v>
      </c>
      <c r="D1221" s="4" t="s">
        <v>3760</v>
      </c>
      <c r="E1221" s="3" t="s">
        <v>3354</v>
      </c>
      <c r="F1221" s="3" t="s">
        <v>3754</v>
      </c>
      <c r="G1221" s="3" t="s">
        <v>3761</v>
      </c>
      <c r="H1221" s="8" t="s">
        <v>3762</v>
      </c>
      <c r="I1221" s="4" t="s">
        <v>3763</v>
      </c>
      <c r="J1221" s="5" t="s">
        <v>20</v>
      </c>
      <c r="K1221" s="6"/>
      <c r="L1221" s="5"/>
      <c r="M1221" s="5"/>
      <c r="N1221" s="6"/>
      <c r="O1221" s="7"/>
      <c r="P1221" s="8" t="s">
        <v>21</v>
      </c>
      <c r="Q1221" s="8" t="s">
        <v>22</v>
      </c>
    </row>
    <row r="1222" customFormat="false" ht="15" hidden="false" customHeight="false" outlineLevel="0" collapsed="false">
      <c r="A1222" s="2" t="n">
        <v>1221</v>
      </c>
      <c r="B1222" s="3" t="s">
        <v>3764</v>
      </c>
      <c r="C1222" s="3" t="s">
        <v>116</v>
      </c>
      <c r="D1222" s="4"/>
      <c r="E1222" s="3"/>
      <c r="F1222" s="3" t="s">
        <v>3754</v>
      </c>
      <c r="G1222" s="3"/>
      <c r="H1222" s="3"/>
      <c r="I1222" s="4"/>
      <c r="J1222" s="5" t="s">
        <v>20</v>
      </c>
      <c r="K1222" s="6"/>
      <c r="L1222" s="5"/>
      <c r="M1222" s="5"/>
      <c r="N1222" s="6"/>
      <c r="O1222" s="7"/>
      <c r="P1222" s="8" t="s">
        <v>21</v>
      </c>
      <c r="Q1222" s="8" t="s">
        <v>22</v>
      </c>
    </row>
    <row r="1223" customFormat="false" ht="15" hidden="false" customHeight="false" outlineLevel="0" collapsed="false">
      <c r="A1223" s="2" t="n">
        <v>1222</v>
      </c>
      <c r="B1223" s="3" t="s">
        <v>3765</v>
      </c>
      <c r="C1223" s="3" t="s">
        <v>109</v>
      </c>
      <c r="D1223" s="4" t="s">
        <v>3766</v>
      </c>
      <c r="E1223" s="3" t="s">
        <v>3354</v>
      </c>
      <c r="F1223" s="3" t="s">
        <v>3754</v>
      </c>
      <c r="G1223" s="3" t="s">
        <v>3767</v>
      </c>
      <c r="H1223" s="3"/>
      <c r="I1223" s="4" t="s">
        <v>3768</v>
      </c>
      <c r="J1223" s="5" t="s">
        <v>20</v>
      </c>
      <c r="K1223" s="6"/>
      <c r="L1223" s="5"/>
      <c r="M1223" s="5"/>
      <c r="N1223" s="6"/>
      <c r="O1223" s="7"/>
      <c r="P1223" s="8" t="s">
        <v>21</v>
      </c>
      <c r="Q1223" s="8" t="s">
        <v>22</v>
      </c>
    </row>
    <row r="1224" customFormat="false" ht="15" hidden="false" customHeight="false" outlineLevel="0" collapsed="false">
      <c r="A1224" s="2" t="n">
        <v>1223</v>
      </c>
      <c r="B1224" s="3" t="s">
        <v>3769</v>
      </c>
      <c r="C1224" s="3" t="s">
        <v>24</v>
      </c>
      <c r="D1224" s="4"/>
      <c r="E1224" s="3"/>
      <c r="F1224" s="3" t="s">
        <v>3770</v>
      </c>
      <c r="G1224" s="3"/>
      <c r="H1224" s="3"/>
      <c r="I1224" s="4"/>
      <c r="J1224" s="5" t="s">
        <v>20</v>
      </c>
      <c r="K1224" s="6"/>
      <c r="L1224" s="5"/>
      <c r="M1224" s="5"/>
      <c r="N1224" s="6"/>
      <c r="O1224" s="7"/>
      <c r="P1224" s="8" t="s">
        <v>21</v>
      </c>
      <c r="Q1224" s="8" t="s">
        <v>22</v>
      </c>
    </row>
    <row r="1225" customFormat="false" ht="15" hidden="false" customHeight="false" outlineLevel="0" collapsed="false">
      <c r="A1225" s="2" t="n">
        <v>1224</v>
      </c>
      <c r="B1225" s="3" t="s">
        <v>3771</v>
      </c>
      <c r="C1225" s="3" t="s">
        <v>3772</v>
      </c>
      <c r="D1225" s="4" t="s">
        <v>3773</v>
      </c>
      <c r="E1225" s="3"/>
      <c r="F1225" s="3" t="s">
        <v>3770</v>
      </c>
      <c r="G1225" s="3" t="s">
        <v>3774</v>
      </c>
      <c r="H1225" s="8" t="s">
        <v>3775</v>
      </c>
      <c r="I1225" s="4" t="s">
        <v>3776</v>
      </c>
      <c r="J1225" s="5" t="s">
        <v>20</v>
      </c>
      <c r="K1225" s="6"/>
      <c r="L1225" s="5"/>
      <c r="M1225" s="5"/>
      <c r="N1225" s="6"/>
      <c r="O1225" s="7"/>
      <c r="P1225" s="8" t="s">
        <v>21</v>
      </c>
      <c r="Q1225" s="8" t="s">
        <v>22</v>
      </c>
    </row>
    <row r="1226" customFormat="false" ht="15" hidden="false" customHeight="false" outlineLevel="0" collapsed="false">
      <c r="A1226" s="2" t="n">
        <v>1225</v>
      </c>
      <c r="B1226" s="3" t="s">
        <v>3777</v>
      </c>
      <c r="C1226" s="3" t="s">
        <v>3778</v>
      </c>
      <c r="D1226" s="4" t="s">
        <v>3773</v>
      </c>
      <c r="E1226" s="3"/>
      <c r="F1226" s="3" t="s">
        <v>3770</v>
      </c>
      <c r="G1226" s="3" t="s">
        <v>3779</v>
      </c>
      <c r="H1226" s="3"/>
      <c r="I1226" s="4"/>
      <c r="J1226" s="5" t="s">
        <v>20</v>
      </c>
      <c r="K1226" s="6"/>
      <c r="L1226" s="5"/>
      <c r="M1226" s="5"/>
      <c r="N1226" s="6"/>
      <c r="O1226" s="7"/>
      <c r="P1226" s="8" t="s">
        <v>21</v>
      </c>
      <c r="Q1226" s="8" t="s">
        <v>22</v>
      </c>
    </row>
    <row r="1227" customFormat="false" ht="23.85" hidden="false" customHeight="false" outlineLevel="0" collapsed="false">
      <c r="A1227" s="2" t="n">
        <v>1226</v>
      </c>
      <c r="B1227" s="3" t="s">
        <v>3412</v>
      </c>
      <c r="C1227" s="3"/>
      <c r="D1227" s="4" t="s">
        <v>3773</v>
      </c>
      <c r="E1227" s="3"/>
      <c r="F1227" s="3" t="s">
        <v>3770</v>
      </c>
      <c r="G1227" s="3" t="s">
        <v>3780</v>
      </c>
      <c r="H1227" s="8" t="s">
        <v>3415</v>
      </c>
      <c r="I1227" s="4" t="s">
        <v>3781</v>
      </c>
      <c r="J1227" s="5" t="s">
        <v>20</v>
      </c>
      <c r="K1227" s="6"/>
      <c r="L1227" s="5"/>
      <c r="M1227" s="5"/>
      <c r="N1227" s="6"/>
      <c r="O1227" s="7"/>
      <c r="P1227" s="8" t="s">
        <v>21</v>
      </c>
      <c r="Q1227" s="8" t="s">
        <v>22</v>
      </c>
    </row>
    <row r="1228" customFormat="false" ht="15" hidden="false" customHeight="false" outlineLevel="0" collapsed="false">
      <c r="A1228" s="2" t="n">
        <v>1227</v>
      </c>
      <c r="B1228" s="3" t="s">
        <v>3782</v>
      </c>
      <c r="C1228" s="3" t="s">
        <v>3783</v>
      </c>
      <c r="D1228" s="4" t="s">
        <v>3784</v>
      </c>
      <c r="E1228" s="3" t="s">
        <v>3785</v>
      </c>
      <c r="F1228" s="3" t="s">
        <v>3770</v>
      </c>
      <c r="G1228" s="3" t="s">
        <v>3786</v>
      </c>
      <c r="H1228" s="8" t="s">
        <v>3787</v>
      </c>
      <c r="I1228" s="4"/>
      <c r="J1228" s="5" t="s">
        <v>20</v>
      </c>
      <c r="K1228" s="6"/>
      <c r="L1228" s="5"/>
      <c r="M1228" s="5"/>
      <c r="N1228" s="6"/>
      <c r="O1228" s="7"/>
      <c r="P1228" s="8" t="s">
        <v>21</v>
      </c>
      <c r="Q1228" s="8" t="s">
        <v>22</v>
      </c>
    </row>
    <row r="1229" customFormat="false" ht="15" hidden="false" customHeight="false" outlineLevel="0" collapsed="false">
      <c r="A1229" s="2" t="n">
        <v>1228</v>
      </c>
      <c r="B1229" s="3" t="s">
        <v>3788</v>
      </c>
      <c r="C1229" s="3" t="s">
        <v>91</v>
      </c>
      <c r="D1229" s="4"/>
      <c r="E1229" s="3"/>
      <c r="F1229" s="3" t="s">
        <v>3770</v>
      </c>
      <c r="G1229" s="3" t="s">
        <v>3789</v>
      </c>
      <c r="H1229" s="8" t="s">
        <v>3790</v>
      </c>
      <c r="I1229" s="4"/>
      <c r="J1229" s="5" t="s">
        <v>20</v>
      </c>
      <c r="K1229" s="6"/>
      <c r="L1229" s="5"/>
      <c r="M1229" s="5"/>
      <c r="N1229" s="6"/>
      <c r="O1229" s="7"/>
      <c r="P1229" s="8" t="s">
        <v>21</v>
      </c>
      <c r="Q1229" s="8" t="s">
        <v>22</v>
      </c>
    </row>
    <row r="1230" customFormat="false" ht="15" hidden="false" customHeight="false" outlineLevel="0" collapsed="false">
      <c r="A1230" s="2" t="n">
        <v>1229</v>
      </c>
      <c r="B1230" s="3" t="s">
        <v>3791</v>
      </c>
      <c r="C1230" s="3" t="s">
        <v>120</v>
      </c>
      <c r="D1230" s="4" t="s">
        <v>3792</v>
      </c>
      <c r="E1230" s="3" t="s">
        <v>3793</v>
      </c>
      <c r="F1230" s="3" t="s">
        <v>3770</v>
      </c>
      <c r="G1230" s="3"/>
      <c r="H1230" s="3"/>
      <c r="I1230" s="4"/>
      <c r="J1230" s="5" t="s">
        <v>20</v>
      </c>
      <c r="K1230" s="6"/>
      <c r="L1230" s="5"/>
      <c r="M1230" s="5"/>
      <c r="N1230" s="6"/>
      <c r="O1230" s="7"/>
      <c r="P1230" s="8" t="s">
        <v>21</v>
      </c>
      <c r="Q1230" s="8" t="s">
        <v>22</v>
      </c>
    </row>
    <row r="1231" customFormat="false" ht="15" hidden="false" customHeight="false" outlineLevel="0" collapsed="false">
      <c r="A1231" s="2" t="n">
        <v>1230</v>
      </c>
      <c r="B1231" s="3" t="s">
        <v>3794</v>
      </c>
      <c r="C1231" s="3"/>
      <c r="D1231" s="4"/>
      <c r="E1231" s="3"/>
      <c r="F1231" s="3" t="s">
        <v>3770</v>
      </c>
      <c r="G1231" s="3"/>
      <c r="H1231" s="8" t="s">
        <v>3795</v>
      </c>
      <c r="I1231" s="4"/>
      <c r="J1231" s="5" t="s">
        <v>20</v>
      </c>
      <c r="K1231" s="6"/>
      <c r="L1231" s="5"/>
      <c r="M1231" s="5"/>
      <c r="N1231" s="6"/>
      <c r="O1231" s="7"/>
      <c r="P1231" s="8" t="s">
        <v>21</v>
      </c>
      <c r="Q1231" s="8" t="s">
        <v>22</v>
      </c>
    </row>
    <row r="1232" customFormat="false" ht="15" hidden="false" customHeight="false" outlineLevel="0" collapsed="false">
      <c r="A1232" s="2" t="n">
        <v>1231</v>
      </c>
      <c r="B1232" s="3" t="s">
        <v>3796</v>
      </c>
      <c r="C1232" s="3" t="s">
        <v>24</v>
      </c>
      <c r="D1232" s="4"/>
      <c r="E1232" s="3"/>
      <c r="F1232" s="3" t="s">
        <v>3797</v>
      </c>
      <c r="G1232" s="3"/>
      <c r="H1232" s="3"/>
      <c r="I1232" s="4"/>
      <c r="J1232" s="5" t="s">
        <v>20</v>
      </c>
      <c r="K1232" s="6"/>
      <c r="L1232" s="5"/>
      <c r="M1232" s="5"/>
      <c r="N1232" s="6"/>
      <c r="O1232" s="7"/>
      <c r="P1232" s="8" t="s">
        <v>21</v>
      </c>
      <c r="Q1232" s="8" t="s">
        <v>22</v>
      </c>
    </row>
    <row r="1233" customFormat="false" ht="15" hidden="false" customHeight="false" outlineLevel="0" collapsed="false">
      <c r="A1233" s="2" t="n">
        <v>1232</v>
      </c>
      <c r="B1233" s="3" t="s">
        <v>3798</v>
      </c>
      <c r="C1233" s="3"/>
      <c r="D1233" s="4"/>
      <c r="E1233" s="3"/>
      <c r="F1233" s="3" t="s">
        <v>3797</v>
      </c>
      <c r="G1233" s="3"/>
      <c r="H1233" s="3"/>
      <c r="I1233" s="4"/>
      <c r="J1233" s="5" t="s">
        <v>20</v>
      </c>
      <c r="K1233" s="6"/>
      <c r="L1233" s="5"/>
      <c r="M1233" s="5"/>
      <c r="N1233" s="6"/>
      <c r="O1233" s="7"/>
      <c r="P1233" s="8" t="s">
        <v>21</v>
      </c>
      <c r="Q1233" s="8" t="s">
        <v>22</v>
      </c>
    </row>
    <row r="1234" customFormat="false" ht="15" hidden="false" customHeight="false" outlineLevel="0" collapsed="false">
      <c r="A1234" s="2" t="n">
        <v>1233</v>
      </c>
      <c r="B1234" s="3" t="s">
        <v>3799</v>
      </c>
      <c r="C1234" s="3" t="s">
        <v>126</v>
      </c>
      <c r="D1234" s="4"/>
      <c r="E1234" s="3"/>
      <c r="F1234" s="3" t="s">
        <v>3800</v>
      </c>
      <c r="G1234" s="3"/>
      <c r="H1234" s="3"/>
      <c r="I1234" s="4"/>
      <c r="J1234" s="5" t="s">
        <v>20</v>
      </c>
      <c r="K1234" s="6"/>
      <c r="L1234" s="5"/>
      <c r="M1234" s="5"/>
      <c r="N1234" s="6"/>
      <c r="O1234" s="7"/>
      <c r="P1234" s="8" t="s">
        <v>21</v>
      </c>
      <c r="Q1234" s="8" t="s">
        <v>22</v>
      </c>
    </row>
    <row r="1235" customFormat="false" ht="15" hidden="false" customHeight="false" outlineLevel="0" collapsed="false">
      <c r="A1235" s="2" t="n">
        <v>1234</v>
      </c>
      <c r="B1235" s="3" t="s">
        <v>3801</v>
      </c>
      <c r="C1235" s="3" t="s">
        <v>24</v>
      </c>
      <c r="D1235" s="4"/>
      <c r="E1235" s="3"/>
      <c r="F1235" s="3" t="s">
        <v>3800</v>
      </c>
      <c r="G1235" s="3"/>
      <c r="H1235" s="3"/>
      <c r="I1235" s="4"/>
      <c r="J1235" s="5" t="s">
        <v>20</v>
      </c>
      <c r="K1235" s="6"/>
      <c r="L1235" s="5"/>
      <c r="M1235" s="5"/>
      <c r="N1235" s="6"/>
      <c r="O1235" s="7"/>
      <c r="P1235" s="8" t="s">
        <v>21</v>
      </c>
      <c r="Q1235" s="8" t="s">
        <v>22</v>
      </c>
    </row>
    <row r="1236" customFormat="false" ht="15" hidden="false" customHeight="false" outlineLevel="0" collapsed="false">
      <c r="A1236" s="2" t="n">
        <v>1235</v>
      </c>
      <c r="B1236" s="3" t="s">
        <v>3802</v>
      </c>
      <c r="C1236" s="3" t="s">
        <v>24</v>
      </c>
      <c r="D1236" s="4"/>
      <c r="E1236" s="3"/>
      <c r="F1236" s="3" t="s">
        <v>3800</v>
      </c>
      <c r="G1236" s="3" t="s">
        <v>3803</v>
      </c>
      <c r="H1236" s="3"/>
      <c r="I1236" s="4" t="s">
        <v>3804</v>
      </c>
      <c r="J1236" s="5" t="s">
        <v>20</v>
      </c>
      <c r="K1236" s="6"/>
      <c r="L1236" s="5"/>
      <c r="M1236" s="5"/>
      <c r="N1236" s="6"/>
      <c r="O1236" s="7"/>
      <c r="P1236" s="8" t="s">
        <v>21</v>
      </c>
      <c r="Q1236" s="8" t="s">
        <v>22</v>
      </c>
    </row>
    <row r="1237" customFormat="false" ht="15" hidden="false" customHeight="false" outlineLevel="0" collapsed="false">
      <c r="A1237" s="2" t="n">
        <v>1236</v>
      </c>
      <c r="B1237" s="3" t="s">
        <v>3805</v>
      </c>
      <c r="C1237" s="3"/>
      <c r="D1237" s="4"/>
      <c r="E1237" s="3"/>
      <c r="F1237" s="3" t="s">
        <v>3800</v>
      </c>
      <c r="G1237" s="3"/>
      <c r="H1237" s="8" t="s">
        <v>3806</v>
      </c>
      <c r="I1237" s="4"/>
      <c r="J1237" s="5" t="s">
        <v>20</v>
      </c>
      <c r="K1237" s="6"/>
      <c r="L1237" s="5"/>
      <c r="M1237" s="5"/>
      <c r="N1237" s="6"/>
      <c r="O1237" s="7"/>
      <c r="P1237" s="8" t="s">
        <v>21</v>
      </c>
      <c r="Q1237" s="8" t="s">
        <v>22</v>
      </c>
    </row>
    <row r="1238" customFormat="false" ht="15" hidden="false" customHeight="false" outlineLevel="0" collapsed="false">
      <c r="A1238" s="2" t="n">
        <v>1237</v>
      </c>
      <c r="B1238" s="3" t="s">
        <v>3807</v>
      </c>
      <c r="C1238" s="3" t="s">
        <v>89</v>
      </c>
      <c r="D1238" s="4" t="s">
        <v>3808</v>
      </c>
      <c r="E1238" s="3" t="s">
        <v>3809</v>
      </c>
      <c r="F1238" s="3" t="s">
        <v>3810</v>
      </c>
      <c r="G1238" s="3"/>
      <c r="H1238" s="3"/>
      <c r="I1238" s="4"/>
      <c r="J1238" s="5" t="s">
        <v>20</v>
      </c>
      <c r="K1238" s="6"/>
      <c r="L1238" s="5"/>
      <c r="M1238" s="5"/>
      <c r="N1238" s="6"/>
      <c r="O1238" s="7"/>
      <c r="P1238" s="8" t="s">
        <v>21</v>
      </c>
      <c r="Q1238" s="8" t="s">
        <v>22</v>
      </c>
    </row>
    <row r="1239" customFormat="false" ht="15" hidden="false" customHeight="false" outlineLevel="0" collapsed="false">
      <c r="A1239" s="2" t="n">
        <v>1238</v>
      </c>
      <c r="B1239" s="3" t="s">
        <v>3811</v>
      </c>
      <c r="C1239" s="3" t="s">
        <v>24</v>
      </c>
      <c r="D1239" s="4" t="s">
        <v>3812</v>
      </c>
      <c r="E1239" s="3" t="s">
        <v>3809</v>
      </c>
      <c r="F1239" s="3" t="s">
        <v>3810</v>
      </c>
      <c r="G1239" s="3" t="s">
        <v>3813</v>
      </c>
      <c r="H1239" s="8" t="s">
        <v>3814</v>
      </c>
      <c r="I1239" s="4" t="s">
        <v>3815</v>
      </c>
      <c r="J1239" s="5" t="s">
        <v>20</v>
      </c>
      <c r="K1239" s="6"/>
      <c r="L1239" s="5"/>
      <c r="M1239" s="5"/>
      <c r="N1239" s="6"/>
      <c r="O1239" s="7"/>
      <c r="P1239" s="8" t="s">
        <v>21</v>
      </c>
      <c r="Q1239" s="8" t="s">
        <v>22</v>
      </c>
    </row>
    <row r="1240" customFormat="false" ht="15" hidden="false" customHeight="false" outlineLevel="0" collapsed="false">
      <c r="A1240" s="2" t="n">
        <v>1239</v>
      </c>
      <c r="B1240" s="3" t="s">
        <v>3816</v>
      </c>
      <c r="C1240" s="3" t="s">
        <v>1311</v>
      </c>
      <c r="D1240" s="4" t="s">
        <v>3817</v>
      </c>
      <c r="E1240" s="3" t="s">
        <v>3809</v>
      </c>
      <c r="F1240" s="3" t="s">
        <v>3810</v>
      </c>
      <c r="G1240" s="3" t="s">
        <v>3818</v>
      </c>
      <c r="H1240" s="8" t="s">
        <v>3819</v>
      </c>
      <c r="I1240" s="4" t="s">
        <v>3820</v>
      </c>
      <c r="J1240" s="5" t="s">
        <v>20</v>
      </c>
      <c r="K1240" s="6"/>
      <c r="L1240" s="5"/>
      <c r="M1240" s="5"/>
      <c r="N1240" s="6"/>
      <c r="O1240" s="7"/>
      <c r="P1240" s="8" t="s">
        <v>21</v>
      </c>
      <c r="Q1240" s="8" t="s">
        <v>22</v>
      </c>
    </row>
    <row r="1241" customFormat="false" ht="15" hidden="false" customHeight="false" outlineLevel="0" collapsed="false">
      <c r="A1241" s="2" t="n">
        <v>1240</v>
      </c>
      <c r="B1241" s="3" t="s">
        <v>3821</v>
      </c>
      <c r="C1241" s="3" t="s">
        <v>24</v>
      </c>
      <c r="D1241" s="4"/>
      <c r="E1241" s="3"/>
      <c r="F1241" s="3" t="s">
        <v>3810</v>
      </c>
      <c r="G1241" s="3"/>
      <c r="H1241" s="3"/>
      <c r="I1241" s="4"/>
      <c r="J1241" s="5" t="s">
        <v>20</v>
      </c>
      <c r="K1241" s="6"/>
      <c r="L1241" s="5"/>
      <c r="M1241" s="5"/>
      <c r="N1241" s="6"/>
      <c r="O1241" s="7"/>
      <c r="P1241" s="8" t="s">
        <v>21</v>
      </c>
      <c r="Q1241" s="8" t="s">
        <v>22</v>
      </c>
    </row>
    <row r="1242" customFormat="false" ht="15" hidden="false" customHeight="false" outlineLevel="0" collapsed="false">
      <c r="A1242" s="2" t="n">
        <v>1241</v>
      </c>
      <c r="B1242" s="3" t="s">
        <v>3822</v>
      </c>
      <c r="C1242" s="3"/>
      <c r="D1242" s="4" t="s">
        <v>3823</v>
      </c>
      <c r="E1242" s="3"/>
      <c r="F1242" s="3" t="s">
        <v>3824</v>
      </c>
      <c r="G1242" s="3"/>
      <c r="H1242" s="3"/>
      <c r="I1242" s="4"/>
      <c r="J1242" s="5" t="s">
        <v>20</v>
      </c>
      <c r="K1242" s="6"/>
      <c r="L1242" s="5"/>
      <c r="M1242" s="5"/>
      <c r="N1242" s="6"/>
      <c r="O1242" s="7"/>
      <c r="P1242" s="8" t="s">
        <v>21</v>
      </c>
      <c r="Q1242" s="8" t="s">
        <v>22</v>
      </c>
    </row>
    <row r="1243" customFormat="false" ht="15" hidden="false" customHeight="false" outlineLevel="0" collapsed="false">
      <c r="A1243" s="2" t="n">
        <v>1242</v>
      </c>
      <c r="B1243" s="3" t="s">
        <v>3825</v>
      </c>
      <c r="C1243" s="3" t="s">
        <v>126</v>
      </c>
      <c r="D1243" s="4" t="s">
        <v>3826</v>
      </c>
      <c r="E1243" s="3"/>
      <c r="F1243" s="3" t="s">
        <v>3824</v>
      </c>
      <c r="G1243" s="3"/>
      <c r="H1243" s="3"/>
      <c r="I1243" s="4"/>
      <c r="J1243" s="5" t="s">
        <v>20</v>
      </c>
      <c r="K1243" s="6"/>
      <c r="L1243" s="5"/>
      <c r="M1243" s="5"/>
      <c r="N1243" s="6"/>
      <c r="O1243" s="7"/>
      <c r="P1243" s="8" t="s">
        <v>21</v>
      </c>
      <c r="Q1243" s="8" t="s">
        <v>22</v>
      </c>
    </row>
    <row r="1244" customFormat="false" ht="15" hidden="false" customHeight="false" outlineLevel="0" collapsed="false">
      <c r="A1244" s="2" t="n">
        <v>1243</v>
      </c>
      <c r="B1244" s="3" t="s">
        <v>3827</v>
      </c>
      <c r="C1244" s="3"/>
      <c r="D1244" s="4" t="s">
        <v>3828</v>
      </c>
      <c r="E1244" s="3" t="s">
        <v>3061</v>
      </c>
      <c r="F1244" s="3" t="s">
        <v>3824</v>
      </c>
      <c r="G1244" s="3"/>
      <c r="H1244" s="3"/>
      <c r="I1244" s="4"/>
      <c r="J1244" s="5" t="s">
        <v>20</v>
      </c>
      <c r="K1244" s="6"/>
      <c r="L1244" s="5"/>
      <c r="M1244" s="5"/>
      <c r="N1244" s="6"/>
      <c r="O1244" s="7"/>
      <c r="P1244" s="8" t="s">
        <v>21</v>
      </c>
      <c r="Q1244" s="8" t="s">
        <v>22</v>
      </c>
    </row>
    <row r="1245" customFormat="false" ht="15" hidden="false" customHeight="false" outlineLevel="0" collapsed="false">
      <c r="A1245" s="2" t="n">
        <v>1244</v>
      </c>
      <c r="B1245" s="3" t="s">
        <v>3829</v>
      </c>
      <c r="C1245" s="3"/>
      <c r="D1245" s="4" t="s">
        <v>3830</v>
      </c>
      <c r="E1245" s="3" t="s">
        <v>3061</v>
      </c>
      <c r="F1245" s="3" t="s">
        <v>3824</v>
      </c>
      <c r="G1245" s="3" t="s">
        <v>3831</v>
      </c>
      <c r="H1245" s="3"/>
      <c r="I1245" s="4"/>
      <c r="J1245" s="5" t="s">
        <v>20</v>
      </c>
      <c r="K1245" s="6"/>
      <c r="L1245" s="5"/>
      <c r="M1245" s="5"/>
      <c r="N1245" s="6"/>
      <c r="O1245" s="7"/>
      <c r="P1245" s="8" t="s">
        <v>21</v>
      </c>
      <c r="Q1245" s="8" t="s">
        <v>22</v>
      </c>
    </row>
    <row r="1246" customFormat="false" ht="15" hidden="false" customHeight="false" outlineLevel="0" collapsed="false">
      <c r="A1246" s="2" t="n">
        <v>1245</v>
      </c>
      <c r="B1246" s="3" t="s">
        <v>3832</v>
      </c>
      <c r="C1246" s="3"/>
      <c r="D1246" s="4"/>
      <c r="E1246" s="3"/>
      <c r="F1246" s="3" t="s">
        <v>3824</v>
      </c>
      <c r="G1246" s="3" t="s">
        <v>3833</v>
      </c>
      <c r="H1246" s="3"/>
      <c r="I1246" s="4"/>
      <c r="J1246" s="5" t="s">
        <v>20</v>
      </c>
      <c r="K1246" s="6"/>
      <c r="L1246" s="5"/>
      <c r="M1246" s="5"/>
      <c r="N1246" s="6"/>
      <c r="O1246" s="7"/>
      <c r="P1246" s="8" t="s">
        <v>21</v>
      </c>
      <c r="Q1246" s="8" t="s">
        <v>22</v>
      </c>
    </row>
    <row r="1247" customFormat="false" ht="15" hidden="false" customHeight="false" outlineLevel="0" collapsed="false">
      <c r="A1247" s="2" t="n">
        <v>1246</v>
      </c>
      <c r="B1247" s="3" t="s">
        <v>3341</v>
      </c>
      <c r="C1247" s="3" t="s">
        <v>3834</v>
      </c>
      <c r="D1247" s="4" t="s">
        <v>3835</v>
      </c>
      <c r="E1247" s="3" t="s">
        <v>3061</v>
      </c>
      <c r="F1247" s="3" t="s">
        <v>3824</v>
      </c>
      <c r="G1247" s="3" t="s">
        <v>3836</v>
      </c>
      <c r="H1247" s="3"/>
      <c r="I1247" s="4"/>
      <c r="J1247" s="5" t="s">
        <v>20</v>
      </c>
      <c r="K1247" s="6"/>
      <c r="L1247" s="5"/>
      <c r="M1247" s="5"/>
      <c r="N1247" s="6"/>
      <c r="O1247" s="7"/>
      <c r="P1247" s="8" t="s">
        <v>21</v>
      </c>
      <c r="Q1247" s="8" t="s">
        <v>22</v>
      </c>
    </row>
    <row r="1248" customFormat="false" ht="15" hidden="false" customHeight="false" outlineLevel="0" collapsed="false">
      <c r="A1248" s="2" t="n">
        <v>1247</v>
      </c>
      <c r="B1248" s="3" t="s">
        <v>3837</v>
      </c>
      <c r="C1248" s="3"/>
      <c r="D1248" s="4"/>
      <c r="E1248" s="3"/>
      <c r="F1248" s="3" t="s">
        <v>3824</v>
      </c>
      <c r="G1248" s="3" t="s">
        <v>3838</v>
      </c>
      <c r="H1248" s="8" t="s">
        <v>3839</v>
      </c>
      <c r="I1248" s="4"/>
      <c r="J1248" s="5" t="s">
        <v>20</v>
      </c>
      <c r="K1248" s="6"/>
      <c r="L1248" s="5"/>
      <c r="M1248" s="5"/>
      <c r="N1248" s="6"/>
      <c r="O1248" s="7"/>
      <c r="P1248" s="8" t="s">
        <v>21</v>
      </c>
      <c r="Q1248" s="8" t="s">
        <v>22</v>
      </c>
    </row>
    <row r="1249" customFormat="false" ht="15" hidden="false" customHeight="false" outlineLevel="0" collapsed="false">
      <c r="A1249" s="2" t="n">
        <v>1248</v>
      </c>
      <c r="B1249" s="3" t="s">
        <v>3840</v>
      </c>
      <c r="C1249" s="3"/>
      <c r="D1249" s="4" t="s">
        <v>3841</v>
      </c>
      <c r="E1249" s="3"/>
      <c r="F1249" s="3" t="s">
        <v>3824</v>
      </c>
      <c r="G1249" s="3" t="s">
        <v>3842</v>
      </c>
      <c r="H1249" s="3"/>
      <c r="I1249" s="4"/>
      <c r="J1249" s="5" t="s">
        <v>20</v>
      </c>
      <c r="K1249" s="6"/>
      <c r="L1249" s="5"/>
      <c r="M1249" s="5"/>
      <c r="N1249" s="6"/>
      <c r="O1249" s="7"/>
      <c r="P1249" s="8" t="s">
        <v>21</v>
      </c>
      <c r="Q1249" s="8" t="s">
        <v>22</v>
      </c>
    </row>
    <row r="1250" customFormat="false" ht="15" hidden="false" customHeight="false" outlineLevel="0" collapsed="false">
      <c r="A1250" s="2" t="n">
        <v>1249</v>
      </c>
      <c r="B1250" s="3" t="s">
        <v>3843</v>
      </c>
      <c r="C1250" s="3" t="s">
        <v>120</v>
      </c>
      <c r="D1250" s="4" t="s">
        <v>3844</v>
      </c>
      <c r="E1250" s="3"/>
      <c r="F1250" s="3" t="s">
        <v>3824</v>
      </c>
      <c r="G1250" s="3" t="s">
        <v>3845</v>
      </c>
      <c r="H1250" s="8" t="s">
        <v>3846</v>
      </c>
      <c r="I1250" s="4" t="s">
        <v>3847</v>
      </c>
      <c r="J1250" s="5" t="s">
        <v>20</v>
      </c>
      <c r="K1250" s="6"/>
      <c r="L1250" s="5"/>
      <c r="M1250" s="5"/>
      <c r="N1250" s="6"/>
      <c r="O1250" s="7"/>
      <c r="P1250" s="8" t="s">
        <v>21</v>
      </c>
      <c r="Q1250" s="8" t="s">
        <v>22</v>
      </c>
    </row>
    <row r="1251" customFormat="false" ht="15" hidden="false" customHeight="false" outlineLevel="0" collapsed="false">
      <c r="A1251" s="2" t="n">
        <v>1250</v>
      </c>
      <c r="B1251" s="3" t="s">
        <v>3848</v>
      </c>
      <c r="C1251" s="3"/>
      <c r="D1251" s="4"/>
      <c r="E1251" s="3"/>
      <c r="F1251" s="3" t="s">
        <v>3824</v>
      </c>
      <c r="G1251" s="3"/>
      <c r="H1251" s="3"/>
      <c r="I1251" s="4"/>
      <c r="J1251" s="5" t="s">
        <v>20</v>
      </c>
      <c r="K1251" s="6"/>
      <c r="L1251" s="5"/>
      <c r="M1251" s="5"/>
      <c r="N1251" s="6"/>
      <c r="O1251" s="7"/>
      <c r="P1251" s="8" t="s">
        <v>21</v>
      </c>
      <c r="Q1251" s="8" t="s">
        <v>22</v>
      </c>
    </row>
    <row r="1252" customFormat="false" ht="15" hidden="false" customHeight="false" outlineLevel="0" collapsed="false">
      <c r="A1252" s="2" t="n">
        <v>1251</v>
      </c>
      <c r="B1252" s="3" t="s">
        <v>3849</v>
      </c>
      <c r="C1252" s="3"/>
      <c r="D1252" s="4"/>
      <c r="E1252" s="3"/>
      <c r="F1252" s="3" t="s">
        <v>3824</v>
      </c>
      <c r="G1252" s="3"/>
      <c r="H1252" s="3"/>
      <c r="I1252" s="4"/>
      <c r="J1252" s="5" t="s">
        <v>20</v>
      </c>
      <c r="K1252" s="6"/>
      <c r="L1252" s="5"/>
      <c r="M1252" s="5"/>
      <c r="N1252" s="6"/>
      <c r="O1252" s="7"/>
      <c r="P1252" s="8" t="s">
        <v>21</v>
      </c>
      <c r="Q1252" s="8" t="s">
        <v>22</v>
      </c>
    </row>
    <row r="1253" customFormat="false" ht="15" hidden="false" customHeight="false" outlineLevel="0" collapsed="false">
      <c r="A1253" s="2" t="n">
        <v>1252</v>
      </c>
      <c r="B1253" s="3" t="s">
        <v>3850</v>
      </c>
      <c r="C1253" s="3"/>
      <c r="D1253" s="4" t="s">
        <v>3835</v>
      </c>
      <c r="E1253" s="3" t="s">
        <v>3061</v>
      </c>
      <c r="F1253" s="3" t="s">
        <v>3824</v>
      </c>
      <c r="G1253" s="3" t="s">
        <v>3851</v>
      </c>
      <c r="H1253" s="3"/>
      <c r="I1253" s="4"/>
      <c r="J1253" s="5" t="s">
        <v>20</v>
      </c>
      <c r="K1253" s="6"/>
      <c r="L1253" s="5"/>
      <c r="M1253" s="5"/>
      <c r="N1253" s="6"/>
      <c r="O1253" s="7"/>
      <c r="P1253" s="8" t="s">
        <v>21</v>
      </c>
      <c r="Q1253" s="8" t="s">
        <v>22</v>
      </c>
    </row>
    <row r="1254" customFormat="false" ht="15" hidden="false" customHeight="false" outlineLevel="0" collapsed="false">
      <c r="A1254" s="2" t="n">
        <v>1253</v>
      </c>
      <c r="B1254" s="3" t="s">
        <v>3852</v>
      </c>
      <c r="C1254" s="3"/>
      <c r="D1254" s="4"/>
      <c r="E1254" s="3"/>
      <c r="F1254" s="3" t="s">
        <v>3824</v>
      </c>
      <c r="G1254" s="3"/>
      <c r="H1254" s="3"/>
      <c r="I1254" s="4"/>
      <c r="J1254" s="5" t="s">
        <v>20</v>
      </c>
      <c r="K1254" s="6"/>
      <c r="L1254" s="5"/>
      <c r="M1254" s="5"/>
      <c r="N1254" s="6"/>
      <c r="O1254" s="7"/>
      <c r="P1254" s="8" t="s">
        <v>21</v>
      </c>
      <c r="Q1254" s="8" t="s">
        <v>22</v>
      </c>
    </row>
    <row r="1255" customFormat="false" ht="15" hidden="false" customHeight="false" outlineLevel="0" collapsed="false">
      <c r="A1255" s="2" t="n">
        <v>1254</v>
      </c>
      <c r="B1255" s="3" t="s">
        <v>3853</v>
      </c>
      <c r="C1255" s="3"/>
      <c r="D1255" s="4"/>
      <c r="E1255" s="3"/>
      <c r="F1255" s="3" t="s">
        <v>3824</v>
      </c>
      <c r="G1255" s="3" t="s">
        <v>3854</v>
      </c>
      <c r="H1255" s="8" t="s">
        <v>3855</v>
      </c>
      <c r="I1255" s="4" t="s">
        <v>208</v>
      </c>
      <c r="J1255" s="5" t="s">
        <v>20</v>
      </c>
      <c r="K1255" s="6"/>
      <c r="L1255" s="5"/>
      <c r="M1255" s="5"/>
      <c r="N1255" s="6"/>
      <c r="O1255" s="7"/>
      <c r="P1255" s="8" t="s">
        <v>21</v>
      </c>
      <c r="Q1255" s="8" t="s">
        <v>22</v>
      </c>
    </row>
    <row r="1256" customFormat="false" ht="15" hidden="false" customHeight="false" outlineLevel="0" collapsed="false">
      <c r="A1256" s="2" t="n">
        <v>1255</v>
      </c>
      <c r="B1256" s="3" t="s">
        <v>3856</v>
      </c>
      <c r="C1256" s="3" t="s">
        <v>18</v>
      </c>
      <c r="D1256" s="4" t="s">
        <v>3828</v>
      </c>
      <c r="E1256" s="3" t="s">
        <v>3061</v>
      </c>
      <c r="F1256" s="3" t="s">
        <v>3824</v>
      </c>
      <c r="G1256" s="3" t="s">
        <v>3857</v>
      </c>
      <c r="H1256" s="3"/>
      <c r="I1256" s="4"/>
      <c r="J1256" s="5" t="s">
        <v>20</v>
      </c>
      <c r="K1256" s="6"/>
      <c r="L1256" s="5"/>
      <c r="M1256" s="5"/>
      <c r="N1256" s="6"/>
      <c r="O1256" s="7"/>
      <c r="P1256" s="8" t="s">
        <v>21</v>
      </c>
      <c r="Q1256" s="8" t="s">
        <v>22</v>
      </c>
    </row>
    <row r="1257" customFormat="false" ht="15" hidden="false" customHeight="false" outlineLevel="0" collapsed="false">
      <c r="A1257" s="2" t="n">
        <v>1256</v>
      </c>
      <c r="B1257" s="3" t="s">
        <v>3219</v>
      </c>
      <c r="C1257" s="3" t="s">
        <v>601</v>
      </c>
      <c r="D1257" s="4" t="s">
        <v>3858</v>
      </c>
      <c r="E1257" s="3" t="s">
        <v>3061</v>
      </c>
      <c r="F1257" s="3" t="s">
        <v>3824</v>
      </c>
      <c r="G1257" s="3"/>
      <c r="H1257" s="3"/>
      <c r="I1257" s="4" t="s">
        <v>3859</v>
      </c>
      <c r="J1257" s="5" t="s">
        <v>20</v>
      </c>
      <c r="K1257" s="6"/>
      <c r="L1257" s="5"/>
      <c r="M1257" s="5"/>
      <c r="N1257" s="6"/>
      <c r="O1257" s="7"/>
      <c r="P1257" s="8" t="s">
        <v>21</v>
      </c>
      <c r="Q1257" s="8" t="s">
        <v>22</v>
      </c>
    </row>
    <row r="1258" customFormat="false" ht="15" hidden="false" customHeight="false" outlineLevel="0" collapsed="false">
      <c r="A1258" s="2" t="n">
        <v>1257</v>
      </c>
      <c r="B1258" s="3" t="s">
        <v>3860</v>
      </c>
      <c r="C1258" s="3"/>
      <c r="D1258" s="4"/>
      <c r="E1258" s="3"/>
      <c r="F1258" s="3" t="s">
        <v>3824</v>
      </c>
      <c r="G1258" s="3"/>
      <c r="H1258" s="3"/>
      <c r="I1258" s="4"/>
      <c r="J1258" s="5" t="s">
        <v>20</v>
      </c>
      <c r="K1258" s="6"/>
      <c r="L1258" s="5"/>
      <c r="M1258" s="5"/>
      <c r="N1258" s="6"/>
      <c r="O1258" s="7"/>
      <c r="P1258" s="8" t="s">
        <v>21</v>
      </c>
      <c r="Q1258" s="8" t="s">
        <v>22</v>
      </c>
    </row>
    <row r="1259" customFormat="false" ht="15" hidden="false" customHeight="false" outlineLevel="0" collapsed="false">
      <c r="A1259" s="2" t="n">
        <v>1258</v>
      </c>
      <c r="B1259" s="3" t="s">
        <v>3861</v>
      </c>
      <c r="C1259" s="3" t="s">
        <v>71</v>
      </c>
      <c r="D1259" s="4"/>
      <c r="E1259" s="3"/>
      <c r="F1259" s="3" t="s">
        <v>3824</v>
      </c>
      <c r="G1259" s="3"/>
      <c r="H1259" s="3"/>
      <c r="I1259" s="4"/>
      <c r="J1259" s="5" t="s">
        <v>20</v>
      </c>
      <c r="K1259" s="6"/>
      <c r="L1259" s="5"/>
      <c r="M1259" s="5"/>
      <c r="N1259" s="6"/>
      <c r="O1259" s="7"/>
      <c r="P1259" s="8" t="s">
        <v>21</v>
      </c>
      <c r="Q1259" s="8" t="s">
        <v>22</v>
      </c>
    </row>
    <row r="1260" customFormat="false" ht="15" hidden="false" customHeight="false" outlineLevel="0" collapsed="false">
      <c r="A1260" s="2" t="n">
        <v>1259</v>
      </c>
      <c r="B1260" s="3" t="s">
        <v>3862</v>
      </c>
      <c r="C1260" s="3" t="s">
        <v>601</v>
      </c>
      <c r="D1260" s="4"/>
      <c r="E1260" s="3"/>
      <c r="F1260" s="3" t="s">
        <v>3824</v>
      </c>
      <c r="G1260" s="3" t="s">
        <v>3863</v>
      </c>
      <c r="H1260" s="3"/>
      <c r="I1260" s="4"/>
      <c r="J1260" s="5" t="s">
        <v>20</v>
      </c>
      <c r="K1260" s="6"/>
      <c r="L1260" s="5"/>
      <c r="M1260" s="5"/>
      <c r="N1260" s="6"/>
      <c r="O1260" s="7"/>
      <c r="P1260" s="8" t="s">
        <v>21</v>
      </c>
      <c r="Q1260" s="8" t="s">
        <v>22</v>
      </c>
    </row>
    <row r="1261" customFormat="false" ht="15" hidden="false" customHeight="false" outlineLevel="0" collapsed="false">
      <c r="A1261" s="2" t="n">
        <v>1260</v>
      </c>
      <c r="B1261" s="3" t="s">
        <v>3864</v>
      </c>
      <c r="C1261" s="3"/>
      <c r="D1261" s="4"/>
      <c r="E1261" s="3"/>
      <c r="F1261" s="3" t="s">
        <v>3824</v>
      </c>
      <c r="G1261" s="3"/>
      <c r="H1261" s="3"/>
      <c r="I1261" s="4"/>
      <c r="J1261" s="5" t="s">
        <v>20</v>
      </c>
      <c r="K1261" s="6"/>
      <c r="L1261" s="5"/>
      <c r="M1261" s="5"/>
      <c r="N1261" s="6"/>
      <c r="O1261" s="7"/>
      <c r="P1261" s="8" t="s">
        <v>21</v>
      </c>
      <c r="Q1261" s="8" t="s">
        <v>22</v>
      </c>
    </row>
    <row r="1262" customFormat="false" ht="15" hidden="false" customHeight="false" outlineLevel="0" collapsed="false">
      <c r="A1262" s="2" t="n">
        <v>1261</v>
      </c>
      <c r="B1262" s="3" t="s">
        <v>3865</v>
      </c>
      <c r="C1262" s="3" t="s">
        <v>3065</v>
      </c>
      <c r="D1262" s="4"/>
      <c r="E1262" s="3"/>
      <c r="F1262" s="3" t="s">
        <v>3824</v>
      </c>
      <c r="G1262" s="3" t="s">
        <v>3866</v>
      </c>
      <c r="H1262" s="3"/>
      <c r="I1262" s="4"/>
      <c r="J1262" s="5" t="s">
        <v>20</v>
      </c>
      <c r="K1262" s="6"/>
      <c r="L1262" s="5"/>
      <c r="M1262" s="5"/>
      <c r="N1262" s="6"/>
      <c r="O1262" s="7"/>
      <c r="P1262" s="8" t="s">
        <v>21</v>
      </c>
      <c r="Q1262" s="8" t="s">
        <v>22</v>
      </c>
    </row>
    <row r="1263" customFormat="false" ht="15" hidden="false" customHeight="false" outlineLevel="0" collapsed="false">
      <c r="A1263" s="2" t="n">
        <v>1262</v>
      </c>
      <c r="B1263" s="3" t="s">
        <v>3867</v>
      </c>
      <c r="C1263" s="3" t="s">
        <v>3868</v>
      </c>
      <c r="D1263" s="4"/>
      <c r="E1263" s="3"/>
      <c r="F1263" s="3" t="s">
        <v>3869</v>
      </c>
      <c r="G1263" s="3" t="s">
        <v>3870</v>
      </c>
      <c r="H1263" s="3"/>
      <c r="I1263" s="4" t="s">
        <v>3871</v>
      </c>
      <c r="J1263" s="5" t="s">
        <v>20</v>
      </c>
      <c r="K1263" s="6"/>
      <c r="L1263" s="5"/>
      <c r="M1263" s="5"/>
      <c r="N1263" s="6"/>
      <c r="O1263" s="7"/>
      <c r="P1263" s="8" t="s">
        <v>21</v>
      </c>
      <c r="Q1263" s="8" t="s">
        <v>22</v>
      </c>
    </row>
    <row r="1264" customFormat="false" ht="15" hidden="false" customHeight="false" outlineLevel="0" collapsed="false">
      <c r="A1264" s="2" t="n">
        <v>1263</v>
      </c>
      <c r="B1264" s="3" t="s">
        <v>3872</v>
      </c>
      <c r="C1264" s="3" t="s">
        <v>2637</v>
      </c>
      <c r="D1264" s="4"/>
      <c r="E1264" s="3"/>
      <c r="F1264" s="3" t="s">
        <v>3869</v>
      </c>
      <c r="G1264" s="3" t="s">
        <v>3873</v>
      </c>
      <c r="H1264" s="8" t="s">
        <v>3874</v>
      </c>
      <c r="I1264" s="4" t="s">
        <v>3875</v>
      </c>
      <c r="J1264" s="5" t="s">
        <v>20</v>
      </c>
      <c r="K1264" s="6"/>
      <c r="L1264" s="5"/>
      <c r="M1264" s="5"/>
      <c r="N1264" s="6"/>
      <c r="O1264" s="7"/>
      <c r="P1264" s="8" t="s">
        <v>21</v>
      </c>
      <c r="Q1264" s="8" t="s">
        <v>22</v>
      </c>
    </row>
    <row r="1265" customFormat="false" ht="15" hidden="false" customHeight="false" outlineLevel="0" collapsed="false">
      <c r="A1265" s="2" t="n">
        <v>1264</v>
      </c>
      <c r="B1265" s="3" t="s">
        <v>3876</v>
      </c>
      <c r="C1265" s="3"/>
      <c r="D1265" s="4"/>
      <c r="E1265" s="3"/>
      <c r="F1265" s="3" t="s">
        <v>3869</v>
      </c>
      <c r="G1265" s="3" t="s">
        <v>3877</v>
      </c>
      <c r="H1265" s="8" t="s">
        <v>3878</v>
      </c>
      <c r="I1265" s="4" t="s">
        <v>3879</v>
      </c>
      <c r="J1265" s="5" t="s">
        <v>20</v>
      </c>
      <c r="K1265" s="6"/>
      <c r="L1265" s="5"/>
      <c r="M1265" s="5"/>
      <c r="N1265" s="6"/>
      <c r="O1265" s="7"/>
      <c r="P1265" s="8" t="s">
        <v>21</v>
      </c>
      <c r="Q1265" s="8" t="s">
        <v>22</v>
      </c>
    </row>
    <row r="1266" customFormat="false" ht="15" hidden="false" customHeight="false" outlineLevel="0" collapsed="false">
      <c r="A1266" s="2" t="n">
        <v>1265</v>
      </c>
      <c r="B1266" s="3" t="s">
        <v>3880</v>
      </c>
      <c r="C1266" s="3" t="s">
        <v>120</v>
      </c>
      <c r="D1266" s="4"/>
      <c r="E1266" s="3"/>
      <c r="F1266" s="3" t="s">
        <v>3869</v>
      </c>
      <c r="G1266" s="3" t="s">
        <v>3881</v>
      </c>
      <c r="H1266" s="8" t="s">
        <v>3882</v>
      </c>
      <c r="I1266" s="4" t="s">
        <v>3883</v>
      </c>
      <c r="J1266" s="5" t="s">
        <v>20</v>
      </c>
      <c r="K1266" s="6"/>
      <c r="L1266" s="5"/>
      <c r="M1266" s="5"/>
      <c r="N1266" s="6"/>
      <c r="O1266" s="7"/>
      <c r="P1266" s="8" t="s">
        <v>21</v>
      </c>
      <c r="Q1266" s="8" t="s">
        <v>22</v>
      </c>
    </row>
    <row r="1267" customFormat="false" ht="23.85" hidden="false" customHeight="false" outlineLevel="0" collapsed="false">
      <c r="A1267" s="2" t="n">
        <v>1266</v>
      </c>
      <c r="B1267" s="3" t="s">
        <v>3884</v>
      </c>
      <c r="C1267" s="3"/>
      <c r="D1267" s="4"/>
      <c r="E1267" s="3"/>
      <c r="F1267" s="3" t="s">
        <v>3869</v>
      </c>
      <c r="G1267" s="3" t="s">
        <v>3885</v>
      </c>
      <c r="H1267" s="8" t="s">
        <v>3886</v>
      </c>
      <c r="I1267" s="4" t="s">
        <v>3887</v>
      </c>
      <c r="J1267" s="5" t="s">
        <v>20</v>
      </c>
      <c r="K1267" s="6"/>
      <c r="L1267" s="5"/>
      <c r="M1267" s="5"/>
      <c r="N1267" s="6"/>
      <c r="O1267" s="7"/>
      <c r="P1267" s="8" t="s">
        <v>21</v>
      </c>
      <c r="Q1267" s="8" t="s">
        <v>22</v>
      </c>
    </row>
    <row r="1268" customFormat="false" ht="23.85" hidden="false" customHeight="false" outlineLevel="0" collapsed="false">
      <c r="A1268" s="2" t="n">
        <v>1267</v>
      </c>
      <c r="B1268" s="3" t="s">
        <v>3888</v>
      </c>
      <c r="C1268" s="3"/>
      <c r="D1268" s="4"/>
      <c r="E1268" s="3"/>
      <c r="F1268" s="3" t="s">
        <v>3869</v>
      </c>
      <c r="G1268" s="3" t="s">
        <v>3889</v>
      </c>
      <c r="H1268" s="8" t="s">
        <v>3890</v>
      </c>
      <c r="I1268" s="4" t="s">
        <v>3891</v>
      </c>
      <c r="J1268" s="5" t="s">
        <v>20</v>
      </c>
      <c r="K1268" s="6"/>
      <c r="L1268" s="5"/>
      <c r="M1268" s="5"/>
      <c r="N1268" s="6"/>
      <c r="O1268" s="7"/>
      <c r="P1268" s="8" t="s">
        <v>21</v>
      </c>
      <c r="Q1268" s="8" t="s">
        <v>22</v>
      </c>
    </row>
    <row r="1269" customFormat="false" ht="15" hidden="false" customHeight="false" outlineLevel="0" collapsed="false">
      <c r="A1269" s="2" t="n">
        <v>1268</v>
      </c>
      <c r="B1269" s="3" t="s">
        <v>3892</v>
      </c>
      <c r="C1269" s="3"/>
      <c r="D1269" s="4"/>
      <c r="E1269" s="3"/>
      <c r="F1269" s="3" t="s">
        <v>3869</v>
      </c>
      <c r="G1269" s="3" t="s">
        <v>3893</v>
      </c>
      <c r="H1269" s="8" t="s">
        <v>3894</v>
      </c>
      <c r="I1269" s="4" t="s">
        <v>3895</v>
      </c>
      <c r="J1269" s="5" t="s">
        <v>20</v>
      </c>
      <c r="K1269" s="6"/>
      <c r="L1269" s="5"/>
      <c r="M1269" s="5"/>
      <c r="N1269" s="6"/>
      <c r="O1269" s="7"/>
      <c r="P1269" s="8" t="s">
        <v>21</v>
      </c>
      <c r="Q1269" s="8" t="s">
        <v>22</v>
      </c>
    </row>
    <row r="1270" customFormat="false" ht="15" hidden="false" customHeight="false" outlineLevel="0" collapsed="false">
      <c r="A1270" s="2" t="n">
        <v>1269</v>
      </c>
      <c r="B1270" s="3" t="s">
        <v>3896</v>
      </c>
      <c r="C1270" s="3" t="s">
        <v>120</v>
      </c>
      <c r="D1270" s="4" t="s">
        <v>3897</v>
      </c>
      <c r="E1270" s="3" t="s">
        <v>3898</v>
      </c>
      <c r="F1270" s="3" t="s">
        <v>3899</v>
      </c>
      <c r="G1270" s="3" t="s">
        <v>3900</v>
      </c>
      <c r="H1270" s="8" t="s">
        <v>3901</v>
      </c>
      <c r="I1270" s="4"/>
      <c r="J1270" s="5" t="s">
        <v>20</v>
      </c>
      <c r="K1270" s="6"/>
      <c r="L1270" s="5"/>
      <c r="M1270" s="5"/>
      <c r="N1270" s="6"/>
      <c r="O1270" s="7"/>
      <c r="P1270" s="8" t="s">
        <v>21</v>
      </c>
      <c r="Q1270" s="8" t="s">
        <v>22</v>
      </c>
    </row>
    <row r="1271" customFormat="false" ht="15" hidden="false" customHeight="false" outlineLevel="0" collapsed="false">
      <c r="A1271" s="2" t="n">
        <v>1270</v>
      </c>
      <c r="B1271" s="3" t="s">
        <v>3902</v>
      </c>
      <c r="C1271" s="3" t="s">
        <v>120</v>
      </c>
      <c r="D1271" s="4"/>
      <c r="E1271" s="3"/>
      <c r="F1271" s="3" t="s">
        <v>3899</v>
      </c>
      <c r="G1271" s="3"/>
      <c r="H1271" s="3"/>
      <c r="I1271" s="4"/>
      <c r="J1271" s="5" t="s">
        <v>20</v>
      </c>
      <c r="K1271" s="6"/>
      <c r="L1271" s="5"/>
      <c r="M1271" s="5"/>
      <c r="N1271" s="6"/>
      <c r="O1271" s="7"/>
      <c r="P1271" s="8" t="s">
        <v>21</v>
      </c>
      <c r="Q1271" s="8" t="s">
        <v>22</v>
      </c>
    </row>
    <row r="1272" customFormat="false" ht="15" hidden="false" customHeight="false" outlineLevel="0" collapsed="false">
      <c r="A1272" s="2" t="n">
        <v>1271</v>
      </c>
      <c r="B1272" s="3" t="s">
        <v>3903</v>
      </c>
      <c r="C1272" s="3" t="s">
        <v>24</v>
      </c>
      <c r="D1272" s="4"/>
      <c r="E1272" s="3"/>
      <c r="F1272" s="3" t="s">
        <v>3899</v>
      </c>
      <c r="G1272" s="3" t="s">
        <v>3904</v>
      </c>
      <c r="H1272" s="8" t="s">
        <v>3905</v>
      </c>
      <c r="I1272" s="4"/>
      <c r="J1272" s="5" t="s">
        <v>20</v>
      </c>
      <c r="K1272" s="6"/>
      <c r="L1272" s="5"/>
      <c r="M1272" s="5"/>
      <c r="N1272" s="6"/>
      <c r="O1272" s="7"/>
      <c r="P1272" s="8" t="s">
        <v>21</v>
      </c>
      <c r="Q1272" s="8" t="s">
        <v>22</v>
      </c>
    </row>
    <row r="1273" customFormat="false" ht="15" hidden="false" customHeight="false" outlineLevel="0" collapsed="false">
      <c r="A1273" s="2" t="n">
        <v>1272</v>
      </c>
      <c r="B1273" s="3" t="s">
        <v>3906</v>
      </c>
      <c r="C1273" s="3" t="s">
        <v>24</v>
      </c>
      <c r="D1273" s="4" t="s">
        <v>3907</v>
      </c>
      <c r="E1273" s="3" t="s">
        <v>3898</v>
      </c>
      <c r="F1273" s="3" t="s">
        <v>3899</v>
      </c>
      <c r="G1273" s="3"/>
      <c r="H1273" s="8" t="s">
        <v>3908</v>
      </c>
      <c r="I1273" s="4"/>
      <c r="J1273" s="5" t="s">
        <v>20</v>
      </c>
      <c r="K1273" s="6"/>
      <c r="L1273" s="5"/>
      <c r="M1273" s="5"/>
      <c r="N1273" s="6"/>
      <c r="O1273" s="7"/>
      <c r="P1273" s="8" t="s">
        <v>21</v>
      </c>
      <c r="Q1273" s="8" t="s">
        <v>22</v>
      </c>
    </row>
    <row r="1274" customFormat="false" ht="15" hidden="false" customHeight="false" outlineLevel="0" collapsed="false">
      <c r="A1274" s="2" t="n">
        <v>1273</v>
      </c>
      <c r="B1274" s="3" t="s">
        <v>3909</v>
      </c>
      <c r="C1274" s="3" t="s">
        <v>3910</v>
      </c>
      <c r="D1274" s="4" t="s">
        <v>3911</v>
      </c>
      <c r="E1274" s="3" t="s">
        <v>3898</v>
      </c>
      <c r="F1274" s="3" t="s">
        <v>3899</v>
      </c>
      <c r="G1274" s="3"/>
      <c r="H1274" s="8" t="s">
        <v>3912</v>
      </c>
      <c r="I1274" s="4"/>
      <c r="J1274" s="5" t="s">
        <v>20</v>
      </c>
      <c r="K1274" s="6"/>
      <c r="L1274" s="5"/>
      <c r="M1274" s="5"/>
      <c r="N1274" s="6"/>
      <c r="O1274" s="7"/>
      <c r="P1274" s="8" t="s">
        <v>21</v>
      </c>
      <c r="Q1274" s="8" t="s">
        <v>22</v>
      </c>
    </row>
    <row r="1275" customFormat="false" ht="15" hidden="false" customHeight="false" outlineLevel="0" collapsed="false">
      <c r="A1275" s="2" t="n">
        <v>1274</v>
      </c>
      <c r="B1275" s="3" t="s">
        <v>3913</v>
      </c>
      <c r="C1275" s="3"/>
      <c r="D1275" s="4"/>
      <c r="E1275" s="3"/>
      <c r="F1275" s="3" t="s">
        <v>3899</v>
      </c>
      <c r="G1275" s="3"/>
      <c r="H1275" s="3"/>
      <c r="I1275" s="4"/>
      <c r="J1275" s="5" t="s">
        <v>20</v>
      </c>
      <c r="K1275" s="6"/>
      <c r="L1275" s="5"/>
      <c r="M1275" s="5"/>
      <c r="N1275" s="6"/>
      <c r="O1275" s="7"/>
      <c r="P1275" s="8" t="s">
        <v>21</v>
      </c>
      <c r="Q1275" s="8" t="s">
        <v>22</v>
      </c>
    </row>
    <row r="1276" customFormat="false" ht="15" hidden="false" customHeight="false" outlineLevel="0" collapsed="false">
      <c r="A1276" s="2" t="n">
        <v>1275</v>
      </c>
      <c r="B1276" s="3" t="s">
        <v>3914</v>
      </c>
      <c r="C1276" s="3" t="s">
        <v>24</v>
      </c>
      <c r="D1276" s="4"/>
      <c r="E1276" s="3"/>
      <c r="F1276" s="3" t="s">
        <v>3899</v>
      </c>
      <c r="G1276" s="3" t="s">
        <v>3915</v>
      </c>
      <c r="H1276" s="8" t="s">
        <v>3916</v>
      </c>
      <c r="I1276" s="4"/>
      <c r="J1276" s="5" t="s">
        <v>20</v>
      </c>
      <c r="K1276" s="6"/>
      <c r="L1276" s="5"/>
      <c r="M1276" s="5"/>
      <c r="N1276" s="6"/>
      <c r="O1276" s="7"/>
      <c r="P1276" s="8" t="s">
        <v>21</v>
      </c>
      <c r="Q1276" s="8" t="s">
        <v>22</v>
      </c>
    </row>
    <row r="1277" customFormat="false" ht="15" hidden="false" customHeight="false" outlineLevel="0" collapsed="false">
      <c r="A1277" s="2" t="n">
        <v>1276</v>
      </c>
      <c r="B1277" s="3" t="s">
        <v>3917</v>
      </c>
      <c r="C1277" s="3" t="s">
        <v>116</v>
      </c>
      <c r="D1277" s="4"/>
      <c r="E1277" s="3"/>
      <c r="F1277" s="3" t="s">
        <v>3899</v>
      </c>
      <c r="G1277" s="3"/>
      <c r="H1277" s="3"/>
      <c r="I1277" s="4"/>
      <c r="J1277" s="5" t="s">
        <v>20</v>
      </c>
      <c r="K1277" s="6"/>
      <c r="L1277" s="5"/>
      <c r="M1277" s="5"/>
      <c r="N1277" s="6"/>
      <c r="O1277" s="7"/>
      <c r="P1277" s="8" t="s">
        <v>21</v>
      </c>
      <c r="Q1277" s="8" t="s">
        <v>22</v>
      </c>
    </row>
    <row r="1278" customFormat="false" ht="15" hidden="false" customHeight="false" outlineLevel="0" collapsed="false">
      <c r="A1278" s="2" t="n">
        <v>1277</v>
      </c>
      <c r="B1278" s="3" t="s">
        <v>3918</v>
      </c>
      <c r="C1278" s="3" t="s">
        <v>120</v>
      </c>
      <c r="D1278" s="4" t="s">
        <v>3919</v>
      </c>
      <c r="E1278" s="3" t="s">
        <v>3898</v>
      </c>
      <c r="F1278" s="3" t="s">
        <v>3899</v>
      </c>
      <c r="G1278" s="3"/>
      <c r="H1278" s="3"/>
      <c r="I1278" s="4"/>
      <c r="J1278" s="5" t="s">
        <v>20</v>
      </c>
      <c r="K1278" s="6"/>
      <c r="L1278" s="5"/>
      <c r="M1278" s="5"/>
      <c r="N1278" s="6"/>
      <c r="O1278" s="7"/>
      <c r="P1278" s="8" t="s">
        <v>21</v>
      </c>
      <c r="Q1278" s="8" t="s">
        <v>22</v>
      </c>
    </row>
    <row r="1279" customFormat="false" ht="15" hidden="false" customHeight="false" outlineLevel="0" collapsed="false">
      <c r="A1279" s="2" t="n">
        <v>1278</v>
      </c>
      <c r="B1279" s="3" t="s">
        <v>3640</v>
      </c>
      <c r="C1279" s="3"/>
      <c r="D1279" s="4"/>
      <c r="E1279" s="3"/>
      <c r="F1279" s="3" t="s">
        <v>3920</v>
      </c>
      <c r="G1279" s="3"/>
      <c r="H1279" s="3"/>
      <c r="I1279" s="4"/>
      <c r="J1279" s="5" t="s">
        <v>20</v>
      </c>
      <c r="K1279" s="6"/>
      <c r="L1279" s="5"/>
      <c r="M1279" s="5"/>
      <c r="N1279" s="6"/>
      <c r="O1279" s="7"/>
      <c r="P1279" s="8" t="s">
        <v>21</v>
      </c>
      <c r="Q1279" s="8" t="s">
        <v>22</v>
      </c>
    </row>
    <row r="1280" customFormat="false" ht="15" hidden="false" customHeight="false" outlineLevel="0" collapsed="false">
      <c r="A1280" s="2" t="n">
        <v>1279</v>
      </c>
      <c r="B1280" s="3" t="s">
        <v>3921</v>
      </c>
      <c r="C1280" s="3" t="s">
        <v>3679</v>
      </c>
      <c r="D1280" s="4" t="s">
        <v>3922</v>
      </c>
      <c r="E1280" s="3"/>
      <c r="F1280" s="3" t="s">
        <v>3920</v>
      </c>
      <c r="G1280" s="3"/>
      <c r="H1280" s="3"/>
      <c r="I1280" s="4"/>
      <c r="J1280" s="5" t="s">
        <v>20</v>
      </c>
      <c r="K1280" s="6"/>
      <c r="L1280" s="5"/>
      <c r="M1280" s="5"/>
      <c r="N1280" s="6"/>
      <c r="O1280" s="7"/>
      <c r="P1280" s="8" t="s">
        <v>21</v>
      </c>
      <c r="Q1280" s="8" t="s">
        <v>22</v>
      </c>
    </row>
    <row r="1281" customFormat="false" ht="15" hidden="false" customHeight="false" outlineLevel="0" collapsed="false">
      <c r="A1281" s="2" t="n">
        <v>1280</v>
      </c>
      <c r="B1281" s="3" t="s">
        <v>3923</v>
      </c>
      <c r="C1281" s="3" t="s">
        <v>120</v>
      </c>
      <c r="D1281" s="4" t="s">
        <v>3924</v>
      </c>
      <c r="E1281" s="3" t="s">
        <v>3925</v>
      </c>
      <c r="F1281" s="3" t="s">
        <v>3926</v>
      </c>
      <c r="G1281" s="3" t="s">
        <v>3927</v>
      </c>
      <c r="H1281" s="3"/>
      <c r="I1281" s="4"/>
      <c r="J1281" s="5" t="s">
        <v>20</v>
      </c>
      <c r="K1281" s="6"/>
      <c r="L1281" s="5"/>
      <c r="M1281" s="5"/>
      <c r="N1281" s="6"/>
      <c r="O1281" s="7"/>
      <c r="P1281" s="8" t="s">
        <v>21</v>
      </c>
      <c r="Q1281" s="8" t="s">
        <v>22</v>
      </c>
    </row>
    <row r="1282" customFormat="false" ht="15" hidden="false" customHeight="false" outlineLevel="0" collapsed="false">
      <c r="A1282" s="2" t="n">
        <v>1281</v>
      </c>
      <c r="B1282" s="3" t="s">
        <v>3928</v>
      </c>
      <c r="C1282" s="3" t="s">
        <v>3929</v>
      </c>
      <c r="D1282" s="4" t="s">
        <v>3930</v>
      </c>
      <c r="E1282" s="3" t="s">
        <v>3925</v>
      </c>
      <c r="F1282" s="3" t="s">
        <v>3926</v>
      </c>
      <c r="G1282" s="3" t="s">
        <v>3931</v>
      </c>
      <c r="H1282" s="3"/>
      <c r="I1282" s="4" t="s">
        <v>3932</v>
      </c>
      <c r="J1282" s="5" t="s">
        <v>20</v>
      </c>
      <c r="K1282" s="6"/>
      <c r="L1282" s="5"/>
      <c r="M1282" s="5"/>
      <c r="N1282" s="6"/>
      <c r="O1282" s="7"/>
      <c r="P1282" s="8" t="s">
        <v>21</v>
      </c>
      <c r="Q1282" s="8" t="s">
        <v>22</v>
      </c>
    </row>
    <row r="1283" customFormat="false" ht="15" hidden="false" customHeight="false" outlineLevel="0" collapsed="false">
      <c r="A1283" s="2" t="n">
        <v>1282</v>
      </c>
      <c r="B1283" s="3" t="s">
        <v>3933</v>
      </c>
      <c r="C1283" s="3"/>
      <c r="D1283" s="4" t="s">
        <v>3934</v>
      </c>
      <c r="E1283" s="3" t="s">
        <v>3925</v>
      </c>
      <c r="F1283" s="3" t="s">
        <v>3926</v>
      </c>
      <c r="G1283" s="3"/>
      <c r="H1283" s="3"/>
      <c r="I1283" s="4"/>
      <c r="J1283" s="5" t="s">
        <v>20</v>
      </c>
      <c r="K1283" s="6"/>
      <c r="L1283" s="5"/>
      <c r="M1283" s="5"/>
      <c r="N1283" s="6"/>
      <c r="O1283" s="7"/>
      <c r="P1283" s="8" t="s">
        <v>21</v>
      </c>
      <c r="Q1283" s="8" t="s">
        <v>22</v>
      </c>
    </row>
    <row r="1284" customFormat="false" ht="15" hidden="false" customHeight="false" outlineLevel="0" collapsed="false">
      <c r="A1284" s="2" t="n">
        <v>1283</v>
      </c>
      <c r="B1284" s="3" t="s">
        <v>3935</v>
      </c>
      <c r="C1284" s="3"/>
      <c r="D1284" s="4"/>
      <c r="E1284" s="3"/>
      <c r="F1284" s="3" t="s">
        <v>3926</v>
      </c>
      <c r="G1284" s="3"/>
      <c r="H1284" s="3"/>
      <c r="I1284" s="4"/>
      <c r="J1284" s="5" t="s">
        <v>20</v>
      </c>
      <c r="K1284" s="6"/>
      <c r="L1284" s="5"/>
      <c r="M1284" s="5"/>
      <c r="N1284" s="6"/>
      <c r="O1284" s="7"/>
      <c r="P1284" s="8" t="s">
        <v>21</v>
      </c>
      <c r="Q1284" s="8" t="s">
        <v>22</v>
      </c>
    </row>
    <row r="1285" customFormat="false" ht="15" hidden="false" customHeight="false" outlineLevel="0" collapsed="false">
      <c r="A1285" s="2" t="n">
        <v>1284</v>
      </c>
      <c r="B1285" s="3" t="s">
        <v>3936</v>
      </c>
      <c r="C1285" s="3" t="s">
        <v>38</v>
      </c>
      <c r="D1285" s="4"/>
      <c r="E1285" s="3"/>
      <c r="F1285" s="3" t="s">
        <v>3926</v>
      </c>
      <c r="G1285" s="3"/>
      <c r="H1285" s="3"/>
      <c r="I1285" s="4"/>
      <c r="J1285" s="5" t="s">
        <v>20</v>
      </c>
      <c r="K1285" s="6"/>
      <c r="L1285" s="5"/>
      <c r="M1285" s="5"/>
      <c r="N1285" s="6"/>
      <c r="O1285" s="7"/>
      <c r="P1285" s="8" t="s">
        <v>21</v>
      </c>
      <c r="Q1285" s="8" t="s">
        <v>22</v>
      </c>
    </row>
    <row r="1286" customFormat="false" ht="15" hidden="false" customHeight="false" outlineLevel="0" collapsed="false">
      <c r="A1286" s="2" t="n">
        <v>1285</v>
      </c>
      <c r="B1286" s="3" t="s">
        <v>3937</v>
      </c>
      <c r="C1286" s="3"/>
      <c r="D1286" s="4"/>
      <c r="E1286" s="3"/>
      <c r="F1286" s="3" t="s">
        <v>3926</v>
      </c>
      <c r="G1286" s="3"/>
      <c r="H1286" s="3"/>
      <c r="I1286" s="4"/>
      <c r="J1286" s="5" t="s">
        <v>20</v>
      </c>
      <c r="K1286" s="6"/>
      <c r="L1286" s="5"/>
      <c r="M1286" s="5"/>
      <c r="N1286" s="6"/>
      <c r="O1286" s="7"/>
      <c r="P1286" s="8" t="s">
        <v>21</v>
      </c>
      <c r="Q1286" s="8" t="s">
        <v>22</v>
      </c>
    </row>
    <row r="1287" customFormat="false" ht="15" hidden="false" customHeight="false" outlineLevel="0" collapsed="false">
      <c r="A1287" s="2" t="n">
        <v>1286</v>
      </c>
      <c r="B1287" s="3" t="s">
        <v>3938</v>
      </c>
      <c r="C1287" s="3"/>
      <c r="D1287" s="4" t="s">
        <v>3939</v>
      </c>
      <c r="E1287" s="3"/>
      <c r="F1287" s="3" t="s">
        <v>3926</v>
      </c>
      <c r="G1287" s="3" t="s">
        <v>3940</v>
      </c>
      <c r="H1287" s="8" t="s">
        <v>3941</v>
      </c>
      <c r="I1287" s="4" t="s">
        <v>3942</v>
      </c>
      <c r="J1287" s="5" t="s">
        <v>20</v>
      </c>
      <c r="K1287" s="6"/>
      <c r="L1287" s="5"/>
      <c r="M1287" s="5"/>
      <c r="N1287" s="6"/>
      <c r="O1287" s="7"/>
      <c r="P1287" s="8" t="s">
        <v>21</v>
      </c>
      <c r="Q1287" s="8" t="s">
        <v>22</v>
      </c>
    </row>
    <row r="1288" customFormat="false" ht="15" hidden="false" customHeight="false" outlineLevel="0" collapsed="false">
      <c r="A1288" s="2" t="n">
        <v>1287</v>
      </c>
      <c r="B1288" s="3" t="s">
        <v>3943</v>
      </c>
      <c r="C1288" s="3" t="s">
        <v>24</v>
      </c>
      <c r="D1288" s="4" t="s">
        <v>3944</v>
      </c>
      <c r="E1288" s="3" t="s">
        <v>3925</v>
      </c>
      <c r="F1288" s="3" t="s">
        <v>3926</v>
      </c>
      <c r="G1288" s="3" t="s">
        <v>3945</v>
      </c>
      <c r="H1288" s="8" t="s">
        <v>3946</v>
      </c>
      <c r="I1288" s="4"/>
      <c r="J1288" s="5" t="s">
        <v>20</v>
      </c>
      <c r="K1288" s="6"/>
      <c r="L1288" s="5"/>
      <c r="M1288" s="5"/>
      <c r="N1288" s="6"/>
      <c r="O1288" s="7"/>
      <c r="P1288" s="8" t="s">
        <v>21</v>
      </c>
      <c r="Q1288" s="8" t="s">
        <v>22</v>
      </c>
    </row>
    <row r="1289" customFormat="false" ht="23.85" hidden="false" customHeight="false" outlineLevel="0" collapsed="false">
      <c r="A1289" s="2" t="n">
        <v>1288</v>
      </c>
      <c r="B1289" s="3" t="s">
        <v>3947</v>
      </c>
      <c r="C1289" s="3" t="s">
        <v>24</v>
      </c>
      <c r="D1289" s="4" t="s">
        <v>3934</v>
      </c>
      <c r="E1289" s="3" t="s">
        <v>3925</v>
      </c>
      <c r="F1289" s="3" t="s">
        <v>3926</v>
      </c>
      <c r="G1289" s="3" t="s">
        <v>3948</v>
      </c>
      <c r="H1289" s="8" t="s">
        <v>3949</v>
      </c>
      <c r="I1289" s="4" t="s">
        <v>3950</v>
      </c>
      <c r="J1289" s="5" t="s">
        <v>20</v>
      </c>
      <c r="K1289" s="6"/>
      <c r="L1289" s="5"/>
      <c r="M1289" s="5"/>
      <c r="N1289" s="6"/>
      <c r="O1289" s="7"/>
      <c r="P1289" s="8" t="s">
        <v>21</v>
      </c>
      <c r="Q1289" s="8" t="s">
        <v>22</v>
      </c>
    </row>
    <row r="1290" customFormat="false" ht="15" hidden="false" customHeight="false" outlineLevel="0" collapsed="false">
      <c r="A1290" s="2" t="n">
        <v>1289</v>
      </c>
      <c r="B1290" s="3" t="s">
        <v>3951</v>
      </c>
      <c r="C1290" s="3"/>
      <c r="D1290" s="4"/>
      <c r="E1290" s="3"/>
      <c r="F1290" s="3" t="s">
        <v>3926</v>
      </c>
      <c r="G1290" s="3" t="s">
        <v>3952</v>
      </c>
      <c r="H1290" s="3"/>
      <c r="I1290" s="4"/>
      <c r="J1290" s="5" t="s">
        <v>20</v>
      </c>
      <c r="K1290" s="6"/>
      <c r="L1290" s="5"/>
      <c r="M1290" s="5"/>
      <c r="N1290" s="6"/>
      <c r="O1290" s="7"/>
      <c r="P1290" s="8" t="s">
        <v>21</v>
      </c>
      <c r="Q1290" s="8" t="s">
        <v>22</v>
      </c>
    </row>
    <row r="1291" customFormat="false" ht="15" hidden="false" customHeight="false" outlineLevel="0" collapsed="false">
      <c r="A1291" s="2" t="n">
        <v>1290</v>
      </c>
      <c r="B1291" s="3" t="s">
        <v>3953</v>
      </c>
      <c r="C1291" s="3" t="s">
        <v>18</v>
      </c>
      <c r="D1291" s="4" t="s">
        <v>3527</v>
      </c>
      <c r="E1291" s="3" t="s">
        <v>3793</v>
      </c>
      <c r="F1291" s="3" t="s">
        <v>3954</v>
      </c>
      <c r="G1291" s="3" t="s">
        <v>3955</v>
      </c>
      <c r="H1291" s="8" t="s">
        <v>3956</v>
      </c>
      <c r="I1291" s="4" t="s">
        <v>3957</v>
      </c>
      <c r="J1291" s="5" t="s">
        <v>20</v>
      </c>
      <c r="K1291" s="6"/>
      <c r="L1291" s="5"/>
      <c r="M1291" s="5"/>
      <c r="N1291" s="6"/>
      <c r="O1291" s="7"/>
      <c r="P1291" s="8" t="s">
        <v>21</v>
      </c>
      <c r="Q1291" s="8" t="s">
        <v>22</v>
      </c>
    </row>
    <row r="1292" customFormat="false" ht="15" hidden="false" customHeight="false" outlineLevel="0" collapsed="false">
      <c r="A1292" s="2" t="n">
        <v>1291</v>
      </c>
      <c r="B1292" s="3" t="s">
        <v>3958</v>
      </c>
      <c r="C1292" s="3" t="s">
        <v>24</v>
      </c>
      <c r="D1292" s="4" t="s">
        <v>3959</v>
      </c>
      <c r="E1292" s="3" t="s">
        <v>3785</v>
      </c>
      <c r="F1292" s="3" t="s">
        <v>3954</v>
      </c>
      <c r="G1292" s="3" t="s">
        <v>3960</v>
      </c>
      <c r="H1292" s="8" t="s">
        <v>3961</v>
      </c>
      <c r="I1292" s="4" t="s">
        <v>3962</v>
      </c>
      <c r="J1292" s="5" t="s">
        <v>20</v>
      </c>
      <c r="K1292" s="6"/>
      <c r="L1292" s="5"/>
      <c r="M1292" s="5"/>
      <c r="N1292" s="6"/>
      <c r="O1292" s="7"/>
      <c r="P1292" s="8" t="s">
        <v>21</v>
      </c>
      <c r="Q1292" s="8" t="s">
        <v>22</v>
      </c>
    </row>
    <row r="1293" customFormat="false" ht="15" hidden="false" customHeight="false" outlineLevel="0" collapsed="false">
      <c r="A1293" s="2" t="n">
        <v>1292</v>
      </c>
      <c r="B1293" s="3" t="s">
        <v>3963</v>
      </c>
      <c r="C1293" s="3" t="s">
        <v>601</v>
      </c>
      <c r="D1293" s="4" t="s">
        <v>3964</v>
      </c>
      <c r="E1293" s="3" t="s">
        <v>3793</v>
      </c>
      <c r="F1293" s="3" t="s">
        <v>3954</v>
      </c>
      <c r="G1293" s="3" t="s">
        <v>3965</v>
      </c>
      <c r="H1293" s="3"/>
      <c r="I1293" s="4"/>
      <c r="J1293" s="5" t="s">
        <v>20</v>
      </c>
      <c r="K1293" s="6"/>
      <c r="L1293" s="5"/>
      <c r="M1293" s="5"/>
      <c r="N1293" s="6"/>
      <c r="O1293" s="7"/>
      <c r="P1293" s="8" t="s">
        <v>21</v>
      </c>
      <c r="Q1293" s="8" t="s">
        <v>22</v>
      </c>
    </row>
    <row r="1294" customFormat="false" ht="15" hidden="false" customHeight="false" outlineLevel="0" collapsed="false">
      <c r="A1294" s="2" t="n">
        <v>1293</v>
      </c>
      <c r="B1294" s="3" t="s">
        <v>3966</v>
      </c>
      <c r="C1294" s="3" t="s">
        <v>181</v>
      </c>
      <c r="D1294" s="4" t="s">
        <v>3967</v>
      </c>
      <c r="E1294" s="3"/>
      <c r="F1294" s="3" t="s">
        <v>3954</v>
      </c>
      <c r="G1294" s="3"/>
      <c r="H1294" s="3"/>
      <c r="I1294" s="4"/>
      <c r="J1294" s="5" t="s">
        <v>20</v>
      </c>
      <c r="K1294" s="6"/>
      <c r="L1294" s="5"/>
      <c r="M1294" s="5"/>
      <c r="N1294" s="6"/>
      <c r="O1294" s="7"/>
      <c r="P1294" s="8" t="s">
        <v>21</v>
      </c>
      <c r="Q1294" s="8" t="s">
        <v>22</v>
      </c>
    </row>
    <row r="1295" customFormat="false" ht="15" hidden="false" customHeight="false" outlineLevel="0" collapsed="false">
      <c r="A1295" s="2" t="n">
        <v>1294</v>
      </c>
      <c r="B1295" s="3" t="s">
        <v>3968</v>
      </c>
      <c r="C1295" s="3"/>
      <c r="D1295" s="4"/>
      <c r="E1295" s="3"/>
      <c r="F1295" s="3" t="s">
        <v>3954</v>
      </c>
      <c r="G1295" s="3"/>
      <c r="H1295" s="3"/>
      <c r="I1295" s="4"/>
      <c r="J1295" s="5" t="s">
        <v>20</v>
      </c>
      <c r="K1295" s="6"/>
      <c r="L1295" s="5"/>
      <c r="M1295" s="5"/>
      <c r="N1295" s="6"/>
      <c r="O1295" s="7"/>
      <c r="P1295" s="8" t="s">
        <v>21</v>
      </c>
      <c r="Q1295" s="8" t="s">
        <v>22</v>
      </c>
    </row>
    <row r="1296" customFormat="false" ht="15" hidden="false" customHeight="false" outlineLevel="0" collapsed="false">
      <c r="A1296" s="2" t="n">
        <v>1295</v>
      </c>
      <c r="B1296" s="3" t="s">
        <v>3969</v>
      </c>
      <c r="C1296" s="3"/>
      <c r="D1296" s="4" t="s">
        <v>3970</v>
      </c>
      <c r="E1296" s="3" t="s">
        <v>3971</v>
      </c>
      <c r="F1296" s="3" t="s">
        <v>3972</v>
      </c>
      <c r="G1296" s="3"/>
      <c r="H1296" s="3"/>
      <c r="I1296" s="4" t="s">
        <v>1406</v>
      </c>
      <c r="J1296" s="5" t="s">
        <v>20</v>
      </c>
      <c r="K1296" s="6"/>
      <c r="L1296" s="5"/>
      <c r="M1296" s="5"/>
      <c r="N1296" s="6"/>
      <c r="O1296" s="7"/>
      <c r="P1296" s="8" t="s">
        <v>21</v>
      </c>
      <c r="Q1296" s="8" t="s">
        <v>22</v>
      </c>
    </row>
    <row r="1297" customFormat="false" ht="15" hidden="false" customHeight="false" outlineLevel="0" collapsed="false">
      <c r="A1297" s="2" t="n">
        <v>1296</v>
      </c>
      <c r="B1297" s="3" t="s">
        <v>3973</v>
      </c>
      <c r="C1297" s="3" t="s">
        <v>3974</v>
      </c>
      <c r="D1297" s="4" t="s">
        <v>3975</v>
      </c>
      <c r="E1297" s="3" t="s">
        <v>3976</v>
      </c>
      <c r="F1297" s="3" t="s">
        <v>3977</v>
      </c>
      <c r="G1297" s="3" t="s">
        <v>3978</v>
      </c>
      <c r="H1297" s="8" t="s">
        <v>3979</v>
      </c>
      <c r="I1297" s="4" t="s">
        <v>3980</v>
      </c>
      <c r="J1297" s="5" t="s">
        <v>20</v>
      </c>
      <c r="K1297" s="6"/>
      <c r="L1297" s="5"/>
      <c r="M1297" s="5"/>
      <c r="N1297" s="6"/>
      <c r="O1297" s="7"/>
      <c r="P1297" s="8" t="s">
        <v>21</v>
      </c>
      <c r="Q1297" s="8" t="s">
        <v>22</v>
      </c>
    </row>
    <row r="1298" customFormat="false" ht="15" hidden="false" customHeight="false" outlineLevel="0" collapsed="false">
      <c r="A1298" s="2" t="n">
        <v>1297</v>
      </c>
      <c r="B1298" s="3" t="s">
        <v>3981</v>
      </c>
      <c r="C1298" s="3" t="s">
        <v>120</v>
      </c>
      <c r="D1298" s="4"/>
      <c r="E1298" s="3"/>
      <c r="F1298" s="3" t="s">
        <v>3977</v>
      </c>
      <c r="G1298" s="3" t="s">
        <v>3982</v>
      </c>
      <c r="H1298" s="8" t="s">
        <v>3983</v>
      </c>
      <c r="I1298" s="4" t="s">
        <v>3984</v>
      </c>
      <c r="J1298" s="5" t="s">
        <v>20</v>
      </c>
      <c r="K1298" s="6"/>
      <c r="L1298" s="5"/>
      <c r="M1298" s="5"/>
      <c r="N1298" s="6"/>
      <c r="O1298" s="7"/>
      <c r="P1298" s="8" t="s">
        <v>21</v>
      </c>
      <c r="Q1298" s="8" t="s">
        <v>22</v>
      </c>
    </row>
    <row r="1299" customFormat="false" ht="15" hidden="false" customHeight="false" outlineLevel="0" collapsed="false">
      <c r="A1299" s="2" t="n">
        <v>1298</v>
      </c>
      <c r="B1299" s="3" t="s">
        <v>3985</v>
      </c>
      <c r="C1299" s="3" t="s">
        <v>120</v>
      </c>
      <c r="D1299" s="4" t="s">
        <v>3986</v>
      </c>
      <c r="E1299" s="3" t="s">
        <v>3976</v>
      </c>
      <c r="F1299" s="3" t="s">
        <v>3977</v>
      </c>
      <c r="G1299" s="3" t="s">
        <v>3987</v>
      </c>
      <c r="H1299" s="8" t="s">
        <v>3988</v>
      </c>
      <c r="I1299" s="4" t="s">
        <v>3989</v>
      </c>
      <c r="J1299" s="5" t="s">
        <v>20</v>
      </c>
      <c r="K1299" s="6"/>
      <c r="L1299" s="5"/>
      <c r="M1299" s="5"/>
      <c r="N1299" s="6"/>
      <c r="O1299" s="7"/>
      <c r="P1299" s="8" t="s">
        <v>21</v>
      </c>
      <c r="Q1299" s="8" t="s">
        <v>22</v>
      </c>
    </row>
    <row r="1300" customFormat="false" ht="23.85" hidden="false" customHeight="false" outlineLevel="0" collapsed="false">
      <c r="A1300" s="2" t="n">
        <v>1299</v>
      </c>
      <c r="B1300" s="3" t="s">
        <v>3990</v>
      </c>
      <c r="C1300" s="3" t="s">
        <v>120</v>
      </c>
      <c r="D1300" s="4" t="s">
        <v>3991</v>
      </c>
      <c r="E1300" s="3" t="s">
        <v>3976</v>
      </c>
      <c r="F1300" s="3" t="s">
        <v>3977</v>
      </c>
      <c r="G1300" s="3" t="s">
        <v>3992</v>
      </c>
      <c r="H1300" s="8" t="s">
        <v>3993</v>
      </c>
      <c r="I1300" s="4" t="s">
        <v>3994</v>
      </c>
      <c r="J1300" s="5" t="s">
        <v>20</v>
      </c>
      <c r="K1300" s="6"/>
      <c r="L1300" s="5"/>
      <c r="M1300" s="5"/>
      <c r="N1300" s="6"/>
      <c r="O1300" s="7"/>
      <c r="P1300" s="8" t="s">
        <v>21</v>
      </c>
      <c r="Q1300" s="8" t="s">
        <v>22</v>
      </c>
    </row>
    <row r="1301" customFormat="false" ht="15" hidden="false" customHeight="false" outlineLevel="0" collapsed="false">
      <c r="A1301" s="2" t="n">
        <v>1300</v>
      </c>
      <c r="B1301" s="3" t="s">
        <v>3995</v>
      </c>
      <c r="C1301" s="3" t="s">
        <v>18</v>
      </c>
      <c r="D1301" s="4" t="s">
        <v>3996</v>
      </c>
      <c r="E1301" s="3"/>
      <c r="F1301" s="3" t="s">
        <v>3977</v>
      </c>
      <c r="G1301" s="3" t="s">
        <v>3997</v>
      </c>
      <c r="H1301" s="8" t="s">
        <v>2317</v>
      </c>
      <c r="I1301" s="4" t="s">
        <v>3998</v>
      </c>
      <c r="J1301" s="5" t="s">
        <v>20</v>
      </c>
      <c r="K1301" s="6"/>
      <c r="L1301" s="5"/>
      <c r="M1301" s="5"/>
      <c r="N1301" s="6"/>
      <c r="O1301" s="7"/>
      <c r="P1301" s="8" t="s">
        <v>21</v>
      </c>
      <c r="Q1301" s="8" t="s">
        <v>22</v>
      </c>
    </row>
    <row r="1302" customFormat="false" ht="15" hidden="false" customHeight="false" outlineLevel="0" collapsed="false">
      <c r="A1302" s="2" t="n">
        <v>1301</v>
      </c>
      <c r="B1302" s="3" t="s">
        <v>3999</v>
      </c>
      <c r="C1302" s="3" t="s">
        <v>2614</v>
      </c>
      <c r="D1302" s="4" t="s">
        <v>4000</v>
      </c>
      <c r="E1302" s="3" t="s">
        <v>3976</v>
      </c>
      <c r="F1302" s="3" t="s">
        <v>3977</v>
      </c>
      <c r="G1302" s="3" t="s">
        <v>4001</v>
      </c>
      <c r="H1302" s="8" t="s">
        <v>4002</v>
      </c>
      <c r="I1302" s="4" t="s">
        <v>4003</v>
      </c>
      <c r="J1302" s="5" t="s">
        <v>20</v>
      </c>
      <c r="K1302" s="6"/>
      <c r="L1302" s="5"/>
      <c r="M1302" s="5"/>
      <c r="N1302" s="6"/>
      <c r="O1302" s="7"/>
      <c r="P1302" s="8" t="s">
        <v>21</v>
      </c>
      <c r="Q1302" s="8" t="s">
        <v>22</v>
      </c>
    </row>
    <row r="1303" customFormat="false" ht="35.05" hidden="false" customHeight="false" outlineLevel="0" collapsed="false">
      <c r="A1303" s="2" t="n">
        <v>1302</v>
      </c>
      <c r="B1303" s="3" t="s">
        <v>4004</v>
      </c>
      <c r="C1303" s="3" t="s">
        <v>24</v>
      </c>
      <c r="D1303" s="4" t="s">
        <v>4005</v>
      </c>
      <c r="E1303" s="3" t="s">
        <v>3976</v>
      </c>
      <c r="F1303" s="3" t="s">
        <v>3977</v>
      </c>
      <c r="G1303" s="3" t="s">
        <v>4006</v>
      </c>
      <c r="H1303" s="3"/>
      <c r="I1303" s="4" t="s">
        <v>4007</v>
      </c>
      <c r="J1303" s="5" t="s">
        <v>20</v>
      </c>
      <c r="K1303" s="6"/>
      <c r="L1303" s="5"/>
      <c r="M1303" s="5"/>
      <c r="N1303" s="6"/>
      <c r="O1303" s="7"/>
      <c r="P1303" s="8" t="s">
        <v>21</v>
      </c>
      <c r="Q1303" s="8" t="s">
        <v>22</v>
      </c>
    </row>
    <row r="1304" customFormat="false" ht="23.85" hidden="false" customHeight="false" outlineLevel="0" collapsed="false">
      <c r="A1304" s="2" t="n">
        <v>1303</v>
      </c>
      <c r="B1304" s="3" t="s">
        <v>4008</v>
      </c>
      <c r="C1304" s="3" t="s">
        <v>116</v>
      </c>
      <c r="D1304" s="4" t="s">
        <v>4009</v>
      </c>
      <c r="E1304" s="3"/>
      <c r="F1304" s="3" t="s">
        <v>3977</v>
      </c>
      <c r="G1304" s="3" t="s">
        <v>4010</v>
      </c>
      <c r="H1304" s="8" t="s">
        <v>4011</v>
      </c>
      <c r="I1304" s="4" t="s">
        <v>4012</v>
      </c>
      <c r="J1304" s="5" t="s">
        <v>20</v>
      </c>
      <c r="K1304" s="6"/>
      <c r="L1304" s="5"/>
      <c r="M1304" s="5"/>
      <c r="N1304" s="6"/>
      <c r="O1304" s="7"/>
      <c r="P1304" s="8" t="s">
        <v>21</v>
      </c>
      <c r="Q1304" s="8" t="s">
        <v>22</v>
      </c>
    </row>
    <row r="1305" customFormat="false" ht="15" hidden="false" customHeight="false" outlineLevel="0" collapsed="false">
      <c r="A1305" s="2" t="n">
        <v>1304</v>
      </c>
      <c r="B1305" s="3" t="s">
        <v>4013</v>
      </c>
      <c r="C1305" s="3" t="s">
        <v>4014</v>
      </c>
      <c r="D1305" s="4" t="s">
        <v>4015</v>
      </c>
      <c r="E1305" s="3" t="s">
        <v>3785</v>
      </c>
      <c r="F1305" s="3" t="s">
        <v>4016</v>
      </c>
      <c r="G1305" s="3" t="s">
        <v>4017</v>
      </c>
      <c r="H1305" s="8" t="s">
        <v>4018</v>
      </c>
      <c r="I1305" s="4"/>
      <c r="J1305" s="5" t="s">
        <v>20</v>
      </c>
      <c r="K1305" s="6"/>
      <c r="L1305" s="5"/>
      <c r="M1305" s="5"/>
      <c r="N1305" s="6"/>
      <c r="O1305" s="7"/>
      <c r="P1305" s="8" t="s">
        <v>21</v>
      </c>
      <c r="Q1305" s="8" t="s">
        <v>22</v>
      </c>
    </row>
    <row r="1306" customFormat="false" ht="15" hidden="false" customHeight="false" outlineLevel="0" collapsed="false">
      <c r="A1306" s="2" t="n">
        <v>1305</v>
      </c>
      <c r="B1306" s="3" t="s">
        <v>4019</v>
      </c>
      <c r="C1306" s="3" t="s">
        <v>126</v>
      </c>
      <c r="D1306" s="4"/>
      <c r="E1306" s="3"/>
      <c r="F1306" s="3" t="s">
        <v>4016</v>
      </c>
      <c r="G1306" s="3" t="s">
        <v>4020</v>
      </c>
      <c r="H1306" s="8" t="s">
        <v>4021</v>
      </c>
      <c r="I1306" s="4" t="s">
        <v>478</v>
      </c>
      <c r="J1306" s="5" t="s">
        <v>20</v>
      </c>
      <c r="K1306" s="6"/>
      <c r="L1306" s="5"/>
      <c r="M1306" s="5"/>
      <c r="N1306" s="6"/>
      <c r="O1306" s="7"/>
      <c r="P1306" s="8" t="s">
        <v>21</v>
      </c>
      <c r="Q1306" s="8" t="s">
        <v>22</v>
      </c>
    </row>
    <row r="1307" customFormat="false" ht="15" hidden="false" customHeight="false" outlineLevel="0" collapsed="false">
      <c r="A1307" s="2" t="n">
        <v>1306</v>
      </c>
      <c r="B1307" s="3" t="s">
        <v>4022</v>
      </c>
      <c r="C1307" s="3" t="s">
        <v>4023</v>
      </c>
      <c r="D1307" s="4" t="s">
        <v>4024</v>
      </c>
      <c r="E1307" s="3" t="s">
        <v>3785</v>
      </c>
      <c r="F1307" s="3" t="s">
        <v>4016</v>
      </c>
      <c r="G1307" s="3" t="s">
        <v>4025</v>
      </c>
      <c r="H1307" s="8" t="s">
        <v>4026</v>
      </c>
      <c r="I1307" s="4"/>
      <c r="J1307" s="5" t="s">
        <v>20</v>
      </c>
      <c r="K1307" s="6"/>
      <c r="L1307" s="5"/>
      <c r="M1307" s="5"/>
      <c r="N1307" s="6"/>
      <c r="O1307" s="7"/>
      <c r="P1307" s="8" t="s">
        <v>21</v>
      </c>
      <c r="Q1307" s="8" t="s">
        <v>22</v>
      </c>
    </row>
    <row r="1308" customFormat="false" ht="15" hidden="false" customHeight="false" outlineLevel="0" collapsed="false">
      <c r="A1308" s="2" t="n">
        <v>1307</v>
      </c>
      <c r="B1308" s="3" t="s">
        <v>4027</v>
      </c>
      <c r="C1308" s="3" t="s">
        <v>4028</v>
      </c>
      <c r="D1308" s="4" t="s">
        <v>4029</v>
      </c>
      <c r="E1308" s="3" t="s">
        <v>3785</v>
      </c>
      <c r="F1308" s="3" t="s">
        <v>4016</v>
      </c>
      <c r="G1308" s="3" t="s">
        <v>4030</v>
      </c>
      <c r="H1308" s="8" t="s">
        <v>4031</v>
      </c>
      <c r="I1308" s="4"/>
      <c r="J1308" s="5" t="s">
        <v>20</v>
      </c>
      <c r="K1308" s="6"/>
      <c r="L1308" s="5"/>
      <c r="M1308" s="5"/>
      <c r="N1308" s="6"/>
      <c r="O1308" s="7"/>
      <c r="P1308" s="8" t="s">
        <v>21</v>
      </c>
      <c r="Q1308" s="8" t="s">
        <v>22</v>
      </c>
    </row>
    <row r="1309" customFormat="false" ht="15" hidden="false" customHeight="false" outlineLevel="0" collapsed="false">
      <c r="A1309" s="2" t="n">
        <v>1308</v>
      </c>
      <c r="B1309" s="3" t="s">
        <v>2922</v>
      </c>
      <c r="C1309" s="3" t="s">
        <v>4032</v>
      </c>
      <c r="D1309" s="4" t="s">
        <v>4033</v>
      </c>
      <c r="E1309" s="3" t="s">
        <v>3785</v>
      </c>
      <c r="F1309" s="3" t="s">
        <v>4016</v>
      </c>
      <c r="G1309" s="3" t="s">
        <v>4034</v>
      </c>
      <c r="H1309" s="8" t="s">
        <v>4035</v>
      </c>
      <c r="I1309" s="4"/>
      <c r="J1309" s="5" t="s">
        <v>20</v>
      </c>
      <c r="K1309" s="6"/>
      <c r="L1309" s="5"/>
      <c r="M1309" s="5"/>
      <c r="N1309" s="6"/>
      <c r="O1309" s="7"/>
      <c r="P1309" s="8" t="s">
        <v>21</v>
      </c>
      <c r="Q1309" s="8" t="s">
        <v>22</v>
      </c>
    </row>
    <row r="1310" customFormat="false" ht="15" hidden="false" customHeight="false" outlineLevel="0" collapsed="false">
      <c r="A1310" s="2" t="n">
        <v>1309</v>
      </c>
      <c r="B1310" s="3" t="s">
        <v>4036</v>
      </c>
      <c r="C1310" s="3" t="s">
        <v>116</v>
      </c>
      <c r="D1310" s="4" t="s">
        <v>4037</v>
      </c>
      <c r="E1310" s="3" t="s">
        <v>3785</v>
      </c>
      <c r="F1310" s="3" t="s">
        <v>4016</v>
      </c>
      <c r="G1310" s="3" t="s">
        <v>4038</v>
      </c>
      <c r="H1310" s="3"/>
      <c r="I1310" s="4"/>
      <c r="J1310" s="5" t="s">
        <v>20</v>
      </c>
      <c r="K1310" s="6"/>
      <c r="L1310" s="5"/>
      <c r="M1310" s="5"/>
      <c r="N1310" s="6"/>
      <c r="O1310" s="7"/>
      <c r="P1310" s="8" t="s">
        <v>21</v>
      </c>
      <c r="Q1310" s="8" t="s">
        <v>22</v>
      </c>
    </row>
    <row r="1311" customFormat="false" ht="15" hidden="false" customHeight="false" outlineLevel="0" collapsed="false">
      <c r="A1311" s="2" t="n">
        <v>1310</v>
      </c>
      <c r="B1311" s="3" t="s">
        <v>4039</v>
      </c>
      <c r="C1311" s="3" t="s">
        <v>4040</v>
      </c>
      <c r="D1311" s="4" t="s">
        <v>3308</v>
      </c>
      <c r="E1311" s="3" t="s">
        <v>3785</v>
      </c>
      <c r="F1311" s="3" t="s">
        <v>4016</v>
      </c>
      <c r="G1311" s="3" t="s">
        <v>4041</v>
      </c>
      <c r="H1311" s="8" t="s">
        <v>4042</v>
      </c>
      <c r="I1311" s="4"/>
      <c r="J1311" s="5" t="s">
        <v>20</v>
      </c>
      <c r="K1311" s="6"/>
      <c r="L1311" s="5"/>
      <c r="M1311" s="5"/>
      <c r="N1311" s="6"/>
      <c r="O1311" s="7"/>
      <c r="P1311" s="8" t="s">
        <v>21</v>
      </c>
      <c r="Q1311" s="8" t="s">
        <v>22</v>
      </c>
    </row>
    <row r="1312" customFormat="false" ht="15" hidden="false" customHeight="false" outlineLevel="0" collapsed="false">
      <c r="A1312" s="2" t="n">
        <v>1311</v>
      </c>
      <c r="B1312" s="3" t="s">
        <v>4043</v>
      </c>
      <c r="C1312" s="3" t="s">
        <v>71</v>
      </c>
      <c r="D1312" s="4" t="s">
        <v>4044</v>
      </c>
      <c r="E1312" s="3" t="s">
        <v>3785</v>
      </c>
      <c r="F1312" s="3" t="s">
        <v>4016</v>
      </c>
      <c r="G1312" s="3" t="s">
        <v>4045</v>
      </c>
      <c r="H1312" s="8" t="s">
        <v>4046</v>
      </c>
      <c r="I1312" s="4"/>
      <c r="J1312" s="5" t="s">
        <v>20</v>
      </c>
      <c r="K1312" s="6"/>
      <c r="L1312" s="5"/>
      <c r="M1312" s="5"/>
      <c r="N1312" s="6"/>
      <c r="O1312" s="7"/>
      <c r="P1312" s="8" t="s">
        <v>21</v>
      </c>
      <c r="Q1312" s="8" t="s">
        <v>22</v>
      </c>
    </row>
    <row r="1313" customFormat="false" ht="15" hidden="false" customHeight="false" outlineLevel="0" collapsed="false">
      <c r="A1313" s="2" t="n">
        <v>1312</v>
      </c>
      <c r="B1313" s="3" t="s">
        <v>4047</v>
      </c>
      <c r="C1313" s="3" t="s">
        <v>120</v>
      </c>
      <c r="D1313" s="4" t="s">
        <v>4048</v>
      </c>
      <c r="E1313" s="3" t="s">
        <v>3785</v>
      </c>
      <c r="F1313" s="3" t="s">
        <v>4016</v>
      </c>
      <c r="G1313" s="3" t="s">
        <v>4049</v>
      </c>
      <c r="H1313" s="8" t="s">
        <v>4050</v>
      </c>
      <c r="I1313" s="4"/>
      <c r="J1313" s="5" t="s">
        <v>20</v>
      </c>
      <c r="K1313" s="6"/>
      <c r="L1313" s="5"/>
      <c r="M1313" s="5"/>
      <c r="N1313" s="6"/>
      <c r="O1313" s="7"/>
      <c r="P1313" s="8" t="s">
        <v>21</v>
      </c>
      <c r="Q1313" s="8" t="s">
        <v>22</v>
      </c>
    </row>
    <row r="1314" customFormat="false" ht="23.85" hidden="false" customHeight="false" outlineLevel="0" collapsed="false">
      <c r="A1314" s="2" t="n">
        <v>1313</v>
      </c>
      <c r="B1314" s="3" t="s">
        <v>3064</v>
      </c>
      <c r="C1314" s="3" t="s">
        <v>4051</v>
      </c>
      <c r="D1314" s="4"/>
      <c r="E1314" s="3"/>
      <c r="F1314" s="3" t="s">
        <v>4052</v>
      </c>
      <c r="G1314" s="3" t="s">
        <v>4053</v>
      </c>
      <c r="H1314" s="8" t="s">
        <v>4054</v>
      </c>
      <c r="I1314" s="4" t="s">
        <v>4055</v>
      </c>
      <c r="J1314" s="5" t="s">
        <v>20</v>
      </c>
      <c r="K1314" s="6"/>
      <c r="L1314" s="5"/>
      <c r="M1314" s="5"/>
      <c r="N1314" s="6"/>
      <c r="O1314" s="7"/>
      <c r="P1314" s="8" t="s">
        <v>21</v>
      </c>
      <c r="Q1314" s="8" t="s">
        <v>22</v>
      </c>
    </row>
    <row r="1315" customFormat="false" ht="15" hidden="false" customHeight="false" outlineLevel="0" collapsed="false">
      <c r="A1315" s="2" t="n">
        <v>1314</v>
      </c>
      <c r="B1315" s="3" t="s">
        <v>4056</v>
      </c>
      <c r="C1315" s="3"/>
      <c r="D1315" s="4"/>
      <c r="E1315" s="3"/>
      <c r="F1315" s="3" t="s">
        <v>4052</v>
      </c>
      <c r="G1315" s="3"/>
      <c r="H1315" s="3"/>
      <c r="I1315" s="4"/>
      <c r="J1315" s="5" t="s">
        <v>20</v>
      </c>
      <c r="K1315" s="6"/>
      <c r="L1315" s="5"/>
      <c r="M1315" s="5"/>
      <c r="N1315" s="6"/>
      <c r="O1315" s="7"/>
      <c r="P1315" s="8" t="s">
        <v>21</v>
      </c>
      <c r="Q1315" s="8" t="s">
        <v>22</v>
      </c>
    </row>
    <row r="1316" customFormat="false" ht="35.05" hidden="false" customHeight="false" outlineLevel="0" collapsed="false">
      <c r="A1316" s="2" t="n">
        <v>1315</v>
      </c>
      <c r="B1316" s="3" t="s">
        <v>847</v>
      </c>
      <c r="C1316" s="3" t="s">
        <v>711</v>
      </c>
      <c r="D1316" s="4"/>
      <c r="E1316" s="3"/>
      <c r="F1316" s="3" t="s">
        <v>4052</v>
      </c>
      <c r="G1316" s="3" t="s">
        <v>4057</v>
      </c>
      <c r="H1316" s="8" t="s">
        <v>4058</v>
      </c>
      <c r="I1316" s="4" t="s">
        <v>4059</v>
      </c>
      <c r="J1316" s="5" t="s">
        <v>20</v>
      </c>
      <c r="K1316" s="6"/>
      <c r="L1316" s="5"/>
      <c r="M1316" s="5"/>
      <c r="N1316" s="6"/>
      <c r="O1316" s="7"/>
      <c r="P1316" s="8" t="s">
        <v>21</v>
      </c>
      <c r="Q1316" s="8" t="s">
        <v>22</v>
      </c>
    </row>
    <row r="1317" customFormat="false" ht="15" hidden="false" customHeight="false" outlineLevel="0" collapsed="false">
      <c r="A1317" s="2" t="n">
        <v>1316</v>
      </c>
      <c r="B1317" s="3" t="s">
        <v>4060</v>
      </c>
      <c r="C1317" s="3"/>
      <c r="D1317" s="4"/>
      <c r="E1317" s="3"/>
      <c r="F1317" s="3" t="s">
        <v>4052</v>
      </c>
      <c r="G1317" s="3"/>
      <c r="H1317" s="3"/>
      <c r="I1317" s="4"/>
      <c r="J1317" s="5" t="s">
        <v>20</v>
      </c>
      <c r="K1317" s="6"/>
      <c r="L1317" s="5"/>
      <c r="M1317" s="5"/>
      <c r="N1317" s="6"/>
      <c r="O1317" s="7"/>
      <c r="P1317" s="8" t="s">
        <v>21</v>
      </c>
      <c r="Q1317" s="8" t="s">
        <v>22</v>
      </c>
    </row>
    <row r="1318" customFormat="false" ht="15" hidden="false" customHeight="false" outlineLevel="0" collapsed="false">
      <c r="A1318" s="2" t="n">
        <v>1317</v>
      </c>
      <c r="B1318" s="3" t="s">
        <v>4061</v>
      </c>
      <c r="C1318" s="3" t="s">
        <v>3679</v>
      </c>
      <c r="D1318" s="4"/>
      <c r="E1318" s="3"/>
      <c r="F1318" s="3" t="s">
        <v>4052</v>
      </c>
      <c r="G1318" s="3"/>
      <c r="H1318" s="3"/>
      <c r="I1318" s="4"/>
      <c r="J1318" s="5" t="s">
        <v>20</v>
      </c>
      <c r="K1318" s="6"/>
      <c r="L1318" s="5"/>
      <c r="M1318" s="5"/>
      <c r="N1318" s="6"/>
      <c r="O1318" s="7"/>
      <c r="P1318" s="8" t="s">
        <v>21</v>
      </c>
      <c r="Q1318" s="8" t="s">
        <v>22</v>
      </c>
    </row>
    <row r="1319" customFormat="false" ht="15" hidden="false" customHeight="false" outlineLevel="0" collapsed="false">
      <c r="A1319" s="2" t="n">
        <v>1318</v>
      </c>
      <c r="B1319" s="3" t="s">
        <v>4062</v>
      </c>
      <c r="C1319" s="3"/>
      <c r="D1319" s="4"/>
      <c r="E1319" s="3"/>
      <c r="F1319" s="3" t="s">
        <v>4052</v>
      </c>
      <c r="G1319" s="3" t="s">
        <v>4063</v>
      </c>
      <c r="H1319" s="8" t="s">
        <v>4064</v>
      </c>
      <c r="I1319" s="4" t="s">
        <v>4065</v>
      </c>
      <c r="J1319" s="5" t="s">
        <v>20</v>
      </c>
      <c r="K1319" s="6"/>
      <c r="L1319" s="5"/>
      <c r="M1319" s="5"/>
      <c r="N1319" s="6"/>
      <c r="O1319" s="7"/>
      <c r="P1319" s="8" t="s">
        <v>21</v>
      </c>
      <c r="Q1319" s="8" t="s">
        <v>22</v>
      </c>
    </row>
    <row r="1320" customFormat="false" ht="15" hidden="false" customHeight="false" outlineLevel="0" collapsed="false">
      <c r="A1320" s="2" t="n">
        <v>1319</v>
      </c>
      <c r="B1320" s="3" t="s">
        <v>4066</v>
      </c>
      <c r="C1320" s="3" t="s">
        <v>24</v>
      </c>
      <c r="D1320" s="4"/>
      <c r="E1320" s="3"/>
      <c r="F1320" s="3" t="s">
        <v>4052</v>
      </c>
      <c r="G1320" s="3"/>
      <c r="H1320" s="3"/>
      <c r="I1320" s="4"/>
      <c r="J1320" s="5" t="s">
        <v>20</v>
      </c>
      <c r="K1320" s="6"/>
      <c r="L1320" s="5"/>
      <c r="M1320" s="5"/>
      <c r="N1320" s="6"/>
      <c r="O1320" s="7"/>
      <c r="P1320" s="8" t="s">
        <v>21</v>
      </c>
      <c r="Q1320" s="8" t="s">
        <v>22</v>
      </c>
    </row>
    <row r="1321" customFormat="false" ht="15" hidden="false" customHeight="false" outlineLevel="0" collapsed="false">
      <c r="A1321" s="2" t="n">
        <v>1320</v>
      </c>
      <c r="B1321" s="3" t="s">
        <v>4067</v>
      </c>
      <c r="C1321" s="3" t="s">
        <v>4068</v>
      </c>
      <c r="D1321" s="4"/>
      <c r="E1321" s="3"/>
      <c r="F1321" s="3" t="s">
        <v>4052</v>
      </c>
      <c r="G1321" s="3"/>
      <c r="H1321" s="3"/>
      <c r="I1321" s="4"/>
      <c r="J1321" s="5" t="s">
        <v>20</v>
      </c>
      <c r="K1321" s="6"/>
      <c r="L1321" s="5"/>
      <c r="M1321" s="5"/>
      <c r="N1321" s="6"/>
      <c r="O1321" s="7"/>
      <c r="P1321" s="8" t="s">
        <v>21</v>
      </c>
      <c r="Q1321" s="8" t="s">
        <v>22</v>
      </c>
    </row>
    <row r="1322" customFormat="false" ht="15" hidden="false" customHeight="false" outlineLevel="0" collapsed="false">
      <c r="A1322" s="2" t="n">
        <v>1321</v>
      </c>
      <c r="B1322" s="3" t="s">
        <v>3064</v>
      </c>
      <c r="C1322" s="3" t="s">
        <v>4051</v>
      </c>
      <c r="D1322" s="4"/>
      <c r="E1322" s="3"/>
      <c r="F1322" s="3" t="s">
        <v>4069</v>
      </c>
      <c r="G1322" s="3" t="s">
        <v>4070</v>
      </c>
      <c r="H1322" s="8" t="s">
        <v>4071</v>
      </c>
      <c r="I1322" s="4" t="s">
        <v>4072</v>
      </c>
      <c r="J1322" s="5" t="s">
        <v>20</v>
      </c>
      <c r="K1322" s="6"/>
      <c r="L1322" s="5"/>
      <c r="M1322" s="5"/>
      <c r="N1322" s="6"/>
      <c r="O1322" s="7"/>
      <c r="P1322" s="8" t="s">
        <v>21</v>
      </c>
      <c r="Q1322" s="8" t="s">
        <v>22</v>
      </c>
    </row>
    <row r="1323" customFormat="false" ht="23.85" hidden="false" customHeight="false" outlineLevel="0" collapsed="false">
      <c r="A1323" s="2" t="n">
        <v>1322</v>
      </c>
      <c r="B1323" s="3" t="s">
        <v>3492</v>
      </c>
      <c r="C1323" s="3" t="s">
        <v>711</v>
      </c>
      <c r="D1323" s="4"/>
      <c r="E1323" s="3"/>
      <c r="F1323" s="3" t="s">
        <v>4069</v>
      </c>
      <c r="G1323" s="3" t="s">
        <v>4073</v>
      </c>
      <c r="H1323" s="8" t="s">
        <v>4074</v>
      </c>
      <c r="I1323" s="4" t="s">
        <v>4075</v>
      </c>
      <c r="J1323" s="5" t="s">
        <v>20</v>
      </c>
      <c r="K1323" s="6"/>
      <c r="L1323" s="5"/>
      <c r="M1323" s="5"/>
      <c r="N1323" s="6"/>
      <c r="O1323" s="7"/>
      <c r="P1323" s="8" t="s">
        <v>21</v>
      </c>
      <c r="Q1323" s="8" t="s">
        <v>22</v>
      </c>
    </row>
    <row r="1324" customFormat="false" ht="15" hidden="false" customHeight="false" outlineLevel="0" collapsed="false">
      <c r="A1324" s="2" t="n">
        <v>1323</v>
      </c>
      <c r="B1324" s="3" t="s">
        <v>744</v>
      </c>
      <c r="C1324" s="3" t="s">
        <v>120</v>
      </c>
      <c r="D1324" s="4"/>
      <c r="E1324" s="3" t="s">
        <v>3730</v>
      </c>
      <c r="F1324" s="3" t="s">
        <v>4069</v>
      </c>
      <c r="G1324" s="3" t="s">
        <v>4076</v>
      </c>
      <c r="H1324" s="8" t="s">
        <v>4077</v>
      </c>
      <c r="I1324" s="4" t="s">
        <v>4078</v>
      </c>
      <c r="J1324" s="5" t="s">
        <v>20</v>
      </c>
      <c r="K1324" s="6"/>
      <c r="L1324" s="5"/>
      <c r="M1324" s="5"/>
      <c r="N1324" s="6"/>
      <c r="O1324" s="7"/>
      <c r="P1324" s="8" t="s">
        <v>21</v>
      </c>
      <c r="Q1324" s="8" t="s">
        <v>22</v>
      </c>
    </row>
    <row r="1325" customFormat="false" ht="23.85" hidden="false" customHeight="false" outlineLevel="0" collapsed="false">
      <c r="A1325" s="2" t="n">
        <v>1324</v>
      </c>
      <c r="B1325" s="3" t="s">
        <v>847</v>
      </c>
      <c r="C1325" s="3" t="s">
        <v>711</v>
      </c>
      <c r="D1325" s="4"/>
      <c r="E1325" s="3"/>
      <c r="F1325" s="3" t="s">
        <v>4069</v>
      </c>
      <c r="G1325" s="3" t="s">
        <v>4079</v>
      </c>
      <c r="H1325" s="8" t="s">
        <v>4080</v>
      </c>
      <c r="I1325" s="4" t="s">
        <v>4081</v>
      </c>
      <c r="J1325" s="5" t="s">
        <v>20</v>
      </c>
      <c r="K1325" s="6"/>
      <c r="L1325" s="5"/>
      <c r="M1325" s="5"/>
      <c r="N1325" s="6"/>
      <c r="O1325" s="7"/>
      <c r="P1325" s="8" t="s">
        <v>21</v>
      </c>
      <c r="Q1325" s="8" t="s">
        <v>22</v>
      </c>
    </row>
    <row r="1326" customFormat="false" ht="15" hidden="false" customHeight="false" outlineLevel="0" collapsed="false">
      <c r="A1326" s="2" t="n">
        <v>1325</v>
      </c>
      <c r="B1326" s="3" t="s">
        <v>4082</v>
      </c>
      <c r="C1326" s="3" t="s">
        <v>120</v>
      </c>
      <c r="D1326" s="4"/>
      <c r="E1326" s="3"/>
      <c r="F1326" s="3" t="s">
        <v>4069</v>
      </c>
      <c r="G1326" s="3"/>
      <c r="H1326" s="3"/>
      <c r="I1326" s="4"/>
      <c r="J1326" s="5" t="s">
        <v>20</v>
      </c>
      <c r="K1326" s="6"/>
      <c r="L1326" s="5"/>
      <c r="M1326" s="5"/>
      <c r="N1326" s="6"/>
      <c r="O1326" s="7"/>
      <c r="P1326" s="8" t="s">
        <v>21</v>
      </c>
      <c r="Q1326" s="8" t="s">
        <v>22</v>
      </c>
    </row>
    <row r="1327" customFormat="false" ht="23.85" hidden="false" customHeight="false" outlineLevel="0" collapsed="false">
      <c r="A1327" s="2" t="n">
        <v>1326</v>
      </c>
      <c r="B1327" s="3" t="s">
        <v>3228</v>
      </c>
      <c r="C1327" s="3" t="s">
        <v>91</v>
      </c>
      <c r="D1327" s="4"/>
      <c r="E1327" s="3"/>
      <c r="F1327" s="3" t="s">
        <v>4069</v>
      </c>
      <c r="G1327" s="3" t="s">
        <v>4083</v>
      </c>
      <c r="H1327" s="8" t="s">
        <v>4084</v>
      </c>
      <c r="I1327" s="4" t="s">
        <v>4085</v>
      </c>
      <c r="J1327" s="5" t="s">
        <v>20</v>
      </c>
      <c r="K1327" s="6"/>
      <c r="L1327" s="5"/>
      <c r="M1327" s="5"/>
      <c r="N1327" s="6"/>
      <c r="O1327" s="7"/>
      <c r="P1327" s="8" t="s">
        <v>21</v>
      </c>
      <c r="Q1327" s="8" t="s">
        <v>22</v>
      </c>
    </row>
    <row r="1328" customFormat="false" ht="15" hidden="false" customHeight="false" outlineLevel="0" collapsed="false">
      <c r="A1328" s="2" t="n">
        <v>1327</v>
      </c>
      <c r="B1328" s="3" t="s">
        <v>4086</v>
      </c>
      <c r="C1328" s="3" t="s">
        <v>24</v>
      </c>
      <c r="D1328" s="4"/>
      <c r="E1328" s="3"/>
      <c r="F1328" s="3" t="s">
        <v>4087</v>
      </c>
      <c r="G1328" s="3"/>
      <c r="H1328" s="3"/>
      <c r="I1328" s="4"/>
      <c r="J1328" s="5" t="s">
        <v>20</v>
      </c>
      <c r="K1328" s="6"/>
      <c r="L1328" s="5"/>
      <c r="M1328" s="5"/>
      <c r="N1328" s="6"/>
      <c r="O1328" s="7"/>
      <c r="P1328" s="8" t="s">
        <v>21</v>
      </c>
      <c r="Q1328" s="8" t="s">
        <v>22</v>
      </c>
    </row>
    <row r="1329" customFormat="false" ht="15" hidden="false" customHeight="false" outlineLevel="0" collapsed="false">
      <c r="A1329" s="2" t="n">
        <v>1328</v>
      </c>
      <c r="B1329" s="3" t="s">
        <v>4088</v>
      </c>
      <c r="C1329" s="3" t="s">
        <v>126</v>
      </c>
      <c r="D1329" s="4"/>
      <c r="E1329" s="3"/>
      <c r="F1329" s="3" t="s">
        <v>4087</v>
      </c>
      <c r="G1329" s="3"/>
      <c r="H1329" s="3"/>
      <c r="I1329" s="4"/>
      <c r="J1329" s="5" t="s">
        <v>20</v>
      </c>
      <c r="K1329" s="6"/>
      <c r="L1329" s="5"/>
      <c r="M1329" s="5"/>
      <c r="N1329" s="6"/>
      <c r="O1329" s="7"/>
      <c r="P1329" s="8" t="s">
        <v>21</v>
      </c>
      <c r="Q1329" s="8" t="s">
        <v>22</v>
      </c>
    </row>
    <row r="1330" customFormat="false" ht="15" hidden="false" customHeight="false" outlineLevel="0" collapsed="false">
      <c r="A1330" s="2" t="n">
        <v>1329</v>
      </c>
      <c r="B1330" s="3" t="s">
        <v>4089</v>
      </c>
      <c r="C1330" s="3" t="s">
        <v>120</v>
      </c>
      <c r="D1330" s="4"/>
      <c r="E1330" s="3"/>
      <c r="F1330" s="3" t="s">
        <v>4087</v>
      </c>
      <c r="G1330" s="3"/>
      <c r="H1330" s="3"/>
      <c r="I1330" s="4" t="s">
        <v>4090</v>
      </c>
      <c r="J1330" s="5" t="s">
        <v>20</v>
      </c>
      <c r="K1330" s="6"/>
      <c r="L1330" s="5"/>
      <c r="M1330" s="5"/>
      <c r="N1330" s="6"/>
      <c r="O1330" s="7"/>
      <c r="P1330" s="8" t="s">
        <v>21</v>
      </c>
      <c r="Q1330" s="8" t="s">
        <v>22</v>
      </c>
    </row>
    <row r="1331" customFormat="false" ht="15" hidden="false" customHeight="false" outlineLevel="0" collapsed="false">
      <c r="A1331" s="2" t="n">
        <v>1330</v>
      </c>
      <c r="B1331" s="3" t="s">
        <v>4091</v>
      </c>
      <c r="C1331" s="3" t="s">
        <v>71</v>
      </c>
      <c r="D1331" s="4"/>
      <c r="E1331" s="3"/>
      <c r="F1331" s="3" t="s">
        <v>4087</v>
      </c>
      <c r="G1331" s="3"/>
      <c r="H1331" s="3"/>
      <c r="I1331" s="4"/>
      <c r="J1331" s="5" t="s">
        <v>20</v>
      </c>
      <c r="K1331" s="6"/>
      <c r="L1331" s="5"/>
      <c r="M1331" s="5"/>
      <c r="N1331" s="6"/>
      <c r="O1331" s="7"/>
      <c r="P1331" s="8" t="s">
        <v>21</v>
      </c>
      <c r="Q1331" s="8" t="s">
        <v>22</v>
      </c>
    </row>
    <row r="1332" customFormat="false" ht="15" hidden="false" customHeight="false" outlineLevel="0" collapsed="false">
      <c r="A1332" s="2" t="n">
        <v>1331</v>
      </c>
      <c r="B1332" s="3" t="s">
        <v>4092</v>
      </c>
      <c r="C1332" s="3" t="s">
        <v>126</v>
      </c>
      <c r="D1332" s="4" t="s">
        <v>4093</v>
      </c>
      <c r="E1332" s="3" t="s">
        <v>3793</v>
      </c>
      <c r="F1332" s="3" t="s">
        <v>4087</v>
      </c>
      <c r="G1332" s="3"/>
      <c r="H1332" s="3"/>
      <c r="I1332" s="4" t="s">
        <v>4094</v>
      </c>
      <c r="J1332" s="5" t="s">
        <v>20</v>
      </c>
      <c r="K1332" s="6"/>
      <c r="L1332" s="5"/>
      <c r="M1332" s="5"/>
      <c r="N1332" s="6"/>
      <c r="O1332" s="7"/>
      <c r="P1332" s="8" t="s">
        <v>21</v>
      </c>
      <c r="Q1332" s="8" t="s">
        <v>22</v>
      </c>
    </row>
    <row r="1333" customFormat="false" ht="15" hidden="false" customHeight="false" outlineLevel="0" collapsed="false">
      <c r="A1333" s="2" t="n">
        <v>1332</v>
      </c>
      <c r="B1333" s="3" t="s">
        <v>4095</v>
      </c>
      <c r="C1333" s="3"/>
      <c r="D1333" s="4"/>
      <c r="E1333" s="3"/>
      <c r="F1333" s="3" t="s">
        <v>4096</v>
      </c>
      <c r="G1333" s="3"/>
      <c r="H1333" s="3"/>
      <c r="I1333" s="4"/>
      <c r="J1333" s="5" t="s">
        <v>20</v>
      </c>
      <c r="K1333" s="6"/>
      <c r="L1333" s="5"/>
      <c r="M1333" s="5"/>
      <c r="N1333" s="6"/>
      <c r="O1333" s="7"/>
      <c r="P1333" s="8" t="s">
        <v>21</v>
      </c>
      <c r="Q1333" s="8" t="s">
        <v>22</v>
      </c>
    </row>
    <row r="1334" customFormat="false" ht="15" hidden="false" customHeight="false" outlineLevel="0" collapsed="false">
      <c r="A1334" s="2" t="n">
        <v>1333</v>
      </c>
      <c r="B1334" s="3" t="s">
        <v>4097</v>
      </c>
      <c r="C1334" s="3" t="s">
        <v>4098</v>
      </c>
      <c r="D1334" s="4"/>
      <c r="E1334" s="3"/>
      <c r="F1334" s="3" t="s">
        <v>4099</v>
      </c>
      <c r="G1334" s="3"/>
      <c r="H1334" s="8" t="s">
        <v>4100</v>
      </c>
      <c r="I1334" s="4" t="s">
        <v>4101</v>
      </c>
      <c r="J1334" s="5" t="s">
        <v>20</v>
      </c>
      <c r="K1334" s="6"/>
      <c r="L1334" s="5"/>
      <c r="M1334" s="5"/>
      <c r="N1334" s="6"/>
      <c r="O1334" s="7"/>
      <c r="P1334" s="8" t="s">
        <v>21</v>
      </c>
      <c r="Q1334" s="8" t="s">
        <v>22</v>
      </c>
    </row>
    <row r="1335" customFormat="false" ht="23.85" hidden="false" customHeight="false" outlineLevel="0" collapsed="false">
      <c r="A1335" s="2" t="n">
        <v>1334</v>
      </c>
      <c r="B1335" s="3" t="s">
        <v>3064</v>
      </c>
      <c r="C1335" s="3" t="s">
        <v>4051</v>
      </c>
      <c r="D1335" s="4"/>
      <c r="E1335" s="3"/>
      <c r="F1335" s="3" t="s">
        <v>4099</v>
      </c>
      <c r="G1335" s="3" t="s">
        <v>4102</v>
      </c>
      <c r="H1335" s="8" t="s">
        <v>4103</v>
      </c>
      <c r="I1335" s="4" t="s">
        <v>4104</v>
      </c>
      <c r="J1335" s="5" t="s">
        <v>20</v>
      </c>
      <c r="K1335" s="6"/>
      <c r="L1335" s="5"/>
      <c r="M1335" s="5"/>
      <c r="N1335" s="6"/>
      <c r="O1335" s="7"/>
      <c r="P1335" s="8" t="s">
        <v>21</v>
      </c>
      <c r="Q1335" s="8" t="s">
        <v>22</v>
      </c>
    </row>
    <row r="1336" customFormat="false" ht="15" hidden="false" customHeight="false" outlineLevel="0" collapsed="false">
      <c r="A1336" s="2" t="n">
        <v>1335</v>
      </c>
      <c r="B1336" s="3" t="s">
        <v>4105</v>
      </c>
      <c r="C1336" s="3"/>
      <c r="D1336" s="4"/>
      <c r="E1336" s="3"/>
      <c r="F1336" s="3" t="s">
        <v>4099</v>
      </c>
      <c r="G1336" s="3" t="s">
        <v>4106</v>
      </c>
      <c r="H1336" s="8" t="s">
        <v>4107</v>
      </c>
      <c r="I1336" s="4" t="s">
        <v>4108</v>
      </c>
      <c r="J1336" s="5" t="s">
        <v>20</v>
      </c>
      <c r="K1336" s="6"/>
      <c r="L1336" s="5"/>
      <c r="M1336" s="5"/>
      <c r="N1336" s="6"/>
      <c r="O1336" s="7"/>
      <c r="P1336" s="8" t="s">
        <v>21</v>
      </c>
      <c r="Q1336" s="8" t="s">
        <v>22</v>
      </c>
    </row>
    <row r="1337" customFormat="false" ht="23.85" hidden="false" customHeight="false" outlineLevel="0" collapsed="false">
      <c r="A1337" s="2" t="n">
        <v>1336</v>
      </c>
      <c r="B1337" s="3" t="s">
        <v>4109</v>
      </c>
      <c r="C1337" s="3" t="s">
        <v>4110</v>
      </c>
      <c r="D1337" s="4" t="s">
        <v>4111</v>
      </c>
      <c r="E1337" s="3" t="s">
        <v>4112</v>
      </c>
      <c r="F1337" s="3" t="s">
        <v>4099</v>
      </c>
      <c r="G1337" s="3" t="s">
        <v>4113</v>
      </c>
      <c r="H1337" s="8" t="s">
        <v>4114</v>
      </c>
      <c r="I1337" s="4" t="s">
        <v>4115</v>
      </c>
      <c r="J1337" s="5" t="s">
        <v>20</v>
      </c>
      <c r="K1337" s="6"/>
      <c r="L1337" s="5"/>
      <c r="M1337" s="5"/>
      <c r="N1337" s="6"/>
      <c r="O1337" s="7"/>
      <c r="P1337" s="8" t="s">
        <v>21</v>
      </c>
      <c r="Q1337" s="8" t="s">
        <v>22</v>
      </c>
    </row>
    <row r="1338" customFormat="false" ht="15" hidden="false" customHeight="false" outlineLevel="0" collapsed="false">
      <c r="A1338" s="2" t="n">
        <v>1337</v>
      </c>
      <c r="B1338" s="3" t="s">
        <v>4116</v>
      </c>
      <c r="C1338" s="3" t="s">
        <v>4117</v>
      </c>
      <c r="D1338" s="4" t="s">
        <v>4118</v>
      </c>
      <c r="E1338" s="3" t="s">
        <v>4112</v>
      </c>
      <c r="F1338" s="3" t="s">
        <v>4099</v>
      </c>
      <c r="G1338" s="3" t="s">
        <v>4119</v>
      </c>
      <c r="H1338" s="8" t="s">
        <v>4120</v>
      </c>
      <c r="I1338" s="4" t="s">
        <v>2356</v>
      </c>
      <c r="J1338" s="5" t="s">
        <v>20</v>
      </c>
      <c r="K1338" s="6"/>
      <c r="L1338" s="5"/>
      <c r="M1338" s="5"/>
      <c r="N1338" s="6"/>
      <c r="O1338" s="7"/>
      <c r="P1338" s="8" t="s">
        <v>21</v>
      </c>
      <c r="Q1338" s="8" t="s">
        <v>22</v>
      </c>
    </row>
    <row r="1339" customFormat="false" ht="23.85" hidden="false" customHeight="false" outlineLevel="0" collapsed="false">
      <c r="A1339" s="2" t="n">
        <v>1338</v>
      </c>
      <c r="B1339" s="3" t="s">
        <v>3102</v>
      </c>
      <c r="C1339" s="3" t="s">
        <v>4121</v>
      </c>
      <c r="D1339" s="4"/>
      <c r="E1339" s="3"/>
      <c r="F1339" s="3" t="s">
        <v>4099</v>
      </c>
      <c r="G1339" s="3"/>
      <c r="H1339" s="8" t="s">
        <v>4122</v>
      </c>
      <c r="I1339" s="4" t="s">
        <v>4123</v>
      </c>
      <c r="J1339" s="5" t="s">
        <v>20</v>
      </c>
      <c r="K1339" s="6"/>
      <c r="L1339" s="5"/>
      <c r="M1339" s="5"/>
      <c r="N1339" s="6"/>
      <c r="O1339" s="7"/>
      <c r="P1339" s="8" t="s">
        <v>21</v>
      </c>
      <c r="Q1339" s="8" t="s">
        <v>22</v>
      </c>
    </row>
    <row r="1340" customFormat="false" ht="15" hidden="false" customHeight="false" outlineLevel="0" collapsed="false">
      <c r="A1340" s="2" t="n">
        <v>1339</v>
      </c>
      <c r="B1340" s="3" t="s">
        <v>4124</v>
      </c>
      <c r="C1340" s="3" t="s">
        <v>4125</v>
      </c>
      <c r="D1340" s="4"/>
      <c r="E1340" s="3"/>
      <c r="F1340" s="3" t="s">
        <v>4099</v>
      </c>
      <c r="G1340" s="3"/>
      <c r="H1340" s="8" t="s">
        <v>4126</v>
      </c>
      <c r="I1340" s="4"/>
      <c r="J1340" s="5" t="s">
        <v>20</v>
      </c>
      <c r="K1340" s="6"/>
      <c r="L1340" s="5"/>
      <c r="M1340" s="5"/>
      <c r="N1340" s="6"/>
      <c r="O1340" s="7"/>
      <c r="P1340" s="8" t="s">
        <v>21</v>
      </c>
      <c r="Q1340" s="8" t="s">
        <v>22</v>
      </c>
    </row>
    <row r="1341" customFormat="false" ht="15" hidden="false" customHeight="false" outlineLevel="0" collapsed="false">
      <c r="A1341" s="2" t="n">
        <v>1340</v>
      </c>
      <c r="B1341" s="3" t="s">
        <v>744</v>
      </c>
      <c r="C1341" s="3" t="s">
        <v>120</v>
      </c>
      <c r="D1341" s="4"/>
      <c r="E1341" s="3"/>
      <c r="F1341" s="3" t="s">
        <v>4099</v>
      </c>
      <c r="G1341" s="3" t="s">
        <v>4127</v>
      </c>
      <c r="H1341" s="8" t="s">
        <v>4128</v>
      </c>
      <c r="I1341" s="4" t="s">
        <v>4129</v>
      </c>
      <c r="J1341" s="5" t="s">
        <v>20</v>
      </c>
      <c r="K1341" s="6"/>
      <c r="L1341" s="5"/>
      <c r="M1341" s="5"/>
      <c r="N1341" s="6"/>
      <c r="O1341" s="7"/>
      <c r="P1341" s="8" t="s">
        <v>21</v>
      </c>
      <c r="Q1341" s="8" t="s">
        <v>22</v>
      </c>
    </row>
    <row r="1342" customFormat="false" ht="23.85" hidden="false" customHeight="false" outlineLevel="0" collapsed="false">
      <c r="A1342" s="2" t="n">
        <v>1341</v>
      </c>
      <c r="B1342" s="3" t="s">
        <v>4130</v>
      </c>
      <c r="C1342" s="3" t="s">
        <v>91</v>
      </c>
      <c r="D1342" s="4"/>
      <c r="E1342" s="3"/>
      <c r="F1342" s="3" t="s">
        <v>4099</v>
      </c>
      <c r="G1342" s="3"/>
      <c r="H1342" s="3"/>
      <c r="I1342" s="4" t="s">
        <v>4131</v>
      </c>
      <c r="J1342" s="5" t="s">
        <v>20</v>
      </c>
      <c r="K1342" s="6"/>
      <c r="L1342" s="5"/>
      <c r="M1342" s="5"/>
      <c r="N1342" s="6"/>
      <c r="O1342" s="7"/>
      <c r="P1342" s="8" t="s">
        <v>21</v>
      </c>
      <c r="Q1342" s="8" t="s">
        <v>22</v>
      </c>
    </row>
    <row r="1343" customFormat="false" ht="23.85" hidden="false" customHeight="false" outlineLevel="0" collapsed="false">
      <c r="A1343" s="2" t="n">
        <v>1342</v>
      </c>
      <c r="B1343" s="3" t="s">
        <v>847</v>
      </c>
      <c r="C1343" s="3" t="s">
        <v>711</v>
      </c>
      <c r="D1343" s="4" t="s">
        <v>4132</v>
      </c>
      <c r="E1343" s="3" t="s">
        <v>4112</v>
      </c>
      <c r="F1343" s="3" t="s">
        <v>4099</v>
      </c>
      <c r="G1343" s="3" t="s">
        <v>4133</v>
      </c>
      <c r="H1343" s="8" t="s">
        <v>4134</v>
      </c>
      <c r="I1343" s="4" t="s">
        <v>4135</v>
      </c>
      <c r="J1343" s="5" t="s">
        <v>20</v>
      </c>
      <c r="K1343" s="6"/>
      <c r="L1343" s="5"/>
      <c r="M1343" s="5"/>
      <c r="N1343" s="6"/>
      <c r="O1343" s="7"/>
      <c r="P1343" s="8" t="s">
        <v>21</v>
      </c>
      <c r="Q1343" s="8" t="s">
        <v>22</v>
      </c>
    </row>
    <row r="1344" customFormat="false" ht="23.85" hidden="false" customHeight="false" outlineLevel="0" collapsed="false">
      <c r="A1344" s="2" t="n">
        <v>1343</v>
      </c>
      <c r="B1344" s="3" t="s">
        <v>4136</v>
      </c>
      <c r="C1344" s="3" t="s">
        <v>18</v>
      </c>
      <c r="D1344" s="4" t="s">
        <v>4137</v>
      </c>
      <c r="E1344" s="3" t="s">
        <v>4112</v>
      </c>
      <c r="F1344" s="3" t="s">
        <v>4099</v>
      </c>
      <c r="G1344" s="3" t="s">
        <v>4138</v>
      </c>
      <c r="H1344" s="8" t="s">
        <v>4139</v>
      </c>
      <c r="I1344" s="4" t="s">
        <v>4140</v>
      </c>
      <c r="J1344" s="5" t="s">
        <v>20</v>
      </c>
      <c r="K1344" s="6"/>
      <c r="L1344" s="5"/>
      <c r="M1344" s="5"/>
      <c r="N1344" s="6"/>
      <c r="O1344" s="7"/>
      <c r="P1344" s="8" t="s">
        <v>21</v>
      </c>
      <c r="Q1344" s="8" t="s">
        <v>22</v>
      </c>
    </row>
    <row r="1345" customFormat="false" ht="15" hidden="false" customHeight="false" outlineLevel="0" collapsed="false">
      <c r="A1345" s="2" t="n">
        <v>1344</v>
      </c>
      <c r="B1345" s="3" t="s">
        <v>4141</v>
      </c>
      <c r="C1345" s="3" t="s">
        <v>71</v>
      </c>
      <c r="D1345" s="4" t="s">
        <v>4142</v>
      </c>
      <c r="E1345" s="3" t="s">
        <v>4112</v>
      </c>
      <c r="F1345" s="3" t="s">
        <v>4099</v>
      </c>
      <c r="G1345" s="3" t="s">
        <v>4143</v>
      </c>
      <c r="H1345" s="8" t="s">
        <v>4144</v>
      </c>
      <c r="I1345" s="4" t="s">
        <v>4145</v>
      </c>
      <c r="J1345" s="5" t="s">
        <v>20</v>
      </c>
      <c r="K1345" s="6"/>
      <c r="L1345" s="5"/>
      <c r="M1345" s="5"/>
      <c r="N1345" s="6"/>
      <c r="O1345" s="7"/>
      <c r="P1345" s="8" t="s">
        <v>21</v>
      </c>
      <c r="Q1345" s="8" t="s">
        <v>22</v>
      </c>
    </row>
    <row r="1346" customFormat="false" ht="23.85" hidden="false" customHeight="false" outlineLevel="0" collapsed="false">
      <c r="A1346" s="2" t="n">
        <v>1345</v>
      </c>
      <c r="B1346" s="3" t="s">
        <v>3126</v>
      </c>
      <c r="C1346" s="3" t="s">
        <v>89</v>
      </c>
      <c r="D1346" s="4" t="s">
        <v>4146</v>
      </c>
      <c r="E1346" s="3"/>
      <c r="F1346" s="3" t="s">
        <v>4099</v>
      </c>
      <c r="G1346" s="3" t="s">
        <v>4147</v>
      </c>
      <c r="H1346" s="8" t="s">
        <v>4148</v>
      </c>
      <c r="I1346" s="4" t="s">
        <v>4149</v>
      </c>
      <c r="J1346" s="5" t="s">
        <v>20</v>
      </c>
      <c r="K1346" s="6"/>
      <c r="L1346" s="5"/>
      <c r="M1346" s="5"/>
      <c r="N1346" s="6"/>
      <c r="O1346" s="7"/>
      <c r="P1346" s="8" t="s">
        <v>21</v>
      </c>
      <c r="Q1346" s="8" t="s">
        <v>22</v>
      </c>
    </row>
    <row r="1347" customFormat="false" ht="15" hidden="false" customHeight="false" outlineLevel="0" collapsed="false">
      <c r="A1347" s="2" t="n">
        <v>1346</v>
      </c>
      <c r="B1347" s="3" t="s">
        <v>4150</v>
      </c>
      <c r="C1347" s="3" t="s">
        <v>135</v>
      </c>
      <c r="D1347" s="4" t="s">
        <v>4151</v>
      </c>
      <c r="E1347" s="3"/>
      <c r="F1347" s="3" t="s">
        <v>4099</v>
      </c>
      <c r="G1347" s="3"/>
      <c r="H1347" s="8" t="s">
        <v>4152</v>
      </c>
      <c r="I1347" s="4" t="s">
        <v>4153</v>
      </c>
      <c r="J1347" s="5" t="s">
        <v>20</v>
      </c>
      <c r="K1347" s="6"/>
      <c r="L1347" s="5"/>
      <c r="M1347" s="5"/>
      <c r="N1347" s="6"/>
      <c r="O1347" s="7"/>
      <c r="P1347" s="8" t="s">
        <v>21</v>
      </c>
      <c r="Q1347" s="8" t="s">
        <v>22</v>
      </c>
    </row>
    <row r="1348" customFormat="false" ht="35.05" hidden="false" customHeight="false" outlineLevel="0" collapsed="false">
      <c r="A1348" s="2" t="n">
        <v>1347</v>
      </c>
      <c r="B1348" s="3" t="s">
        <v>3293</v>
      </c>
      <c r="C1348" s="3" t="s">
        <v>711</v>
      </c>
      <c r="D1348" s="4" t="s">
        <v>4154</v>
      </c>
      <c r="E1348" s="3" t="s">
        <v>4112</v>
      </c>
      <c r="F1348" s="3" t="s">
        <v>4099</v>
      </c>
      <c r="G1348" s="3" t="s">
        <v>4155</v>
      </c>
      <c r="H1348" s="8" t="s">
        <v>4156</v>
      </c>
      <c r="I1348" s="4" t="s">
        <v>4157</v>
      </c>
      <c r="J1348" s="5" t="s">
        <v>20</v>
      </c>
      <c r="K1348" s="6"/>
      <c r="L1348" s="5"/>
      <c r="M1348" s="5"/>
      <c r="N1348" s="6"/>
      <c r="O1348" s="7"/>
      <c r="P1348" s="8" t="s">
        <v>21</v>
      </c>
      <c r="Q1348" s="8" t="s">
        <v>22</v>
      </c>
    </row>
    <row r="1349" customFormat="false" ht="23.85" hidden="false" customHeight="false" outlineLevel="0" collapsed="false">
      <c r="A1349" s="2" t="n">
        <v>1348</v>
      </c>
      <c r="B1349" s="3" t="s">
        <v>3412</v>
      </c>
      <c r="C1349" s="3" t="s">
        <v>4158</v>
      </c>
      <c r="D1349" s="4"/>
      <c r="E1349" s="3"/>
      <c r="F1349" s="3" t="s">
        <v>4099</v>
      </c>
      <c r="G1349" s="3"/>
      <c r="H1349" s="8" t="s">
        <v>3415</v>
      </c>
      <c r="I1349" s="4" t="s">
        <v>4159</v>
      </c>
      <c r="J1349" s="5" t="s">
        <v>20</v>
      </c>
      <c r="K1349" s="6"/>
      <c r="L1349" s="5"/>
      <c r="M1349" s="5"/>
      <c r="N1349" s="6"/>
      <c r="O1349" s="7"/>
      <c r="P1349" s="8" t="s">
        <v>21</v>
      </c>
      <c r="Q1349" s="8" t="s">
        <v>22</v>
      </c>
    </row>
    <row r="1350" customFormat="false" ht="15" hidden="false" customHeight="false" outlineLevel="0" collapsed="false">
      <c r="A1350" s="2" t="n">
        <v>1349</v>
      </c>
      <c r="B1350" s="3" t="s">
        <v>1146</v>
      </c>
      <c r="C1350" s="3"/>
      <c r="D1350" s="4"/>
      <c r="E1350" s="3" t="s">
        <v>4112</v>
      </c>
      <c r="F1350" s="3" t="s">
        <v>4099</v>
      </c>
      <c r="G1350" s="3" t="s">
        <v>4160</v>
      </c>
      <c r="H1350" s="8" t="s">
        <v>4161</v>
      </c>
      <c r="I1350" s="4" t="s">
        <v>1406</v>
      </c>
      <c r="J1350" s="5" t="s">
        <v>20</v>
      </c>
      <c r="K1350" s="6"/>
      <c r="L1350" s="5"/>
      <c r="M1350" s="5"/>
      <c r="N1350" s="6"/>
      <c r="O1350" s="7"/>
      <c r="P1350" s="8" t="s">
        <v>21</v>
      </c>
      <c r="Q1350" s="8" t="s">
        <v>22</v>
      </c>
    </row>
    <row r="1351" customFormat="false" ht="15" hidden="false" customHeight="false" outlineLevel="0" collapsed="false">
      <c r="A1351" s="2" t="n">
        <v>1350</v>
      </c>
      <c r="B1351" s="3" t="s">
        <v>4162</v>
      </c>
      <c r="C1351" s="3" t="s">
        <v>1274</v>
      </c>
      <c r="D1351" s="4" t="s">
        <v>4163</v>
      </c>
      <c r="E1351" s="3" t="s">
        <v>4112</v>
      </c>
      <c r="F1351" s="3" t="s">
        <v>4099</v>
      </c>
      <c r="G1351" s="3" t="s">
        <v>4164</v>
      </c>
      <c r="H1351" s="8" t="s">
        <v>4165</v>
      </c>
      <c r="I1351" s="4"/>
      <c r="J1351" s="5" t="s">
        <v>20</v>
      </c>
      <c r="K1351" s="6"/>
      <c r="L1351" s="5"/>
      <c r="M1351" s="5"/>
      <c r="N1351" s="6"/>
      <c r="O1351" s="7"/>
      <c r="P1351" s="8" t="s">
        <v>21</v>
      </c>
      <c r="Q1351" s="8" t="s">
        <v>22</v>
      </c>
    </row>
    <row r="1352" customFormat="false" ht="23.85" hidden="false" customHeight="false" outlineLevel="0" collapsed="false">
      <c r="A1352" s="2" t="n">
        <v>1351</v>
      </c>
      <c r="B1352" s="3" t="s">
        <v>4166</v>
      </c>
      <c r="C1352" s="3"/>
      <c r="D1352" s="4"/>
      <c r="E1352" s="3"/>
      <c r="F1352" s="3" t="s">
        <v>4099</v>
      </c>
      <c r="G1352" s="3"/>
      <c r="H1352" s="8" t="s">
        <v>4167</v>
      </c>
      <c r="I1352" s="4" t="s">
        <v>4168</v>
      </c>
      <c r="J1352" s="5" t="s">
        <v>20</v>
      </c>
      <c r="K1352" s="6"/>
      <c r="L1352" s="5"/>
      <c r="M1352" s="5"/>
      <c r="N1352" s="6"/>
      <c r="O1352" s="7"/>
      <c r="P1352" s="8" t="s">
        <v>21</v>
      </c>
      <c r="Q1352" s="8" t="s">
        <v>22</v>
      </c>
    </row>
    <row r="1353" customFormat="false" ht="23.85" hidden="false" customHeight="false" outlineLevel="0" collapsed="false">
      <c r="A1353" s="2" t="n">
        <v>1352</v>
      </c>
      <c r="B1353" s="3" t="s">
        <v>4169</v>
      </c>
      <c r="C1353" s="3"/>
      <c r="D1353" s="4"/>
      <c r="E1353" s="3"/>
      <c r="F1353" s="3" t="s">
        <v>4099</v>
      </c>
      <c r="G1353" s="3"/>
      <c r="H1353" s="8" t="s">
        <v>4170</v>
      </c>
      <c r="I1353" s="4" t="s">
        <v>4171</v>
      </c>
      <c r="J1353" s="5" t="s">
        <v>20</v>
      </c>
      <c r="K1353" s="6"/>
      <c r="L1353" s="5"/>
      <c r="M1353" s="5"/>
      <c r="N1353" s="6"/>
      <c r="O1353" s="7"/>
      <c r="P1353" s="8" t="s">
        <v>21</v>
      </c>
      <c r="Q1353" s="8" t="s">
        <v>22</v>
      </c>
    </row>
    <row r="1354" customFormat="false" ht="15" hidden="false" customHeight="false" outlineLevel="0" collapsed="false">
      <c r="A1354" s="2" t="n">
        <v>1353</v>
      </c>
      <c r="B1354" s="3" t="s">
        <v>4172</v>
      </c>
      <c r="C1354" s="3" t="s">
        <v>3054</v>
      </c>
      <c r="D1354" s="4" t="s">
        <v>4173</v>
      </c>
      <c r="E1354" s="3" t="s">
        <v>4112</v>
      </c>
      <c r="F1354" s="3" t="s">
        <v>4099</v>
      </c>
      <c r="G1354" s="3" t="s">
        <v>4174</v>
      </c>
      <c r="H1354" s="8" t="s">
        <v>4175</v>
      </c>
      <c r="I1354" s="4" t="s">
        <v>4176</v>
      </c>
      <c r="J1354" s="5" t="s">
        <v>20</v>
      </c>
      <c r="K1354" s="6"/>
      <c r="L1354" s="5"/>
      <c r="M1354" s="5"/>
      <c r="N1354" s="6"/>
      <c r="O1354" s="7"/>
      <c r="P1354" s="8" t="s">
        <v>21</v>
      </c>
      <c r="Q1354" s="8" t="s">
        <v>22</v>
      </c>
    </row>
    <row r="1355" customFormat="false" ht="23.85" hidden="false" customHeight="false" outlineLevel="0" collapsed="false">
      <c r="A1355" s="2" t="n">
        <v>1354</v>
      </c>
      <c r="B1355" s="3" t="s">
        <v>4177</v>
      </c>
      <c r="C1355" s="3" t="s">
        <v>116</v>
      </c>
      <c r="D1355" s="4"/>
      <c r="E1355" s="3"/>
      <c r="F1355" s="3" t="s">
        <v>4099</v>
      </c>
      <c r="G1355" s="3" t="s">
        <v>4178</v>
      </c>
      <c r="H1355" s="8" t="s">
        <v>4179</v>
      </c>
      <c r="I1355" s="4" t="s">
        <v>4180</v>
      </c>
      <c r="J1355" s="5" t="s">
        <v>20</v>
      </c>
      <c r="K1355" s="6"/>
      <c r="L1355" s="5"/>
      <c r="M1355" s="5"/>
      <c r="N1355" s="6"/>
      <c r="O1355" s="7"/>
      <c r="P1355" s="8" t="s">
        <v>21</v>
      </c>
      <c r="Q1355" s="8" t="s">
        <v>22</v>
      </c>
    </row>
    <row r="1356" customFormat="false" ht="15" hidden="false" customHeight="false" outlineLevel="0" collapsed="false">
      <c r="A1356" s="2" t="n">
        <v>1355</v>
      </c>
      <c r="B1356" s="3" t="s">
        <v>4181</v>
      </c>
      <c r="C1356" s="3"/>
      <c r="D1356" s="4"/>
      <c r="E1356" s="3"/>
      <c r="F1356" s="3" t="s">
        <v>4099</v>
      </c>
      <c r="G1356" s="3" t="s">
        <v>4182</v>
      </c>
      <c r="H1356" s="8" t="s">
        <v>4183</v>
      </c>
      <c r="I1356" s="4" t="s">
        <v>4184</v>
      </c>
      <c r="J1356" s="5" t="s">
        <v>20</v>
      </c>
      <c r="K1356" s="6"/>
      <c r="L1356" s="5"/>
      <c r="M1356" s="5"/>
      <c r="N1356" s="6"/>
      <c r="O1356" s="7"/>
      <c r="P1356" s="8" t="s">
        <v>21</v>
      </c>
      <c r="Q1356" s="8" t="s">
        <v>22</v>
      </c>
    </row>
    <row r="1357" customFormat="false" ht="23.85" hidden="false" customHeight="false" outlineLevel="0" collapsed="false">
      <c r="A1357" s="2" t="n">
        <v>1356</v>
      </c>
      <c r="B1357" s="3" t="s">
        <v>4185</v>
      </c>
      <c r="C1357" s="3" t="s">
        <v>120</v>
      </c>
      <c r="D1357" s="4" t="s">
        <v>4137</v>
      </c>
      <c r="E1357" s="3" t="s">
        <v>4112</v>
      </c>
      <c r="F1357" s="3" t="s">
        <v>4099</v>
      </c>
      <c r="G1357" s="3"/>
      <c r="H1357" s="8" t="s">
        <v>4186</v>
      </c>
      <c r="I1357" s="4" t="s">
        <v>4187</v>
      </c>
      <c r="J1357" s="5" t="s">
        <v>20</v>
      </c>
      <c r="K1357" s="6"/>
      <c r="L1357" s="5"/>
      <c r="M1357" s="5"/>
      <c r="N1357" s="6"/>
      <c r="O1357" s="7"/>
      <c r="P1357" s="8" t="s">
        <v>21</v>
      </c>
      <c r="Q1357" s="8" t="s">
        <v>22</v>
      </c>
    </row>
    <row r="1358" customFormat="false" ht="15" hidden="false" customHeight="false" outlineLevel="0" collapsed="false">
      <c r="A1358" s="2" t="n">
        <v>1357</v>
      </c>
      <c r="B1358" s="3" t="s">
        <v>4188</v>
      </c>
      <c r="C1358" s="3"/>
      <c r="D1358" s="4" t="s">
        <v>4189</v>
      </c>
      <c r="E1358" s="3"/>
      <c r="F1358" s="3" t="s">
        <v>4099</v>
      </c>
      <c r="G1358" s="3" t="s">
        <v>4190</v>
      </c>
      <c r="H1358" s="3"/>
      <c r="I1358" s="4"/>
      <c r="J1358" s="5" t="s">
        <v>20</v>
      </c>
      <c r="K1358" s="6"/>
      <c r="L1358" s="5"/>
      <c r="M1358" s="5"/>
      <c r="N1358" s="6"/>
      <c r="O1358" s="7"/>
      <c r="P1358" s="8" t="s">
        <v>21</v>
      </c>
      <c r="Q1358" s="8" t="s">
        <v>22</v>
      </c>
    </row>
    <row r="1359" customFormat="false" ht="15" hidden="false" customHeight="false" outlineLevel="0" collapsed="false">
      <c r="A1359" s="2" t="n">
        <v>1358</v>
      </c>
      <c r="B1359" s="3" t="s">
        <v>4191</v>
      </c>
      <c r="C1359" s="3"/>
      <c r="D1359" s="4"/>
      <c r="E1359" s="3"/>
      <c r="F1359" s="3" t="s">
        <v>4099</v>
      </c>
      <c r="G1359" s="3"/>
      <c r="H1359" s="3"/>
      <c r="I1359" s="4" t="s">
        <v>4192</v>
      </c>
      <c r="J1359" s="5" t="s">
        <v>20</v>
      </c>
      <c r="K1359" s="6"/>
      <c r="L1359" s="5"/>
      <c r="M1359" s="5"/>
      <c r="N1359" s="6"/>
      <c r="O1359" s="7"/>
      <c r="P1359" s="8" t="s">
        <v>21</v>
      </c>
      <c r="Q1359" s="8" t="s">
        <v>22</v>
      </c>
    </row>
    <row r="1360" customFormat="false" ht="23.85" hidden="false" customHeight="false" outlineLevel="0" collapsed="false">
      <c r="A1360" s="2" t="n">
        <v>1359</v>
      </c>
      <c r="B1360" s="3" t="s">
        <v>4193</v>
      </c>
      <c r="C1360" s="3"/>
      <c r="D1360" s="4" t="s">
        <v>4173</v>
      </c>
      <c r="E1360" s="3" t="s">
        <v>4112</v>
      </c>
      <c r="F1360" s="3" t="s">
        <v>4099</v>
      </c>
      <c r="G1360" s="3" t="s">
        <v>4194</v>
      </c>
      <c r="H1360" s="8" t="s">
        <v>4195</v>
      </c>
      <c r="I1360" s="4" t="s">
        <v>4196</v>
      </c>
      <c r="J1360" s="5" t="s">
        <v>20</v>
      </c>
      <c r="K1360" s="6"/>
      <c r="L1360" s="5"/>
      <c r="M1360" s="5"/>
      <c r="N1360" s="6"/>
      <c r="O1360" s="7"/>
      <c r="P1360" s="8" t="s">
        <v>21</v>
      </c>
      <c r="Q1360" s="8" t="s">
        <v>22</v>
      </c>
    </row>
    <row r="1361" customFormat="false" ht="15" hidden="false" customHeight="false" outlineLevel="0" collapsed="false">
      <c r="A1361" s="2" t="n">
        <v>1360</v>
      </c>
      <c r="B1361" s="3" t="s">
        <v>4197</v>
      </c>
      <c r="C1361" s="3" t="s">
        <v>185</v>
      </c>
      <c r="D1361" s="4"/>
      <c r="E1361" s="3"/>
      <c r="F1361" s="3" t="s">
        <v>4099</v>
      </c>
      <c r="G1361" s="3" t="s">
        <v>4198</v>
      </c>
      <c r="H1361" s="3"/>
      <c r="I1361" s="4" t="s">
        <v>4199</v>
      </c>
      <c r="J1361" s="5" t="s">
        <v>20</v>
      </c>
      <c r="K1361" s="6"/>
      <c r="L1361" s="5"/>
      <c r="M1361" s="5"/>
      <c r="N1361" s="6"/>
      <c r="O1361" s="7"/>
      <c r="P1361" s="8" t="s">
        <v>21</v>
      </c>
      <c r="Q1361" s="8" t="s">
        <v>22</v>
      </c>
    </row>
    <row r="1362" customFormat="false" ht="15" hidden="false" customHeight="false" outlineLevel="0" collapsed="false">
      <c r="A1362" s="2" t="n">
        <v>1361</v>
      </c>
      <c r="B1362" s="3" t="s">
        <v>4200</v>
      </c>
      <c r="C1362" s="3"/>
      <c r="D1362" s="4" t="s">
        <v>4146</v>
      </c>
      <c r="E1362" s="3" t="s">
        <v>4112</v>
      </c>
      <c r="F1362" s="3" t="s">
        <v>4099</v>
      </c>
      <c r="G1362" s="3" t="s">
        <v>4201</v>
      </c>
      <c r="H1362" s="8" t="s">
        <v>4202</v>
      </c>
      <c r="I1362" s="4"/>
      <c r="J1362" s="5" t="s">
        <v>20</v>
      </c>
      <c r="K1362" s="6"/>
      <c r="L1362" s="5"/>
      <c r="M1362" s="5"/>
      <c r="N1362" s="6"/>
      <c r="O1362" s="7"/>
      <c r="P1362" s="8" t="s">
        <v>21</v>
      </c>
      <c r="Q1362" s="8" t="s">
        <v>22</v>
      </c>
    </row>
    <row r="1363" customFormat="false" ht="15" hidden="false" customHeight="false" outlineLevel="0" collapsed="false">
      <c r="A1363" s="2" t="n">
        <v>1362</v>
      </c>
      <c r="B1363" s="3" t="s">
        <v>4203</v>
      </c>
      <c r="C1363" s="3"/>
      <c r="D1363" s="4"/>
      <c r="E1363" s="3"/>
      <c r="F1363" s="3" t="s">
        <v>4099</v>
      </c>
      <c r="G1363" s="3"/>
      <c r="H1363" s="3"/>
      <c r="I1363" s="4"/>
      <c r="J1363" s="5" t="s">
        <v>20</v>
      </c>
      <c r="K1363" s="6"/>
      <c r="L1363" s="5"/>
      <c r="M1363" s="5"/>
      <c r="N1363" s="6"/>
      <c r="O1363" s="7"/>
      <c r="P1363" s="8" t="s">
        <v>21</v>
      </c>
      <c r="Q1363" s="8" t="s">
        <v>22</v>
      </c>
    </row>
    <row r="1364" customFormat="false" ht="35.05" hidden="false" customHeight="false" outlineLevel="0" collapsed="false">
      <c r="A1364" s="2" t="n">
        <v>1363</v>
      </c>
      <c r="B1364" s="3" t="s">
        <v>3228</v>
      </c>
      <c r="C1364" s="3" t="s">
        <v>91</v>
      </c>
      <c r="D1364" s="4"/>
      <c r="E1364" s="3" t="s">
        <v>4112</v>
      </c>
      <c r="F1364" s="3" t="s">
        <v>4099</v>
      </c>
      <c r="G1364" s="3" t="s">
        <v>4204</v>
      </c>
      <c r="H1364" s="8" t="s">
        <v>4205</v>
      </c>
      <c r="I1364" s="4" t="s">
        <v>4206</v>
      </c>
      <c r="J1364" s="5" t="s">
        <v>20</v>
      </c>
      <c r="K1364" s="6"/>
      <c r="L1364" s="5"/>
      <c r="M1364" s="5"/>
      <c r="N1364" s="6"/>
      <c r="O1364" s="7"/>
      <c r="P1364" s="8" t="s">
        <v>21</v>
      </c>
      <c r="Q1364" s="8" t="s">
        <v>22</v>
      </c>
    </row>
    <row r="1365" customFormat="false" ht="15" hidden="false" customHeight="false" outlineLevel="0" collapsed="false">
      <c r="A1365" s="2" t="n">
        <v>1364</v>
      </c>
      <c r="B1365" s="3" t="s">
        <v>4207</v>
      </c>
      <c r="C1365" s="3"/>
      <c r="D1365" s="4"/>
      <c r="E1365" s="3"/>
      <c r="F1365" s="3" t="s">
        <v>4099</v>
      </c>
      <c r="G1365" s="3" t="s">
        <v>4208</v>
      </c>
      <c r="H1365" s="3"/>
      <c r="I1365" s="4" t="s">
        <v>4209</v>
      </c>
      <c r="J1365" s="5" t="s">
        <v>20</v>
      </c>
      <c r="K1365" s="6"/>
      <c r="L1365" s="5"/>
      <c r="M1365" s="5"/>
      <c r="N1365" s="6"/>
      <c r="O1365" s="7"/>
      <c r="P1365" s="8" t="s">
        <v>21</v>
      </c>
      <c r="Q1365" s="8" t="s">
        <v>22</v>
      </c>
    </row>
    <row r="1366" customFormat="false" ht="23.85" hidden="false" customHeight="false" outlineLevel="0" collapsed="false">
      <c r="A1366" s="2" t="n">
        <v>1365</v>
      </c>
      <c r="B1366" s="3" t="s">
        <v>4210</v>
      </c>
      <c r="C1366" s="3" t="s">
        <v>71</v>
      </c>
      <c r="D1366" s="4" t="s">
        <v>4146</v>
      </c>
      <c r="E1366" s="3" t="s">
        <v>4112</v>
      </c>
      <c r="F1366" s="3" t="s">
        <v>4099</v>
      </c>
      <c r="G1366" s="3" t="s">
        <v>4211</v>
      </c>
      <c r="H1366" s="8" t="s">
        <v>4212</v>
      </c>
      <c r="I1366" s="4" t="s">
        <v>4213</v>
      </c>
      <c r="J1366" s="5" t="s">
        <v>20</v>
      </c>
      <c r="K1366" s="6"/>
      <c r="L1366" s="5"/>
      <c r="M1366" s="5"/>
      <c r="N1366" s="6"/>
      <c r="O1366" s="7"/>
      <c r="P1366" s="8" t="s">
        <v>21</v>
      </c>
      <c r="Q1366" s="8" t="s">
        <v>22</v>
      </c>
    </row>
    <row r="1367" customFormat="false" ht="15" hidden="false" customHeight="false" outlineLevel="0" collapsed="false">
      <c r="A1367" s="2" t="n">
        <v>1366</v>
      </c>
      <c r="B1367" s="3" t="s">
        <v>4214</v>
      </c>
      <c r="C1367" s="3" t="s">
        <v>120</v>
      </c>
      <c r="D1367" s="4" t="s">
        <v>4215</v>
      </c>
      <c r="E1367" s="3"/>
      <c r="F1367" s="3" t="s">
        <v>4099</v>
      </c>
      <c r="G1367" s="3" t="s">
        <v>4216</v>
      </c>
      <c r="H1367" s="8" t="s">
        <v>4217</v>
      </c>
      <c r="I1367" s="4"/>
      <c r="J1367" s="5" t="s">
        <v>20</v>
      </c>
      <c r="K1367" s="6"/>
      <c r="L1367" s="5"/>
      <c r="M1367" s="5"/>
      <c r="N1367" s="6"/>
      <c r="O1367" s="7"/>
      <c r="P1367" s="8" t="s">
        <v>21</v>
      </c>
      <c r="Q1367" s="8" t="s">
        <v>22</v>
      </c>
    </row>
    <row r="1368" customFormat="false" ht="15" hidden="false" customHeight="false" outlineLevel="0" collapsed="false">
      <c r="A1368" s="2" t="n">
        <v>1367</v>
      </c>
      <c r="B1368" s="3" t="s">
        <v>4218</v>
      </c>
      <c r="C1368" s="3" t="s">
        <v>234</v>
      </c>
      <c r="D1368" s="4"/>
      <c r="E1368" s="3"/>
      <c r="F1368" s="3" t="s">
        <v>4099</v>
      </c>
      <c r="G1368" s="3"/>
      <c r="H1368" s="3"/>
      <c r="I1368" s="4"/>
      <c r="J1368" s="5" t="s">
        <v>20</v>
      </c>
      <c r="K1368" s="6"/>
      <c r="L1368" s="5"/>
      <c r="M1368" s="5"/>
      <c r="N1368" s="6"/>
      <c r="O1368" s="7"/>
      <c r="P1368" s="8" t="s">
        <v>21</v>
      </c>
      <c r="Q1368" s="8" t="s">
        <v>22</v>
      </c>
    </row>
    <row r="1369" customFormat="false" ht="23.85" hidden="false" customHeight="false" outlineLevel="0" collapsed="false">
      <c r="A1369" s="2" t="n">
        <v>1368</v>
      </c>
      <c r="B1369" s="3" t="s">
        <v>4219</v>
      </c>
      <c r="C1369" s="3"/>
      <c r="D1369" s="4"/>
      <c r="E1369" s="3"/>
      <c r="F1369" s="3" t="s">
        <v>4099</v>
      </c>
      <c r="G1369" s="3"/>
      <c r="H1369" s="8" t="s">
        <v>4220</v>
      </c>
      <c r="I1369" s="4" t="s">
        <v>4221</v>
      </c>
      <c r="J1369" s="5" t="s">
        <v>20</v>
      </c>
      <c r="K1369" s="6"/>
      <c r="L1369" s="5"/>
      <c r="M1369" s="5"/>
      <c r="N1369" s="6"/>
      <c r="O1369" s="7"/>
      <c r="P1369" s="8" t="s">
        <v>21</v>
      </c>
      <c r="Q1369" s="8" t="s">
        <v>22</v>
      </c>
    </row>
    <row r="1370" customFormat="false" ht="46.25" hidden="false" customHeight="false" outlineLevel="0" collapsed="false">
      <c r="A1370" s="2" t="n">
        <v>1369</v>
      </c>
      <c r="B1370" s="3" t="s">
        <v>3241</v>
      </c>
      <c r="C1370" s="3" t="s">
        <v>71</v>
      </c>
      <c r="D1370" s="4" t="s">
        <v>4137</v>
      </c>
      <c r="E1370" s="3" t="s">
        <v>4112</v>
      </c>
      <c r="F1370" s="3" t="s">
        <v>4099</v>
      </c>
      <c r="G1370" s="3" t="s">
        <v>4222</v>
      </c>
      <c r="H1370" s="8" t="s">
        <v>4223</v>
      </c>
      <c r="I1370" s="4" t="s">
        <v>4224</v>
      </c>
      <c r="J1370" s="5" t="s">
        <v>20</v>
      </c>
      <c r="K1370" s="6"/>
      <c r="L1370" s="5"/>
      <c r="M1370" s="5"/>
      <c r="N1370" s="6"/>
      <c r="O1370" s="7"/>
      <c r="P1370" s="8" t="s">
        <v>21</v>
      </c>
      <c r="Q1370" s="8" t="s">
        <v>22</v>
      </c>
    </row>
    <row r="1371" customFormat="false" ht="15" hidden="false" customHeight="false" outlineLevel="0" collapsed="false">
      <c r="A1371" s="2" t="n">
        <v>1370</v>
      </c>
      <c r="B1371" s="3" t="s">
        <v>4225</v>
      </c>
      <c r="C1371" s="3" t="s">
        <v>2098</v>
      </c>
      <c r="D1371" s="4"/>
      <c r="E1371" s="3"/>
      <c r="F1371" s="3" t="s">
        <v>4099</v>
      </c>
      <c r="G1371" s="3" t="s">
        <v>4226</v>
      </c>
      <c r="H1371" s="8" t="s">
        <v>4227</v>
      </c>
      <c r="I1371" s="4" t="s">
        <v>4228</v>
      </c>
      <c r="J1371" s="5" t="s">
        <v>20</v>
      </c>
      <c r="K1371" s="6"/>
      <c r="L1371" s="5"/>
      <c r="M1371" s="5"/>
      <c r="N1371" s="6"/>
      <c r="O1371" s="7"/>
      <c r="P1371" s="8" t="s">
        <v>21</v>
      </c>
      <c r="Q1371" s="8" t="s">
        <v>22</v>
      </c>
    </row>
    <row r="1372" customFormat="false" ht="15" hidden="false" customHeight="false" outlineLevel="0" collapsed="false">
      <c r="A1372" s="2" t="n">
        <v>1371</v>
      </c>
      <c r="B1372" s="3" t="s">
        <v>4229</v>
      </c>
      <c r="C1372" s="3" t="s">
        <v>62</v>
      </c>
      <c r="D1372" s="4" t="s">
        <v>4230</v>
      </c>
      <c r="E1372" s="3" t="s">
        <v>4112</v>
      </c>
      <c r="F1372" s="3" t="s">
        <v>4099</v>
      </c>
      <c r="G1372" s="3" t="s">
        <v>4231</v>
      </c>
      <c r="H1372" s="3"/>
      <c r="I1372" s="4"/>
      <c r="J1372" s="5" t="s">
        <v>20</v>
      </c>
      <c r="K1372" s="6"/>
      <c r="L1372" s="5"/>
      <c r="M1372" s="5"/>
      <c r="N1372" s="6"/>
      <c r="O1372" s="7"/>
      <c r="P1372" s="8" t="s">
        <v>21</v>
      </c>
      <c r="Q1372" s="8" t="s">
        <v>22</v>
      </c>
    </row>
    <row r="1373" customFormat="false" ht="15" hidden="false" customHeight="false" outlineLevel="0" collapsed="false">
      <c r="A1373" s="2" t="n">
        <v>1372</v>
      </c>
      <c r="B1373" s="3" t="s">
        <v>4232</v>
      </c>
      <c r="C1373" s="3" t="s">
        <v>4233</v>
      </c>
      <c r="D1373" s="4"/>
      <c r="E1373" s="3"/>
      <c r="F1373" s="3" t="s">
        <v>4099</v>
      </c>
      <c r="G1373" s="3"/>
      <c r="H1373" s="8" t="s">
        <v>4234</v>
      </c>
      <c r="I1373" s="4" t="s">
        <v>4235</v>
      </c>
      <c r="J1373" s="5" t="s">
        <v>20</v>
      </c>
      <c r="K1373" s="6"/>
      <c r="L1373" s="5"/>
      <c r="M1373" s="5"/>
      <c r="N1373" s="6"/>
      <c r="O1373" s="7"/>
      <c r="P1373" s="8" t="s">
        <v>21</v>
      </c>
      <c r="Q1373" s="8" t="s">
        <v>22</v>
      </c>
    </row>
    <row r="1374" customFormat="false" ht="23.85" hidden="false" customHeight="false" outlineLevel="0" collapsed="false">
      <c r="A1374" s="2" t="n">
        <v>1373</v>
      </c>
      <c r="B1374" s="3" t="s">
        <v>2779</v>
      </c>
      <c r="C1374" s="3" t="s">
        <v>711</v>
      </c>
      <c r="D1374" s="4"/>
      <c r="E1374" s="3"/>
      <c r="F1374" s="3" t="s">
        <v>4099</v>
      </c>
      <c r="G1374" s="3"/>
      <c r="H1374" s="8" t="s">
        <v>4236</v>
      </c>
      <c r="I1374" s="4" t="s">
        <v>4237</v>
      </c>
      <c r="J1374" s="5" t="s">
        <v>20</v>
      </c>
      <c r="K1374" s="6"/>
      <c r="L1374" s="5"/>
      <c r="M1374" s="5"/>
      <c r="N1374" s="6"/>
      <c r="O1374" s="7"/>
      <c r="P1374" s="8" t="s">
        <v>21</v>
      </c>
      <c r="Q1374" s="8" t="s">
        <v>22</v>
      </c>
    </row>
    <row r="1375" customFormat="false" ht="15" hidden="false" customHeight="false" outlineLevel="0" collapsed="false">
      <c r="A1375" s="2" t="n">
        <v>1374</v>
      </c>
      <c r="B1375" s="3" t="s">
        <v>4238</v>
      </c>
      <c r="C1375" s="3"/>
      <c r="D1375" s="4"/>
      <c r="E1375" s="3"/>
      <c r="F1375" s="3" t="s">
        <v>4099</v>
      </c>
      <c r="G1375" s="3"/>
      <c r="H1375" s="8" t="s">
        <v>4239</v>
      </c>
      <c r="I1375" s="4" t="s">
        <v>4240</v>
      </c>
      <c r="J1375" s="5" t="s">
        <v>20</v>
      </c>
      <c r="K1375" s="6"/>
      <c r="L1375" s="5"/>
      <c r="M1375" s="5"/>
      <c r="N1375" s="6"/>
      <c r="O1375" s="7"/>
      <c r="P1375" s="8" t="s">
        <v>21</v>
      </c>
      <c r="Q1375" s="8" t="s">
        <v>22</v>
      </c>
    </row>
    <row r="1376" customFormat="false" ht="15" hidden="false" customHeight="false" outlineLevel="0" collapsed="false">
      <c r="A1376" s="2" t="n">
        <v>1375</v>
      </c>
      <c r="B1376" s="3" t="s">
        <v>4241</v>
      </c>
      <c r="C1376" s="3"/>
      <c r="D1376" s="4"/>
      <c r="E1376" s="3"/>
      <c r="F1376" s="3" t="s">
        <v>4242</v>
      </c>
      <c r="G1376" s="3"/>
      <c r="H1376" s="3"/>
      <c r="I1376" s="4"/>
      <c r="J1376" s="5" t="s">
        <v>20</v>
      </c>
      <c r="K1376" s="6"/>
      <c r="L1376" s="5"/>
      <c r="M1376" s="5"/>
      <c r="N1376" s="6"/>
      <c r="O1376" s="7"/>
      <c r="P1376" s="8" t="s">
        <v>21</v>
      </c>
      <c r="Q1376" s="8" t="s">
        <v>22</v>
      </c>
    </row>
    <row r="1377" customFormat="false" ht="15" hidden="false" customHeight="false" outlineLevel="0" collapsed="false">
      <c r="A1377" s="2" t="n">
        <v>1376</v>
      </c>
      <c r="B1377" s="3" t="s">
        <v>4243</v>
      </c>
      <c r="C1377" s="3"/>
      <c r="D1377" s="4"/>
      <c r="E1377" s="3"/>
      <c r="F1377" s="3" t="s">
        <v>4242</v>
      </c>
      <c r="G1377" s="3"/>
      <c r="H1377" s="3"/>
      <c r="I1377" s="4"/>
      <c r="J1377" s="5" t="s">
        <v>20</v>
      </c>
      <c r="K1377" s="6"/>
      <c r="L1377" s="5"/>
      <c r="M1377" s="5"/>
      <c r="N1377" s="6"/>
      <c r="O1377" s="7"/>
      <c r="P1377" s="8" t="s">
        <v>21</v>
      </c>
      <c r="Q1377" s="8" t="s">
        <v>22</v>
      </c>
    </row>
    <row r="1378" customFormat="false" ht="15" hidden="false" customHeight="false" outlineLevel="0" collapsed="false">
      <c r="A1378" s="2" t="n">
        <v>1377</v>
      </c>
      <c r="B1378" s="3" t="s">
        <v>4244</v>
      </c>
      <c r="C1378" s="3"/>
      <c r="D1378" s="4" t="s">
        <v>4245</v>
      </c>
      <c r="E1378" s="3"/>
      <c r="F1378" s="3" t="s">
        <v>4242</v>
      </c>
      <c r="G1378" s="3" t="s">
        <v>4246</v>
      </c>
      <c r="H1378" s="8" t="s">
        <v>4247</v>
      </c>
      <c r="I1378" s="4" t="s">
        <v>4248</v>
      </c>
      <c r="J1378" s="5" t="s">
        <v>20</v>
      </c>
      <c r="K1378" s="6"/>
      <c r="L1378" s="5"/>
      <c r="M1378" s="5"/>
      <c r="N1378" s="6"/>
      <c r="O1378" s="7"/>
      <c r="P1378" s="8" t="s">
        <v>21</v>
      </c>
      <c r="Q1378" s="8" t="s">
        <v>22</v>
      </c>
    </row>
    <row r="1379" customFormat="false" ht="15" hidden="false" customHeight="false" outlineLevel="0" collapsed="false">
      <c r="A1379" s="2" t="n">
        <v>1378</v>
      </c>
      <c r="B1379" s="3" t="s">
        <v>4249</v>
      </c>
      <c r="C1379" s="3" t="s">
        <v>126</v>
      </c>
      <c r="D1379" s="4"/>
      <c r="E1379" s="3"/>
      <c r="F1379" s="3" t="s">
        <v>4242</v>
      </c>
      <c r="G1379" s="3"/>
      <c r="H1379" s="8" t="s">
        <v>4250</v>
      </c>
      <c r="I1379" s="4"/>
      <c r="J1379" s="5" t="s">
        <v>20</v>
      </c>
      <c r="K1379" s="6"/>
      <c r="L1379" s="5"/>
      <c r="M1379" s="5"/>
      <c r="N1379" s="6"/>
      <c r="O1379" s="7"/>
      <c r="P1379" s="8" t="s">
        <v>21</v>
      </c>
      <c r="Q1379" s="8" t="s">
        <v>22</v>
      </c>
    </row>
    <row r="1380" customFormat="false" ht="15" hidden="false" customHeight="false" outlineLevel="0" collapsed="false">
      <c r="A1380" s="2" t="n">
        <v>1379</v>
      </c>
      <c r="B1380" s="3" t="s">
        <v>4251</v>
      </c>
      <c r="C1380" s="3"/>
      <c r="D1380" s="4" t="s">
        <v>4252</v>
      </c>
      <c r="E1380" s="3"/>
      <c r="F1380" s="3" t="s">
        <v>4253</v>
      </c>
      <c r="G1380" s="3"/>
      <c r="H1380" s="3"/>
      <c r="I1380" s="4" t="s">
        <v>4254</v>
      </c>
      <c r="J1380" s="5" t="s">
        <v>20</v>
      </c>
      <c r="K1380" s="6"/>
      <c r="L1380" s="5"/>
      <c r="M1380" s="5"/>
      <c r="N1380" s="6"/>
      <c r="O1380" s="7"/>
      <c r="P1380" s="8" t="s">
        <v>21</v>
      </c>
      <c r="Q1380" s="8" t="s">
        <v>22</v>
      </c>
    </row>
    <row r="1381" customFormat="false" ht="15" hidden="false" customHeight="false" outlineLevel="0" collapsed="false">
      <c r="A1381" s="2" t="n">
        <v>1380</v>
      </c>
      <c r="B1381" s="3" t="s">
        <v>4255</v>
      </c>
      <c r="C1381" s="3"/>
      <c r="D1381" s="4"/>
      <c r="E1381" s="3"/>
      <c r="F1381" s="3" t="s">
        <v>4253</v>
      </c>
      <c r="G1381" s="3"/>
      <c r="H1381" s="3"/>
      <c r="I1381" s="4"/>
      <c r="J1381" s="5" t="s">
        <v>20</v>
      </c>
      <c r="K1381" s="6"/>
      <c r="L1381" s="5"/>
      <c r="M1381" s="5"/>
      <c r="N1381" s="6"/>
      <c r="O1381" s="7"/>
      <c r="P1381" s="8" t="s">
        <v>21</v>
      </c>
      <c r="Q1381" s="8" t="s">
        <v>22</v>
      </c>
    </row>
    <row r="1382" customFormat="false" ht="15" hidden="false" customHeight="false" outlineLevel="0" collapsed="false">
      <c r="A1382" s="2" t="n">
        <v>1381</v>
      </c>
      <c r="B1382" s="3" t="s">
        <v>4256</v>
      </c>
      <c r="C1382" s="3" t="s">
        <v>120</v>
      </c>
      <c r="D1382" s="4" t="s">
        <v>4257</v>
      </c>
      <c r="E1382" s="3" t="s">
        <v>4258</v>
      </c>
      <c r="F1382" s="3" t="s">
        <v>4253</v>
      </c>
      <c r="G1382" s="3"/>
      <c r="H1382" s="8" t="s">
        <v>4259</v>
      </c>
      <c r="I1382" s="4" t="s">
        <v>4260</v>
      </c>
      <c r="J1382" s="5" t="s">
        <v>20</v>
      </c>
      <c r="K1382" s="6"/>
      <c r="L1382" s="5"/>
      <c r="M1382" s="5"/>
      <c r="N1382" s="6"/>
      <c r="O1382" s="7"/>
      <c r="P1382" s="8" t="s">
        <v>21</v>
      </c>
      <c r="Q1382" s="8" t="s">
        <v>22</v>
      </c>
    </row>
    <row r="1383" customFormat="false" ht="15" hidden="false" customHeight="false" outlineLevel="0" collapsed="false">
      <c r="A1383" s="2" t="n">
        <v>1382</v>
      </c>
      <c r="B1383" s="3" t="s">
        <v>1269</v>
      </c>
      <c r="C1383" s="3" t="s">
        <v>24</v>
      </c>
      <c r="D1383" s="4"/>
      <c r="E1383" s="3"/>
      <c r="F1383" s="3" t="s">
        <v>4261</v>
      </c>
      <c r="G1383" s="3" t="s">
        <v>4262</v>
      </c>
      <c r="H1383" s="3"/>
      <c r="I1383" s="4"/>
      <c r="J1383" s="5" t="s">
        <v>20</v>
      </c>
      <c r="K1383" s="6"/>
      <c r="L1383" s="5"/>
      <c r="M1383" s="5"/>
      <c r="N1383" s="6"/>
      <c r="O1383" s="7"/>
      <c r="P1383" s="8" t="s">
        <v>21</v>
      </c>
      <c r="Q1383" s="8" t="s">
        <v>22</v>
      </c>
    </row>
    <row r="1384" customFormat="false" ht="15" hidden="false" customHeight="false" outlineLevel="0" collapsed="false">
      <c r="A1384" s="2" t="n">
        <v>1383</v>
      </c>
      <c r="B1384" s="3" t="s">
        <v>4263</v>
      </c>
      <c r="C1384" s="3"/>
      <c r="D1384" s="4"/>
      <c r="E1384" s="3"/>
      <c r="F1384" s="3" t="s">
        <v>4261</v>
      </c>
      <c r="G1384" s="3" t="s">
        <v>4264</v>
      </c>
      <c r="H1384" s="3"/>
      <c r="I1384" s="4"/>
      <c r="J1384" s="5" t="s">
        <v>20</v>
      </c>
      <c r="K1384" s="6"/>
      <c r="L1384" s="5"/>
      <c r="M1384" s="5"/>
      <c r="N1384" s="6"/>
      <c r="O1384" s="7"/>
      <c r="P1384" s="8" t="s">
        <v>21</v>
      </c>
      <c r="Q1384" s="8" t="s">
        <v>22</v>
      </c>
    </row>
    <row r="1385" customFormat="false" ht="15" hidden="false" customHeight="false" outlineLevel="0" collapsed="false">
      <c r="A1385" s="2" t="n">
        <v>1384</v>
      </c>
      <c r="B1385" s="3" t="s">
        <v>2873</v>
      </c>
      <c r="C1385" s="3" t="s">
        <v>181</v>
      </c>
      <c r="D1385" s="4" t="s">
        <v>4265</v>
      </c>
      <c r="E1385" s="3" t="s">
        <v>3898</v>
      </c>
      <c r="F1385" s="3" t="s">
        <v>4266</v>
      </c>
      <c r="G1385" s="3" t="s">
        <v>4267</v>
      </c>
      <c r="H1385" s="8" t="s">
        <v>4268</v>
      </c>
      <c r="I1385" s="4"/>
      <c r="J1385" s="5" t="s">
        <v>20</v>
      </c>
      <c r="K1385" s="6"/>
      <c r="L1385" s="5"/>
      <c r="M1385" s="5"/>
      <c r="N1385" s="6"/>
      <c r="O1385" s="7"/>
      <c r="P1385" s="8" t="s">
        <v>21</v>
      </c>
      <c r="Q1385" s="8" t="s">
        <v>22</v>
      </c>
    </row>
    <row r="1386" customFormat="false" ht="15" hidden="false" customHeight="false" outlineLevel="0" collapsed="false">
      <c r="A1386" s="2" t="n">
        <v>1385</v>
      </c>
      <c r="B1386" s="3" t="s">
        <v>4269</v>
      </c>
      <c r="C1386" s="3"/>
      <c r="D1386" s="4"/>
      <c r="E1386" s="3"/>
      <c r="F1386" s="3" t="s">
        <v>4266</v>
      </c>
      <c r="G1386" s="3"/>
      <c r="H1386" s="3"/>
      <c r="I1386" s="4"/>
      <c r="J1386" s="5" t="s">
        <v>20</v>
      </c>
      <c r="K1386" s="6"/>
      <c r="L1386" s="5"/>
      <c r="M1386" s="5"/>
      <c r="N1386" s="6"/>
      <c r="O1386" s="7"/>
      <c r="P1386" s="8" t="s">
        <v>21</v>
      </c>
      <c r="Q1386" s="8" t="s">
        <v>22</v>
      </c>
    </row>
    <row r="1387" customFormat="false" ht="15" hidden="false" customHeight="false" outlineLevel="0" collapsed="false">
      <c r="A1387" s="2" t="n">
        <v>1386</v>
      </c>
      <c r="B1387" s="3" t="s">
        <v>4270</v>
      </c>
      <c r="C1387" s="3"/>
      <c r="D1387" s="4"/>
      <c r="E1387" s="3"/>
      <c r="F1387" s="3" t="s">
        <v>4266</v>
      </c>
      <c r="G1387" s="3"/>
      <c r="H1387" s="3"/>
      <c r="I1387" s="4"/>
      <c r="J1387" s="5" t="s">
        <v>20</v>
      </c>
      <c r="K1387" s="6"/>
      <c r="L1387" s="5"/>
      <c r="M1387" s="5"/>
      <c r="N1387" s="6"/>
      <c r="O1387" s="7"/>
      <c r="P1387" s="8" t="s">
        <v>21</v>
      </c>
      <c r="Q1387" s="8" t="s">
        <v>22</v>
      </c>
    </row>
    <row r="1388" customFormat="false" ht="15" hidden="false" customHeight="false" outlineLevel="0" collapsed="false">
      <c r="A1388" s="2" t="n">
        <v>1387</v>
      </c>
      <c r="B1388" s="3" t="s">
        <v>4271</v>
      </c>
      <c r="C1388" s="3" t="s">
        <v>24</v>
      </c>
      <c r="D1388" s="4"/>
      <c r="E1388" s="3"/>
      <c r="F1388" s="3" t="s">
        <v>4266</v>
      </c>
      <c r="G1388" s="3" t="s">
        <v>4272</v>
      </c>
      <c r="H1388" s="3"/>
      <c r="I1388" s="4"/>
      <c r="J1388" s="5" t="s">
        <v>20</v>
      </c>
      <c r="K1388" s="6"/>
      <c r="L1388" s="5"/>
      <c r="M1388" s="5"/>
      <c r="N1388" s="6"/>
      <c r="O1388" s="7"/>
      <c r="P1388" s="8" t="s">
        <v>21</v>
      </c>
      <c r="Q1388" s="8" t="s">
        <v>22</v>
      </c>
    </row>
    <row r="1389" customFormat="false" ht="15" hidden="false" customHeight="false" outlineLevel="0" collapsed="false">
      <c r="A1389" s="2" t="n">
        <v>1388</v>
      </c>
      <c r="B1389" s="3" t="s">
        <v>4273</v>
      </c>
      <c r="C1389" s="3"/>
      <c r="D1389" s="4"/>
      <c r="E1389" s="3"/>
      <c r="F1389" s="3" t="s">
        <v>4266</v>
      </c>
      <c r="G1389" s="3"/>
      <c r="H1389" s="3"/>
      <c r="I1389" s="4"/>
      <c r="J1389" s="5" t="s">
        <v>20</v>
      </c>
      <c r="K1389" s="6"/>
      <c r="L1389" s="5"/>
      <c r="M1389" s="5"/>
      <c r="N1389" s="6"/>
      <c r="O1389" s="7"/>
      <c r="P1389" s="8" t="s">
        <v>21</v>
      </c>
      <c r="Q1389" s="8" t="s">
        <v>22</v>
      </c>
    </row>
    <row r="1390" customFormat="false" ht="15" hidden="false" customHeight="false" outlineLevel="0" collapsed="false">
      <c r="A1390" s="2" t="n">
        <v>1389</v>
      </c>
      <c r="B1390" s="3" t="s">
        <v>4274</v>
      </c>
      <c r="C1390" s="3"/>
      <c r="D1390" s="4"/>
      <c r="E1390" s="3"/>
      <c r="F1390" s="3" t="s">
        <v>4266</v>
      </c>
      <c r="G1390" s="3"/>
      <c r="H1390" s="3"/>
      <c r="I1390" s="4"/>
      <c r="J1390" s="5" t="s">
        <v>20</v>
      </c>
      <c r="K1390" s="6"/>
      <c r="L1390" s="5"/>
      <c r="M1390" s="5"/>
      <c r="N1390" s="6"/>
      <c r="O1390" s="7"/>
      <c r="P1390" s="8" t="s">
        <v>21</v>
      </c>
      <c r="Q1390" s="8" t="s">
        <v>22</v>
      </c>
    </row>
    <row r="1391" customFormat="false" ht="15" hidden="false" customHeight="false" outlineLevel="0" collapsed="false">
      <c r="A1391" s="2" t="n">
        <v>1390</v>
      </c>
      <c r="B1391" s="3" t="s">
        <v>4275</v>
      </c>
      <c r="C1391" s="3"/>
      <c r="D1391" s="4"/>
      <c r="E1391" s="3"/>
      <c r="F1391" s="3" t="s">
        <v>4276</v>
      </c>
      <c r="G1391" s="3"/>
      <c r="H1391" s="3"/>
      <c r="I1391" s="4"/>
      <c r="J1391" s="5" t="s">
        <v>20</v>
      </c>
      <c r="K1391" s="6"/>
      <c r="L1391" s="5"/>
      <c r="M1391" s="5"/>
      <c r="N1391" s="6"/>
      <c r="O1391" s="7"/>
      <c r="P1391" s="8" t="s">
        <v>21</v>
      </c>
      <c r="Q1391" s="8" t="s">
        <v>22</v>
      </c>
    </row>
    <row r="1392" customFormat="false" ht="15" hidden="false" customHeight="false" outlineLevel="0" collapsed="false">
      <c r="A1392" s="2" t="n">
        <v>1391</v>
      </c>
      <c r="B1392" s="3" t="s">
        <v>4277</v>
      </c>
      <c r="C1392" s="3"/>
      <c r="D1392" s="4"/>
      <c r="E1392" s="3"/>
      <c r="F1392" s="3" t="s">
        <v>4278</v>
      </c>
      <c r="G1392" s="3"/>
      <c r="H1392" s="3"/>
      <c r="I1392" s="4"/>
      <c r="J1392" s="5" t="s">
        <v>20</v>
      </c>
      <c r="K1392" s="6"/>
      <c r="L1392" s="5"/>
      <c r="M1392" s="5"/>
      <c r="N1392" s="6"/>
      <c r="O1392" s="7"/>
      <c r="P1392" s="8" t="s">
        <v>21</v>
      </c>
      <c r="Q1392" s="8" t="s">
        <v>22</v>
      </c>
    </row>
    <row r="1393" customFormat="false" ht="15" hidden="false" customHeight="false" outlineLevel="0" collapsed="false">
      <c r="A1393" s="2" t="n">
        <v>1392</v>
      </c>
      <c r="B1393" s="3" t="s">
        <v>4279</v>
      </c>
      <c r="C1393" s="3" t="s">
        <v>4280</v>
      </c>
      <c r="D1393" s="4" t="s">
        <v>4281</v>
      </c>
      <c r="E1393" s="3" t="s">
        <v>3730</v>
      </c>
      <c r="F1393" s="3" t="s">
        <v>4282</v>
      </c>
      <c r="G1393" s="3" t="s">
        <v>4283</v>
      </c>
      <c r="H1393" s="3"/>
      <c r="I1393" s="4"/>
      <c r="J1393" s="5" t="s">
        <v>20</v>
      </c>
      <c r="K1393" s="6"/>
      <c r="L1393" s="5"/>
      <c r="M1393" s="5"/>
      <c r="N1393" s="6"/>
      <c r="O1393" s="7"/>
      <c r="P1393" s="8" t="s">
        <v>21</v>
      </c>
      <c r="Q1393" s="8" t="s">
        <v>22</v>
      </c>
    </row>
    <row r="1394" customFormat="false" ht="15" hidden="false" customHeight="false" outlineLevel="0" collapsed="false">
      <c r="A1394" s="2" t="n">
        <v>1393</v>
      </c>
      <c r="B1394" s="3" t="s">
        <v>4284</v>
      </c>
      <c r="C1394" s="3" t="s">
        <v>71</v>
      </c>
      <c r="D1394" s="4"/>
      <c r="E1394" s="3"/>
      <c r="F1394" s="3" t="s">
        <v>4282</v>
      </c>
      <c r="G1394" s="3"/>
      <c r="H1394" s="3"/>
      <c r="I1394" s="4"/>
      <c r="J1394" s="5" t="s">
        <v>20</v>
      </c>
      <c r="K1394" s="6"/>
      <c r="L1394" s="5"/>
      <c r="M1394" s="5"/>
      <c r="N1394" s="6"/>
      <c r="O1394" s="7"/>
      <c r="P1394" s="8" t="s">
        <v>21</v>
      </c>
      <c r="Q1394" s="8" t="s">
        <v>22</v>
      </c>
    </row>
    <row r="1395" customFormat="false" ht="15" hidden="false" customHeight="false" outlineLevel="0" collapsed="false">
      <c r="A1395" s="2" t="n">
        <v>1394</v>
      </c>
      <c r="B1395" s="3" t="s">
        <v>4285</v>
      </c>
      <c r="C1395" s="3" t="s">
        <v>4286</v>
      </c>
      <c r="D1395" s="4"/>
      <c r="E1395" s="3"/>
      <c r="F1395" s="3" t="s">
        <v>4282</v>
      </c>
      <c r="G1395" s="3"/>
      <c r="H1395" s="3"/>
      <c r="I1395" s="4"/>
      <c r="J1395" s="5" t="s">
        <v>20</v>
      </c>
      <c r="K1395" s="6"/>
      <c r="L1395" s="5"/>
      <c r="M1395" s="5"/>
      <c r="N1395" s="6"/>
      <c r="O1395" s="7"/>
      <c r="P1395" s="8" t="s">
        <v>21</v>
      </c>
      <c r="Q1395" s="8" t="s">
        <v>22</v>
      </c>
    </row>
    <row r="1396" customFormat="false" ht="23.85" hidden="false" customHeight="false" outlineLevel="0" collapsed="false">
      <c r="A1396" s="2" t="n">
        <v>1395</v>
      </c>
      <c r="B1396" s="3" t="s">
        <v>4287</v>
      </c>
      <c r="C1396" s="3"/>
      <c r="D1396" s="4"/>
      <c r="E1396" s="3"/>
      <c r="F1396" s="3" t="s">
        <v>4282</v>
      </c>
      <c r="G1396" s="3"/>
      <c r="H1396" s="3"/>
      <c r="I1396" s="4" t="s">
        <v>4288</v>
      </c>
      <c r="J1396" s="5" t="s">
        <v>20</v>
      </c>
      <c r="K1396" s="6"/>
      <c r="L1396" s="5"/>
      <c r="M1396" s="5"/>
      <c r="N1396" s="6"/>
      <c r="O1396" s="7"/>
      <c r="P1396" s="8" t="s">
        <v>21</v>
      </c>
      <c r="Q1396" s="8" t="s">
        <v>22</v>
      </c>
    </row>
    <row r="1397" customFormat="false" ht="15" hidden="false" customHeight="false" outlineLevel="0" collapsed="false">
      <c r="A1397" s="2" t="n">
        <v>1396</v>
      </c>
      <c r="B1397" s="3" t="s">
        <v>4289</v>
      </c>
      <c r="C1397" s="3"/>
      <c r="D1397" s="4"/>
      <c r="E1397" s="3"/>
      <c r="F1397" s="3" t="s">
        <v>4282</v>
      </c>
      <c r="G1397" s="3"/>
      <c r="H1397" s="3"/>
      <c r="I1397" s="4"/>
      <c r="J1397" s="5" t="s">
        <v>20</v>
      </c>
      <c r="K1397" s="6"/>
      <c r="L1397" s="5"/>
      <c r="M1397" s="5"/>
      <c r="N1397" s="6"/>
      <c r="O1397" s="7"/>
      <c r="P1397" s="8" t="s">
        <v>21</v>
      </c>
      <c r="Q1397" s="8" t="s">
        <v>22</v>
      </c>
    </row>
    <row r="1398" customFormat="false" ht="15" hidden="false" customHeight="false" outlineLevel="0" collapsed="false">
      <c r="A1398" s="2" t="n">
        <v>1397</v>
      </c>
      <c r="B1398" s="3" t="s">
        <v>4290</v>
      </c>
      <c r="C1398" s="3"/>
      <c r="D1398" s="4"/>
      <c r="E1398" s="3"/>
      <c r="F1398" s="3" t="s">
        <v>4282</v>
      </c>
      <c r="G1398" s="3"/>
      <c r="H1398" s="3"/>
      <c r="I1398" s="4"/>
      <c r="J1398" s="5" t="s">
        <v>20</v>
      </c>
      <c r="K1398" s="6"/>
      <c r="L1398" s="5"/>
      <c r="M1398" s="5"/>
      <c r="N1398" s="6"/>
      <c r="O1398" s="7"/>
      <c r="P1398" s="8" t="s">
        <v>21</v>
      </c>
      <c r="Q1398" s="8" t="s">
        <v>22</v>
      </c>
    </row>
    <row r="1399" customFormat="false" ht="15" hidden="false" customHeight="false" outlineLevel="0" collapsed="false">
      <c r="A1399" s="2" t="n">
        <v>1398</v>
      </c>
      <c r="B1399" s="3" t="s">
        <v>4291</v>
      </c>
      <c r="C1399" s="3" t="s">
        <v>326</v>
      </c>
      <c r="D1399" s="4" t="s">
        <v>4292</v>
      </c>
      <c r="E1399" s="3" t="s">
        <v>3730</v>
      </c>
      <c r="F1399" s="3" t="s">
        <v>4282</v>
      </c>
      <c r="G1399" s="3"/>
      <c r="H1399" s="3"/>
      <c r="I1399" s="4"/>
      <c r="J1399" s="5" t="s">
        <v>20</v>
      </c>
      <c r="K1399" s="6"/>
      <c r="L1399" s="5"/>
      <c r="M1399" s="5"/>
      <c r="N1399" s="6"/>
      <c r="O1399" s="7"/>
      <c r="P1399" s="8" t="s">
        <v>21</v>
      </c>
      <c r="Q1399" s="8" t="s">
        <v>22</v>
      </c>
    </row>
    <row r="1400" customFormat="false" ht="15" hidden="false" customHeight="false" outlineLevel="0" collapsed="false">
      <c r="A1400" s="2" t="n">
        <v>1399</v>
      </c>
      <c r="B1400" s="3" t="s">
        <v>4293</v>
      </c>
      <c r="C1400" s="3" t="s">
        <v>109</v>
      </c>
      <c r="D1400" s="4"/>
      <c r="E1400" s="3"/>
      <c r="F1400" s="3" t="s">
        <v>4282</v>
      </c>
      <c r="G1400" s="3"/>
      <c r="H1400" s="3"/>
      <c r="I1400" s="4"/>
      <c r="J1400" s="5" t="s">
        <v>20</v>
      </c>
      <c r="K1400" s="6"/>
      <c r="L1400" s="5"/>
      <c r="M1400" s="5"/>
      <c r="N1400" s="6"/>
      <c r="O1400" s="7"/>
      <c r="P1400" s="8" t="s">
        <v>21</v>
      </c>
      <c r="Q1400" s="8" t="s">
        <v>22</v>
      </c>
    </row>
    <row r="1401" customFormat="false" ht="15" hidden="false" customHeight="false" outlineLevel="0" collapsed="false">
      <c r="A1401" s="2" t="n">
        <v>1400</v>
      </c>
      <c r="B1401" s="3" t="s">
        <v>4294</v>
      </c>
      <c r="C1401" s="3"/>
      <c r="D1401" s="4"/>
      <c r="E1401" s="3"/>
      <c r="F1401" s="3" t="s">
        <v>4295</v>
      </c>
      <c r="G1401" s="3"/>
      <c r="H1401" s="3"/>
      <c r="I1401" s="4"/>
      <c r="J1401" s="5" t="s">
        <v>20</v>
      </c>
      <c r="K1401" s="6"/>
      <c r="L1401" s="5"/>
      <c r="M1401" s="5"/>
      <c r="N1401" s="6"/>
      <c r="O1401" s="7"/>
      <c r="P1401" s="8" t="s">
        <v>21</v>
      </c>
      <c r="Q1401" s="8" t="s">
        <v>22</v>
      </c>
    </row>
    <row r="1402" customFormat="false" ht="23.85" hidden="false" customHeight="false" outlineLevel="0" collapsed="false">
      <c r="A1402" s="2" t="n">
        <v>1401</v>
      </c>
      <c r="B1402" s="3" t="s">
        <v>4296</v>
      </c>
      <c r="C1402" s="3"/>
      <c r="D1402" s="4" t="s">
        <v>4297</v>
      </c>
      <c r="E1402" s="3" t="s">
        <v>4298</v>
      </c>
      <c r="F1402" s="3" t="s">
        <v>4299</v>
      </c>
      <c r="G1402" s="3" t="s">
        <v>4300</v>
      </c>
      <c r="H1402" s="3"/>
      <c r="I1402" s="4" t="s">
        <v>4301</v>
      </c>
      <c r="J1402" s="5" t="s">
        <v>20</v>
      </c>
      <c r="K1402" s="6"/>
      <c r="L1402" s="5"/>
      <c r="M1402" s="5"/>
      <c r="N1402" s="6"/>
      <c r="O1402" s="7"/>
      <c r="P1402" s="8" t="s">
        <v>21</v>
      </c>
      <c r="Q1402" s="8" t="s">
        <v>22</v>
      </c>
    </row>
    <row r="1403" customFormat="false" ht="15" hidden="false" customHeight="false" outlineLevel="0" collapsed="false">
      <c r="A1403" s="2" t="n">
        <v>1402</v>
      </c>
      <c r="B1403" s="3" t="s">
        <v>4302</v>
      </c>
      <c r="C1403" s="3" t="s">
        <v>24</v>
      </c>
      <c r="D1403" s="4" t="s">
        <v>4303</v>
      </c>
      <c r="E1403" s="3" t="s">
        <v>4298</v>
      </c>
      <c r="F1403" s="3" t="s">
        <v>4299</v>
      </c>
      <c r="G1403" s="3" t="s">
        <v>4304</v>
      </c>
      <c r="H1403" s="8" t="s">
        <v>4305</v>
      </c>
      <c r="I1403" s="4" t="s">
        <v>4306</v>
      </c>
      <c r="J1403" s="5" t="s">
        <v>20</v>
      </c>
      <c r="K1403" s="6"/>
      <c r="L1403" s="5"/>
      <c r="M1403" s="5"/>
      <c r="N1403" s="6"/>
      <c r="O1403" s="7"/>
      <c r="P1403" s="8" t="s">
        <v>21</v>
      </c>
      <c r="Q1403" s="8" t="s">
        <v>22</v>
      </c>
    </row>
    <row r="1404" customFormat="false" ht="23.85" hidden="false" customHeight="false" outlineLevel="0" collapsed="false">
      <c r="A1404" s="2" t="n">
        <v>1403</v>
      </c>
      <c r="B1404" s="3" t="s">
        <v>4307</v>
      </c>
      <c r="C1404" s="3" t="s">
        <v>24</v>
      </c>
      <c r="D1404" s="4" t="s">
        <v>4308</v>
      </c>
      <c r="E1404" s="3" t="s">
        <v>4309</v>
      </c>
      <c r="F1404" s="3" t="s">
        <v>4310</v>
      </c>
      <c r="G1404" s="3" t="s">
        <v>4311</v>
      </c>
      <c r="H1404" s="8" t="s">
        <v>4312</v>
      </c>
      <c r="I1404" s="4" t="s">
        <v>4313</v>
      </c>
      <c r="J1404" s="5" t="s">
        <v>20</v>
      </c>
      <c r="K1404" s="6"/>
      <c r="L1404" s="5"/>
      <c r="M1404" s="5"/>
      <c r="N1404" s="6"/>
      <c r="O1404" s="7"/>
      <c r="P1404" s="8" t="s">
        <v>21</v>
      </c>
      <c r="Q1404" s="8" t="s">
        <v>22</v>
      </c>
    </row>
    <row r="1405" customFormat="false" ht="15" hidden="false" customHeight="false" outlineLevel="0" collapsed="false">
      <c r="A1405" s="2" t="n">
        <v>1404</v>
      </c>
      <c r="B1405" s="3" t="s">
        <v>4314</v>
      </c>
      <c r="C1405" s="3" t="s">
        <v>126</v>
      </c>
      <c r="D1405" s="4" t="s">
        <v>4315</v>
      </c>
      <c r="E1405" s="3" t="s">
        <v>4316</v>
      </c>
      <c r="F1405" s="3" t="s">
        <v>4310</v>
      </c>
      <c r="G1405" s="3" t="s">
        <v>4317</v>
      </c>
      <c r="H1405" s="8" t="s">
        <v>4318</v>
      </c>
      <c r="I1405" s="4" t="s">
        <v>4319</v>
      </c>
      <c r="J1405" s="5" t="s">
        <v>20</v>
      </c>
      <c r="K1405" s="6"/>
      <c r="L1405" s="5"/>
      <c r="M1405" s="5"/>
      <c r="N1405" s="6"/>
      <c r="O1405" s="7"/>
      <c r="P1405" s="8" t="s">
        <v>21</v>
      </c>
      <c r="Q1405" s="8" t="s">
        <v>22</v>
      </c>
    </row>
    <row r="1406" customFormat="false" ht="15" hidden="false" customHeight="false" outlineLevel="0" collapsed="false">
      <c r="A1406" s="2" t="n">
        <v>1405</v>
      </c>
      <c r="B1406" s="3" t="s">
        <v>4320</v>
      </c>
      <c r="C1406" s="3"/>
      <c r="D1406" s="4"/>
      <c r="E1406" s="3"/>
      <c r="F1406" s="3" t="s">
        <v>4321</v>
      </c>
      <c r="G1406" s="3"/>
      <c r="H1406" s="3"/>
      <c r="I1406" s="4"/>
      <c r="J1406" s="5" t="s">
        <v>20</v>
      </c>
      <c r="K1406" s="6"/>
      <c r="L1406" s="5"/>
      <c r="M1406" s="5"/>
      <c r="N1406" s="6"/>
      <c r="O1406" s="7"/>
      <c r="P1406" s="8" t="s">
        <v>21</v>
      </c>
      <c r="Q1406" s="8" t="s">
        <v>22</v>
      </c>
    </row>
    <row r="1407" customFormat="false" ht="15" hidden="false" customHeight="false" outlineLevel="0" collapsed="false">
      <c r="A1407" s="2" t="n">
        <v>1406</v>
      </c>
      <c r="B1407" s="3" t="s">
        <v>4322</v>
      </c>
      <c r="C1407" s="3"/>
      <c r="D1407" s="4"/>
      <c r="E1407" s="3"/>
      <c r="F1407" s="3" t="s">
        <v>4323</v>
      </c>
      <c r="G1407" s="3"/>
      <c r="H1407" s="3"/>
      <c r="I1407" s="4"/>
      <c r="J1407" s="5" t="s">
        <v>20</v>
      </c>
      <c r="K1407" s="6"/>
      <c r="L1407" s="5"/>
      <c r="M1407" s="5"/>
      <c r="N1407" s="6"/>
      <c r="O1407" s="7"/>
      <c r="P1407" s="8" t="s">
        <v>21</v>
      </c>
      <c r="Q1407" s="8" t="s">
        <v>22</v>
      </c>
    </row>
    <row r="1408" customFormat="false" ht="15" hidden="false" customHeight="false" outlineLevel="0" collapsed="false">
      <c r="A1408" s="2" t="n">
        <v>1407</v>
      </c>
      <c r="B1408" s="3" t="s">
        <v>4324</v>
      </c>
      <c r="C1408" s="3"/>
      <c r="D1408" s="4"/>
      <c r="E1408" s="3"/>
      <c r="F1408" s="3" t="s">
        <v>4323</v>
      </c>
      <c r="G1408" s="3"/>
      <c r="H1408" s="3"/>
      <c r="I1408" s="4"/>
      <c r="J1408" s="5" t="s">
        <v>20</v>
      </c>
      <c r="K1408" s="6"/>
      <c r="L1408" s="5"/>
      <c r="M1408" s="5"/>
      <c r="N1408" s="6"/>
      <c r="O1408" s="7"/>
      <c r="P1408" s="8" t="s">
        <v>21</v>
      </c>
      <c r="Q1408" s="8" t="s">
        <v>22</v>
      </c>
    </row>
    <row r="1409" customFormat="false" ht="15" hidden="false" customHeight="false" outlineLevel="0" collapsed="false">
      <c r="A1409" s="2" t="n">
        <v>1408</v>
      </c>
      <c r="B1409" s="3" t="s">
        <v>4325</v>
      </c>
      <c r="C1409" s="3" t="s">
        <v>24</v>
      </c>
      <c r="D1409" s="4"/>
      <c r="E1409" s="3"/>
      <c r="F1409" s="3" t="s">
        <v>4326</v>
      </c>
      <c r="G1409" s="3"/>
      <c r="H1409" s="3"/>
      <c r="I1409" s="4"/>
      <c r="J1409" s="5" t="s">
        <v>20</v>
      </c>
      <c r="K1409" s="6"/>
      <c r="L1409" s="5"/>
      <c r="M1409" s="5"/>
      <c r="N1409" s="6"/>
      <c r="O1409" s="7"/>
      <c r="P1409" s="8" t="s">
        <v>21</v>
      </c>
      <c r="Q1409" s="8" t="s">
        <v>22</v>
      </c>
    </row>
    <row r="1410" customFormat="false" ht="15" hidden="false" customHeight="false" outlineLevel="0" collapsed="false">
      <c r="A1410" s="2" t="n">
        <v>1409</v>
      </c>
      <c r="B1410" s="3" t="s">
        <v>4327</v>
      </c>
      <c r="C1410" s="3" t="s">
        <v>24</v>
      </c>
      <c r="D1410" s="4"/>
      <c r="E1410" s="3"/>
      <c r="F1410" s="3" t="s">
        <v>4326</v>
      </c>
      <c r="G1410" s="3"/>
      <c r="H1410" s="3"/>
      <c r="I1410" s="4"/>
      <c r="J1410" s="5" t="s">
        <v>20</v>
      </c>
      <c r="K1410" s="6"/>
      <c r="L1410" s="5"/>
      <c r="M1410" s="5"/>
      <c r="N1410" s="6"/>
      <c r="O1410" s="7"/>
      <c r="P1410" s="8" t="s">
        <v>21</v>
      </c>
      <c r="Q1410" s="8" t="s">
        <v>22</v>
      </c>
    </row>
    <row r="1411" customFormat="false" ht="23.85" hidden="false" customHeight="false" outlineLevel="0" collapsed="false">
      <c r="A1411" s="2" t="n">
        <v>1410</v>
      </c>
      <c r="B1411" s="3" t="s">
        <v>4328</v>
      </c>
      <c r="C1411" s="3" t="s">
        <v>120</v>
      </c>
      <c r="D1411" s="4"/>
      <c r="E1411" s="3"/>
      <c r="F1411" s="3" t="s">
        <v>4329</v>
      </c>
      <c r="G1411" s="3"/>
      <c r="H1411" s="8" t="s">
        <v>4330</v>
      </c>
      <c r="I1411" s="4" t="s">
        <v>4331</v>
      </c>
      <c r="J1411" s="5" t="s">
        <v>20</v>
      </c>
      <c r="K1411" s="6"/>
      <c r="L1411" s="5"/>
      <c r="M1411" s="5"/>
      <c r="N1411" s="6"/>
      <c r="O1411" s="7"/>
      <c r="P1411" s="8" t="s">
        <v>21</v>
      </c>
      <c r="Q1411" s="8" t="s">
        <v>22</v>
      </c>
    </row>
    <row r="1412" customFormat="false" ht="15" hidden="false" customHeight="false" outlineLevel="0" collapsed="false">
      <c r="A1412" s="2" t="n">
        <v>1411</v>
      </c>
      <c r="B1412" s="3" t="s">
        <v>4296</v>
      </c>
      <c r="C1412" s="3" t="s">
        <v>120</v>
      </c>
      <c r="D1412" s="4" t="s">
        <v>3653</v>
      </c>
      <c r="E1412" s="3" t="s">
        <v>3730</v>
      </c>
      <c r="F1412" s="3" t="s">
        <v>4332</v>
      </c>
      <c r="G1412" s="3" t="s">
        <v>4333</v>
      </c>
      <c r="H1412" s="8" t="s">
        <v>4334</v>
      </c>
      <c r="I1412" s="4" t="s">
        <v>4335</v>
      </c>
      <c r="J1412" s="5" t="s">
        <v>20</v>
      </c>
      <c r="K1412" s="6"/>
      <c r="L1412" s="5"/>
      <c r="M1412" s="5"/>
      <c r="N1412" s="6"/>
      <c r="O1412" s="7"/>
      <c r="P1412" s="8" t="s">
        <v>21</v>
      </c>
      <c r="Q1412" s="8" t="s">
        <v>22</v>
      </c>
    </row>
    <row r="1413" customFormat="false" ht="15" hidden="false" customHeight="false" outlineLevel="0" collapsed="false">
      <c r="A1413" s="2" t="n">
        <v>1412</v>
      </c>
      <c r="B1413" s="3" t="s">
        <v>4336</v>
      </c>
      <c r="C1413" s="3" t="s">
        <v>89</v>
      </c>
      <c r="D1413" s="4"/>
      <c r="E1413" s="3"/>
      <c r="F1413" s="3" t="s">
        <v>4332</v>
      </c>
      <c r="G1413" s="3"/>
      <c r="H1413" s="3"/>
      <c r="I1413" s="4"/>
      <c r="J1413" s="5" t="s">
        <v>20</v>
      </c>
      <c r="K1413" s="6"/>
      <c r="L1413" s="5"/>
      <c r="M1413" s="5"/>
      <c r="N1413" s="6"/>
      <c r="O1413" s="7"/>
      <c r="P1413" s="8" t="s">
        <v>21</v>
      </c>
      <c r="Q1413" s="8" t="s">
        <v>22</v>
      </c>
    </row>
    <row r="1414" customFormat="false" ht="15" hidden="false" customHeight="false" outlineLevel="0" collapsed="false">
      <c r="A1414" s="2" t="n">
        <v>1413</v>
      </c>
      <c r="B1414" s="3" t="s">
        <v>4337</v>
      </c>
      <c r="C1414" s="3"/>
      <c r="D1414" s="4"/>
      <c r="E1414" s="3"/>
      <c r="F1414" s="3" t="s">
        <v>4332</v>
      </c>
      <c r="G1414" s="3"/>
      <c r="H1414" s="3"/>
      <c r="I1414" s="4"/>
      <c r="J1414" s="5" t="s">
        <v>20</v>
      </c>
      <c r="K1414" s="6"/>
      <c r="L1414" s="5"/>
      <c r="M1414" s="5"/>
      <c r="N1414" s="6"/>
      <c r="O1414" s="7"/>
      <c r="P1414" s="8" t="s">
        <v>21</v>
      </c>
      <c r="Q1414" s="8" t="s">
        <v>22</v>
      </c>
    </row>
    <row r="1415" customFormat="false" ht="15" hidden="false" customHeight="false" outlineLevel="0" collapsed="false">
      <c r="A1415" s="2" t="n">
        <v>1414</v>
      </c>
      <c r="B1415" s="3" t="s">
        <v>4338</v>
      </c>
      <c r="C1415" s="3"/>
      <c r="D1415" s="4"/>
      <c r="E1415" s="3"/>
      <c r="F1415" s="3" t="s">
        <v>4339</v>
      </c>
      <c r="G1415" s="3"/>
      <c r="H1415" s="3"/>
      <c r="I1415" s="4"/>
      <c r="J1415" s="5" t="s">
        <v>20</v>
      </c>
      <c r="K1415" s="6"/>
      <c r="L1415" s="5"/>
      <c r="M1415" s="5"/>
      <c r="N1415" s="6"/>
      <c r="O1415" s="7"/>
      <c r="P1415" s="8" t="s">
        <v>21</v>
      </c>
      <c r="Q1415" s="8" t="s">
        <v>22</v>
      </c>
    </row>
    <row r="1416" customFormat="false" ht="23.85" hidden="false" customHeight="false" outlineLevel="0" collapsed="false">
      <c r="A1416" s="2" t="n">
        <v>1415</v>
      </c>
      <c r="B1416" s="3" t="s">
        <v>4340</v>
      </c>
      <c r="C1416" s="3" t="s">
        <v>4341</v>
      </c>
      <c r="D1416" s="4"/>
      <c r="E1416" s="3"/>
      <c r="F1416" s="3" t="s">
        <v>4339</v>
      </c>
      <c r="G1416" s="3" t="s">
        <v>4342</v>
      </c>
      <c r="H1416" s="8" t="s">
        <v>4343</v>
      </c>
      <c r="I1416" s="4" t="s">
        <v>4344</v>
      </c>
      <c r="J1416" s="5" t="s">
        <v>20</v>
      </c>
      <c r="K1416" s="6"/>
      <c r="L1416" s="5"/>
      <c r="M1416" s="5"/>
      <c r="N1416" s="6"/>
      <c r="O1416" s="7"/>
      <c r="P1416" s="8" t="s">
        <v>21</v>
      </c>
      <c r="Q1416" s="8" t="s">
        <v>22</v>
      </c>
    </row>
    <row r="1417" customFormat="false" ht="23.85" hidden="false" customHeight="false" outlineLevel="0" collapsed="false">
      <c r="A1417" s="2" t="n">
        <v>1416</v>
      </c>
      <c r="B1417" s="3" t="s">
        <v>4345</v>
      </c>
      <c r="C1417" s="3" t="s">
        <v>126</v>
      </c>
      <c r="D1417" s="4"/>
      <c r="E1417" s="3"/>
      <c r="F1417" s="3" t="s">
        <v>4346</v>
      </c>
      <c r="G1417" s="3" t="s">
        <v>4347</v>
      </c>
      <c r="H1417" s="8" t="s">
        <v>4348</v>
      </c>
      <c r="I1417" s="4" t="s">
        <v>4349</v>
      </c>
      <c r="J1417" s="5" t="s">
        <v>20</v>
      </c>
      <c r="K1417" s="6"/>
      <c r="L1417" s="5"/>
      <c r="M1417" s="5"/>
      <c r="N1417" s="6"/>
      <c r="O1417" s="7"/>
      <c r="P1417" s="8" t="s">
        <v>21</v>
      </c>
      <c r="Q1417" s="8" t="s">
        <v>22</v>
      </c>
    </row>
    <row r="1418" customFormat="false" ht="15" hidden="false" customHeight="false" outlineLevel="0" collapsed="false">
      <c r="A1418" s="2" t="n">
        <v>1417</v>
      </c>
      <c r="B1418" s="3" t="s">
        <v>4350</v>
      </c>
      <c r="C1418" s="3" t="s">
        <v>4351</v>
      </c>
      <c r="D1418" s="4" t="s">
        <v>4352</v>
      </c>
      <c r="E1418" s="3" t="s">
        <v>4353</v>
      </c>
      <c r="F1418" s="3" t="s">
        <v>4354</v>
      </c>
      <c r="G1418" s="3" t="s">
        <v>4355</v>
      </c>
      <c r="H1418" s="8" t="s">
        <v>4356</v>
      </c>
      <c r="I1418" s="4" t="s">
        <v>4357</v>
      </c>
      <c r="J1418" s="5" t="s">
        <v>20</v>
      </c>
      <c r="K1418" s="6"/>
      <c r="L1418" s="5"/>
      <c r="M1418" s="5"/>
      <c r="N1418" s="6"/>
      <c r="O1418" s="7"/>
      <c r="P1418" s="8" t="s">
        <v>21</v>
      </c>
      <c r="Q1418" s="8" t="s">
        <v>22</v>
      </c>
    </row>
    <row r="1419" customFormat="false" ht="15" hidden="false" customHeight="false" outlineLevel="0" collapsed="false">
      <c r="A1419" s="2" t="n">
        <v>1418</v>
      </c>
      <c r="B1419" s="3" t="s">
        <v>4358</v>
      </c>
      <c r="C1419" s="3" t="s">
        <v>595</v>
      </c>
      <c r="D1419" s="4"/>
      <c r="E1419" s="3"/>
      <c r="F1419" s="3" t="s">
        <v>4359</v>
      </c>
      <c r="G1419" s="3" t="s">
        <v>4360</v>
      </c>
      <c r="H1419" s="3"/>
      <c r="I1419" s="4" t="s">
        <v>4361</v>
      </c>
      <c r="J1419" s="5" t="s">
        <v>20</v>
      </c>
      <c r="K1419" s="6"/>
      <c r="L1419" s="5"/>
      <c r="M1419" s="5"/>
      <c r="N1419" s="6"/>
      <c r="O1419" s="7"/>
      <c r="P1419" s="8" t="s">
        <v>21</v>
      </c>
      <c r="Q1419" s="8" t="s">
        <v>22</v>
      </c>
    </row>
    <row r="1420" customFormat="false" ht="15" hidden="false" customHeight="false" outlineLevel="0" collapsed="false">
      <c r="A1420" s="2" t="n">
        <v>1419</v>
      </c>
      <c r="B1420" s="3" t="s">
        <v>4362</v>
      </c>
      <c r="C1420" s="3" t="s">
        <v>645</v>
      </c>
      <c r="D1420" s="4" t="s">
        <v>4363</v>
      </c>
      <c r="E1420" s="3" t="s">
        <v>4353</v>
      </c>
      <c r="F1420" s="3" t="s">
        <v>4364</v>
      </c>
      <c r="G1420" s="3" t="s">
        <v>4365</v>
      </c>
      <c r="H1420" s="8" t="s">
        <v>4366</v>
      </c>
      <c r="I1420" s="4" t="s">
        <v>4367</v>
      </c>
      <c r="J1420" s="5" t="s">
        <v>20</v>
      </c>
      <c r="K1420" s="6"/>
      <c r="L1420" s="5"/>
      <c r="M1420" s="5"/>
      <c r="N1420" s="6"/>
      <c r="O1420" s="7"/>
      <c r="P1420" s="8" t="s">
        <v>21</v>
      </c>
      <c r="Q1420" s="8" t="s">
        <v>22</v>
      </c>
    </row>
    <row r="1421" customFormat="false" ht="15" hidden="false" customHeight="false" outlineLevel="0" collapsed="false">
      <c r="A1421" s="2" t="n">
        <v>1420</v>
      </c>
      <c r="B1421" s="3" t="s">
        <v>4368</v>
      </c>
      <c r="C1421" s="3" t="s">
        <v>120</v>
      </c>
      <c r="D1421" s="4" t="s">
        <v>4369</v>
      </c>
      <c r="E1421" s="3" t="s">
        <v>4353</v>
      </c>
      <c r="F1421" s="3" t="s">
        <v>4364</v>
      </c>
      <c r="G1421" s="3"/>
      <c r="H1421" s="8" t="s">
        <v>4370</v>
      </c>
      <c r="I1421" s="4"/>
      <c r="J1421" s="5" t="s">
        <v>20</v>
      </c>
      <c r="K1421" s="6"/>
      <c r="L1421" s="5"/>
      <c r="M1421" s="5"/>
      <c r="N1421" s="6"/>
      <c r="O1421" s="7"/>
      <c r="P1421" s="8" t="s">
        <v>21</v>
      </c>
      <c r="Q1421" s="8" t="s">
        <v>22</v>
      </c>
    </row>
    <row r="1422" customFormat="false" ht="15" hidden="false" customHeight="false" outlineLevel="0" collapsed="false">
      <c r="A1422" s="2" t="n">
        <v>1421</v>
      </c>
      <c r="B1422" s="3" t="s">
        <v>4371</v>
      </c>
      <c r="C1422" s="3"/>
      <c r="D1422" s="4"/>
      <c r="E1422" s="3"/>
      <c r="F1422" s="3" t="s">
        <v>4372</v>
      </c>
      <c r="G1422" s="3"/>
      <c r="H1422" s="3"/>
      <c r="I1422" s="4"/>
      <c r="J1422" s="5" t="s">
        <v>20</v>
      </c>
      <c r="K1422" s="6"/>
      <c r="L1422" s="5"/>
      <c r="M1422" s="5"/>
      <c r="N1422" s="6"/>
      <c r="O1422" s="7"/>
      <c r="P1422" s="8" t="s">
        <v>21</v>
      </c>
      <c r="Q1422" s="8" t="s">
        <v>22</v>
      </c>
    </row>
    <row r="1423" customFormat="false" ht="15" hidden="false" customHeight="false" outlineLevel="0" collapsed="false">
      <c r="A1423" s="2" t="n">
        <v>1422</v>
      </c>
      <c r="B1423" s="3" t="s">
        <v>4371</v>
      </c>
      <c r="C1423" s="3"/>
      <c r="D1423" s="4"/>
      <c r="E1423" s="3"/>
      <c r="F1423" s="3" t="s">
        <v>4372</v>
      </c>
      <c r="G1423" s="3"/>
      <c r="H1423" s="3"/>
      <c r="I1423" s="4"/>
      <c r="J1423" s="5" t="s">
        <v>20</v>
      </c>
      <c r="K1423" s="6"/>
      <c r="L1423" s="5"/>
      <c r="M1423" s="5"/>
      <c r="N1423" s="6"/>
      <c r="O1423" s="7"/>
      <c r="P1423" s="8" t="s">
        <v>21</v>
      </c>
      <c r="Q1423" s="8" t="s">
        <v>22</v>
      </c>
    </row>
    <row r="1424" customFormat="false" ht="15" hidden="false" customHeight="false" outlineLevel="0" collapsed="false">
      <c r="A1424" s="2" t="n">
        <v>1423</v>
      </c>
      <c r="B1424" s="3" t="s">
        <v>4373</v>
      </c>
      <c r="C1424" s="3"/>
      <c r="D1424" s="4"/>
      <c r="E1424" s="3"/>
      <c r="F1424" s="3" t="s">
        <v>4372</v>
      </c>
      <c r="G1424" s="3"/>
      <c r="H1424" s="3"/>
      <c r="I1424" s="4"/>
      <c r="J1424" s="5" t="s">
        <v>20</v>
      </c>
      <c r="K1424" s="6"/>
      <c r="L1424" s="5"/>
      <c r="M1424" s="5"/>
      <c r="N1424" s="6"/>
      <c r="O1424" s="7"/>
      <c r="P1424" s="8" t="s">
        <v>21</v>
      </c>
      <c r="Q1424" s="8" t="s">
        <v>22</v>
      </c>
    </row>
    <row r="1425" customFormat="false" ht="15" hidden="false" customHeight="false" outlineLevel="0" collapsed="false">
      <c r="A1425" s="2" t="n">
        <v>1424</v>
      </c>
      <c r="B1425" s="3" t="s">
        <v>4374</v>
      </c>
      <c r="C1425" s="3"/>
      <c r="D1425" s="4"/>
      <c r="E1425" s="3"/>
      <c r="F1425" s="3" t="s">
        <v>4372</v>
      </c>
      <c r="G1425" s="3"/>
      <c r="H1425" s="3"/>
      <c r="I1425" s="4"/>
      <c r="J1425" s="5" t="s">
        <v>20</v>
      </c>
      <c r="K1425" s="6"/>
      <c r="L1425" s="5"/>
      <c r="M1425" s="5"/>
      <c r="N1425" s="6"/>
      <c r="O1425" s="7"/>
      <c r="P1425" s="8" t="s">
        <v>21</v>
      </c>
      <c r="Q1425" s="8" t="s">
        <v>22</v>
      </c>
    </row>
    <row r="1426" customFormat="false" ht="15" hidden="false" customHeight="false" outlineLevel="0" collapsed="false">
      <c r="A1426" s="2" t="n">
        <v>1425</v>
      </c>
      <c r="B1426" s="3" t="s">
        <v>4375</v>
      </c>
      <c r="C1426" s="3"/>
      <c r="D1426" s="4"/>
      <c r="E1426" s="3"/>
      <c r="F1426" s="3" t="s">
        <v>4372</v>
      </c>
      <c r="G1426" s="3"/>
      <c r="H1426" s="8" t="s">
        <v>4376</v>
      </c>
      <c r="I1426" s="4"/>
      <c r="J1426" s="5" t="s">
        <v>20</v>
      </c>
      <c r="K1426" s="6"/>
      <c r="L1426" s="5"/>
      <c r="M1426" s="5"/>
      <c r="N1426" s="6"/>
      <c r="O1426" s="7"/>
      <c r="P1426" s="8" t="s">
        <v>21</v>
      </c>
      <c r="Q1426" s="8" t="s">
        <v>22</v>
      </c>
    </row>
    <row r="1427" customFormat="false" ht="15" hidden="false" customHeight="false" outlineLevel="0" collapsed="false">
      <c r="A1427" s="2" t="n">
        <v>1426</v>
      </c>
      <c r="B1427" s="3" t="s">
        <v>4377</v>
      </c>
      <c r="C1427" s="3" t="s">
        <v>91</v>
      </c>
      <c r="D1427" s="4"/>
      <c r="E1427" s="3"/>
      <c r="F1427" s="3" t="s">
        <v>4372</v>
      </c>
      <c r="G1427" s="3"/>
      <c r="H1427" s="3"/>
      <c r="I1427" s="4"/>
      <c r="J1427" s="5" t="s">
        <v>20</v>
      </c>
      <c r="K1427" s="6"/>
      <c r="L1427" s="5"/>
      <c r="M1427" s="5"/>
      <c r="N1427" s="6"/>
      <c r="O1427" s="7"/>
      <c r="P1427" s="8" t="s">
        <v>21</v>
      </c>
      <c r="Q1427" s="8" t="s">
        <v>22</v>
      </c>
    </row>
    <row r="1428" customFormat="false" ht="15" hidden="false" customHeight="false" outlineLevel="0" collapsed="false">
      <c r="A1428" s="2" t="n">
        <v>1427</v>
      </c>
      <c r="B1428" s="3" t="s">
        <v>4377</v>
      </c>
      <c r="C1428" s="3" t="s">
        <v>91</v>
      </c>
      <c r="D1428" s="4"/>
      <c r="E1428" s="3"/>
      <c r="F1428" s="3" t="s">
        <v>4372</v>
      </c>
      <c r="G1428" s="3"/>
      <c r="H1428" s="3"/>
      <c r="I1428" s="4"/>
      <c r="J1428" s="5" t="s">
        <v>20</v>
      </c>
      <c r="K1428" s="6"/>
      <c r="L1428" s="5"/>
      <c r="M1428" s="5"/>
      <c r="N1428" s="6"/>
      <c r="O1428" s="7"/>
      <c r="P1428" s="8" t="s">
        <v>21</v>
      </c>
      <c r="Q1428" s="8" t="s">
        <v>22</v>
      </c>
    </row>
    <row r="1429" customFormat="false" ht="15" hidden="false" customHeight="false" outlineLevel="0" collapsed="false">
      <c r="A1429" s="2" t="n">
        <v>1428</v>
      </c>
      <c r="B1429" s="3" t="s">
        <v>4378</v>
      </c>
      <c r="C1429" s="3"/>
      <c r="D1429" s="4"/>
      <c r="E1429" s="3"/>
      <c r="F1429" s="3" t="s">
        <v>4379</v>
      </c>
      <c r="G1429" s="3"/>
      <c r="H1429" s="3"/>
      <c r="I1429" s="4"/>
      <c r="J1429" s="5" t="s">
        <v>20</v>
      </c>
      <c r="K1429" s="6"/>
      <c r="L1429" s="5"/>
      <c r="M1429" s="5"/>
      <c r="N1429" s="6"/>
      <c r="O1429" s="7"/>
      <c r="P1429" s="8" t="s">
        <v>21</v>
      </c>
      <c r="Q1429" s="8" t="s">
        <v>22</v>
      </c>
    </row>
    <row r="1430" customFormat="false" ht="15" hidden="false" customHeight="false" outlineLevel="0" collapsed="false">
      <c r="A1430" s="2" t="n">
        <v>1429</v>
      </c>
      <c r="B1430" s="3" t="s">
        <v>4380</v>
      </c>
      <c r="C1430" s="3"/>
      <c r="D1430" s="4"/>
      <c r="E1430" s="3"/>
      <c r="F1430" s="3" t="s">
        <v>4381</v>
      </c>
      <c r="G1430" s="3"/>
      <c r="H1430" s="8" t="s">
        <v>4382</v>
      </c>
      <c r="I1430" s="4"/>
      <c r="J1430" s="5" t="s">
        <v>20</v>
      </c>
      <c r="K1430" s="6"/>
      <c r="L1430" s="5"/>
      <c r="M1430" s="5"/>
      <c r="N1430" s="6"/>
      <c r="O1430" s="7"/>
      <c r="P1430" s="8" t="s">
        <v>21</v>
      </c>
      <c r="Q1430" s="8" t="s">
        <v>22</v>
      </c>
    </row>
    <row r="1431" customFormat="false" ht="23.85" hidden="false" customHeight="false" outlineLevel="0" collapsed="false">
      <c r="A1431" s="2" t="n">
        <v>1430</v>
      </c>
      <c r="B1431" s="3" t="s">
        <v>4383</v>
      </c>
      <c r="C1431" s="3"/>
      <c r="D1431" s="4" t="s">
        <v>4384</v>
      </c>
      <c r="E1431" s="3" t="s">
        <v>4258</v>
      </c>
      <c r="F1431" s="3" t="s">
        <v>4385</v>
      </c>
      <c r="G1431" s="3"/>
      <c r="H1431" s="3"/>
      <c r="I1431" s="4" t="s">
        <v>4386</v>
      </c>
      <c r="J1431" s="5" t="s">
        <v>20</v>
      </c>
      <c r="K1431" s="6"/>
      <c r="L1431" s="5"/>
      <c r="M1431" s="5"/>
      <c r="N1431" s="6"/>
      <c r="O1431" s="7"/>
      <c r="P1431" s="8" t="s">
        <v>21</v>
      </c>
      <c r="Q1431" s="8" t="s">
        <v>22</v>
      </c>
    </row>
  </sheetData>
  <autoFilter ref="A1:Q1431"/>
  <conditionalFormatting sqref="J2:J1431">
    <cfRule type="cellIs" priority="2" operator="equal" aboveAverage="0" equalAverage="0" bottom="0" percent="0" rank="0" text="" dxfId="5">
      <formula>"Client"</formula>
    </cfRule>
    <cfRule type="cellIs" priority="3" operator="equal" aboveAverage="0" equalAverage="0" bottom="0" percent="0" rank="0" text="" dxfId="6">
      <formula>"Pas intéressé"</formula>
    </cfRule>
    <cfRule type="cellIs" priority="4" operator="equal" aboveAverage="0" equalAverage="0" bottom="0" percent="0" rank="0" text="" dxfId="7">
      <formula>"RDV pris"</formula>
    </cfRule>
    <cfRule type="cellIs" priority="5" operator="equal" aboveAverage="0" equalAverage="0" bottom="0" percent="0" rank="0" text="" dxfId="7">
      <formula>"Devis envoyé"</formula>
    </cfRule>
    <cfRule type="cellIs" priority="6" operator="equal" aboveAverage="0" equalAverage="0" bottom="0" percent="0" rank="0" text="" dxfId="8">
      <formula>"À relancer"</formula>
    </cfRule>
    <cfRule type="cellIs" priority="7" operator="equal" aboveAverage="0" equalAverage="0" bottom="0" percent="0" rank="0" text="" dxfId="9">
      <formula>"Contacté"</formula>
    </cfRule>
  </conditionalFormatting>
  <dataValidations count="2">
    <dataValidation allowBlank="true" error="Choisissez un statut dans la liste déroulante." errorStyle="stop" errorTitle="Statut invalide" operator="between" showDropDown="false" showErrorMessage="false" showInputMessage="false" sqref="J2:J1431" type="list">
      <formula1>"À contacter,Contacté,RDV pris,Devis envoyé,Client,Pas intéressé,À relancer"</formula1>
      <formula2>0</formula2>
    </dataValidation>
    <dataValidation allowBlank="true" error="Saisissez une date au format JJ/MM/AAAA." errorStyle="stop" errorTitle="Date invalide" operator="greaterThan" showDropDown="false" showErrorMessage="false" showInputMessage="false" sqref="K2:K1431 N2:N1431" type="date">
      <formula1>DATE(2020,1,1)</formula1>
      <formula2>0</formula2>
    </dataValidation>
  </dataValidations>
  <hyperlinks>
    <hyperlink ref="P2" r:id="rId1" display="Voir la carte"/>
    <hyperlink ref="Q2" r:id="rId2" display="Ouvrir"/>
    <hyperlink ref="P3" r:id="rId3" display="Voir la carte"/>
    <hyperlink ref="Q3" r:id="rId4" display="Ouvrir"/>
    <hyperlink ref="P4" r:id="rId5" display="Voir la carte"/>
    <hyperlink ref="Q4" r:id="rId6" display="Ouvrir"/>
    <hyperlink ref="P5" r:id="rId7" display="Voir la carte"/>
    <hyperlink ref="Q5" r:id="rId8" display="Ouvrir"/>
    <hyperlink ref="P6" r:id="rId9" display="Voir la carte"/>
    <hyperlink ref="Q6" r:id="rId10" display="Ouvrir"/>
    <hyperlink ref="H7" r:id="rId11" display="https://www.abuelorestaurant.fr/"/>
    <hyperlink ref="P7" r:id="rId12" display="Voir la carte"/>
    <hyperlink ref="Q7" r:id="rId13" display="Ouvrir"/>
    <hyperlink ref="H8" r:id="rId14" display="https://restaurant-ethiopien-toulouse.eatbu.com/?lang=fr"/>
    <hyperlink ref="P8" r:id="rId15" display="Voir la carte"/>
    <hyperlink ref="Q8" r:id="rId16" display="Ouvrir"/>
    <hyperlink ref="H9" r:id="rId17" display="https://yannickdelpech-acte2.fr/"/>
    <hyperlink ref="P9" r:id="rId18" display="Voir la carte"/>
    <hyperlink ref="Q9" r:id="rId19" display="Ouvrir"/>
    <hyperlink ref="H10" r:id="rId20" display="https://adana-grill-toulouse.fr"/>
    <hyperlink ref="P10" r:id="rId21" display="Voir la carte"/>
    <hyperlink ref="Q10" r:id="rId22" display="Ouvrir"/>
    <hyperlink ref="P11" r:id="rId23" display="Voir la carte"/>
    <hyperlink ref="Q11" r:id="rId24" display="Ouvrir"/>
    <hyperlink ref="H12" r:id="rId25" display="https://www.agapes-toulouse.fr/"/>
    <hyperlink ref="P12" r:id="rId26" display="Voir la carte"/>
    <hyperlink ref="Q12" r:id="rId27" display="Ouvrir"/>
    <hyperlink ref="P13" r:id="rId28" display="Voir la carte"/>
    <hyperlink ref="Q13" r:id="rId29" display="Ouvrir"/>
    <hyperlink ref="H14" r:id="rId30" display="https://www.aikobistrot.com/"/>
    <hyperlink ref="P14" r:id="rId31" display="Voir la carte"/>
    <hyperlink ref="Q14" r:id="rId32" display="Ouvrir"/>
    <hyperlink ref="P15" r:id="rId33" display="Voir la carte"/>
    <hyperlink ref="Q15" r:id="rId34" display="Ouvrir"/>
    <hyperlink ref="H16" r:id="rId35" display="https://www.alice-pizza.net/"/>
    <hyperlink ref="P16" r:id="rId36" display="Voir la carte"/>
    <hyperlink ref="Q16" r:id="rId37" display="Ouvrir"/>
    <hyperlink ref="H17" r:id="rId38" display="https://amore-mia.fr/"/>
    <hyperlink ref="P17" r:id="rId39" display="Voir la carte"/>
    <hyperlink ref="Q17" r:id="rId40" display="Ouvrir"/>
    <hyperlink ref="P18" r:id="rId41" display="Voir la carte"/>
    <hyperlink ref="Q18" r:id="rId42" display="Ouvrir"/>
    <hyperlink ref="H19" r:id="rId43" display="https://andiamo-toulouse.eatbu.com"/>
    <hyperlink ref="P19" r:id="rId44" display="Voir la carte"/>
    <hyperlink ref="Q19" r:id="rId45" display="Ouvrir"/>
    <hyperlink ref="H20" r:id="rId46" display="https://an-dochine.fr/"/>
    <hyperlink ref="P20" r:id="rId47" display="Voir la carte"/>
    <hyperlink ref="Q20" r:id="rId48" display="Ouvrir"/>
    <hyperlink ref="P21" r:id="rId49" display="Voir la carte"/>
    <hyperlink ref="Q21" r:id="rId50" display="Ouvrir"/>
    <hyperlink ref="P22" r:id="rId51" display="Voir la carte"/>
    <hyperlink ref="Q22" r:id="rId52" display="Ouvrir"/>
    <hyperlink ref="P23" r:id="rId53" display="Voir la carte"/>
    <hyperlink ref="Q23" r:id="rId54" display="Ouvrir"/>
    <hyperlink ref="P24" r:id="rId55" display="Voir la carte"/>
    <hyperlink ref="Q24" r:id="rId56" display="Ouvrir"/>
    <hyperlink ref="P25" r:id="rId57" display="Voir la carte"/>
    <hyperlink ref="Q25" r:id="rId58" display="Ouvrir"/>
    <hyperlink ref="P26" r:id="rId59" display="Voir la carte"/>
    <hyperlink ref="Q26" r:id="rId60" display="Ouvrir"/>
    <hyperlink ref="P27" r:id="rId61" display="Voir la carte"/>
    <hyperlink ref="Q27" r:id="rId62" display="Ouvrir"/>
    <hyperlink ref="H28" r:id="rId63" display="https://fr-fr.facebook.com/Au-Bon-Graillou-157630230940966/"/>
    <hyperlink ref="P28" r:id="rId64" display="Voir la carte"/>
    <hyperlink ref="Q28" r:id="rId65" display="Ouvrir"/>
    <hyperlink ref="H29" r:id="rId66" display="https://www.auburon.fr"/>
    <hyperlink ref="P29" r:id="rId67" display="Voir la carte"/>
    <hyperlink ref="Q29" r:id="rId68" display="Ouvrir"/>
    <hyperlink ref="P30" r:id="rId69" display="Voir la carte"/>
    <hyperlink ref="Q30" r:id="rId70" display="Ouvrir"/>
    <hyperlink ref="P31" r:id="rId71" display="Voir la carte"/>
    <hyperlink ref="Q31" r:id="rId72" display="Ouvrir"/>
    <hyperlink ref="P32" r:id="rId73" display="Voir la carte"/>
    <hyperlink ref="Q32" r:id="rId74" display="Ouvrir"/>
    <hyperlink ref="H33" r:id="rId75" display="https://www.restaurant-augascon-toulouse.fr/"/>
    <hyperlink ref="P33" r:id="rId76" display="Voir la carte"/>
    <hyperlink ref="Q33" r:id="rId77" display="Ouvrir"/>
    <hyperlink ref="H34" r:id="rId78" display="https://au-gourmet-vietnam.eatbu.com"/>
    <hyperlink ref="P34" r:id="rId79" display="Voir la carte"/>
    <hyperlink ref="Q34" r:id="rId80" display="Ouvrir"/>
    <hyperlink ref="P35" r:id="rId81" display="Voir la carte"/>
    <hyperlink ref="Q35" r:id="rId82" display="Ouvrir"/>
    <hyperlink ref="H36" r:id="rId83" display="https://pois-gourmand.fr/"/>
    <hyperlink ref="P36" r:id="rId84" display="Voir la carte"/>
    <hyperlink ref="Q36" r:id="rId85" display="Ouvrir"/>
    <hyperlink ref="H37" r:id="rId86" display="http://www.auvieuxpekin.fr"/>
    <hyperlink ref="P37" r:id="rId87" display="Voir la carte"/>
    <hyperlink ref="Q37" r:id="rId88" display="Ouvrir"/>
    <hyperlink ref="H38" r:id="rId89" display="https://autour-de-pizz.metro.rest"/>
    <hyperlink ref="P38" r:id="rId90" display="Voir la carte"/>
    <hyperlink ref="Q38" r:id="rId91" display="Ouvrir"/>
    <hyperlink ref="P39" r:id="rId92" display="Voir la carte"/>
    <hyperlink ref="Q39" r:id="rId93" display="Ouvrir"/>
    <hyperlink ref="P40" r:id="rId94" display="Voir la carte"/>
    <hyperlink ref="Q40" r:id="rId95" display="Ouvrir"/>
    <hyperlink ref="H41" r:id="rId96" display="https://auxpiedssouslatable.fr"/>
    <hyperlink ref="P41" r:id="rId97" display="Voir la carte"/>
    <hyperlink ref="Q41" r:id="rId98" display="Ouvrir"/>
    <hyperlink ref="P42" r:id="rId99" display="Voir la carte"/>
    <hyperlink ref="Q42" r:id="rId100" display="Ouvrir"/>
    <hyperlink ref="H43" r:id="rId101" display="https://www.acairestaurant.com/"/>
    <hyperlink ref="P43" r:id="rId102" display="Voir la carte"/>
    <hyperlink ref="Q43" r:id="rId103" display="Ouvrir"/>
    <hyperlink ref="P44" r:id="rId104" display="Voir la carte"/>
    <hyperlink ref="Q44" r:id="rId105" display="Ouvrir"/>
    <hyperlink ref="H45" r:id="rId106" display="http://www.baan.fr/"/>
    <hyperlink ref="P45" r:id="rId107" display="Voir la carte"/>
    <hyperlink ref="Q45" r:id="rId108" display="Ouvrir"/>
    <hyperlink ref="H46" r:id="rId109" display="https://babacanteen.com/"/>
    <hyperlink ref="P46" r:id="rId110" display="Voir la carte"/>
    <hyperlink ref="Q46" r:id="rId111" display="Ouvrir"/>
    <hyperlink ref="H47" r:id="rId112" display="https://www.banhmiviet-tls.fr/"/>
    <hyperlink ref="P47" r:id="rId113" display="Voir la carte"/>
    <hyperlink ref="Q47" r:id="rId114" display="Ouvrir"/>
    <hyperlink ref="H48" r:id="rId115" display="https://www.bao-house.fr/"/>
    <hyperlink ref="P48" r:id="rId116" display="Voir la carte"/>
    <hyperlink ref="Q48" r:id="rId117" display="Ouvrir"/>
    <hyperlink ref="H49" r:id="rId118" display="https://alaunefamily.com/bar-a-la-une/"/>
    <hyperlink ref="P49" r:id="rId119" display="Voir la carte"/>
    <hyperlink ref="Q49" r:id="rId120" display="Ouvrir"/>
    <hyperlink ref="P50" r:id="rId121" display="Voir la carte"/>
    <hyperlink ref="Q50" r:id="rId122" display="Ouvrir"/>
    <hyperlink ref="H51" r:id="rId123" display="https://www.facebook.com/Barbaque-107036844371386/"/>
    <hyperlink ref="P51" r:id="rId124" display="Voir la carte"/>
    <hyperlink ref="Q51" r:id="rId125" display="Ouvrir"/>
    <hyperlink ref="H52" r:id="rId126" display="https://www.barricot.fr/"/>
    <hyperlink ref="P52" r:id="rId127" display="Voir la carte"/>
    <hyperlink ref="Q52" r:id="rId128" display="Ouvrir"/>
    <hyperlink ref="H53" r:id="rId129" display="https://bassocompotes.fr/"/>
    <hyperlink ref="P53" r:id="rId130" display="Voir la carte"/>
    <hyperlink ref="Q53" r:id="rId131" display="Ouvrir"/>
    <hyperlink ref="P54" r:id="rId132" display="Voir la carte"/>
    <hyperlink ref="Q54" r:id="rId133" display="Ouvrir"/>
    <hyperlink ref="H55" r:id="rId134" display="https://beldifusion.fr/"/>
    <hyperlink ref="P55" r:id="rId135" display="Voir la carte"/>
    <hyperlink ref="Q55" r:id="rId136" display="Ouvrir"/>
    <hyperlink ref="H56" r:id="rId137" display="https://www.pizzeriabellini.fr/"/>
    <hyperlink ref="P56" r:id="rId138" display="Voir la carte"/>
    <hyperlink ref="Q56" r:id="rId139" display="Ouvrir"/>
    <hyperlink ref="H57" r:id="rId140" display="https://www.bellocq.eu/"/>
    <hyperlink ref="P57" r:id="rId141" display="Voir la carte"/>
    <hyperlink ref="Q57" r:id="rId142" display="Ouvrir"/>
    <hyperlink ref="H58" r:id="rId143" display="https://bep-chay.com"/>
    <hyperlink ref="P58" r:id="rId144" display="Voir la carte"/>
    <hyperlink ref="Q58" r:id="rId145" display="Ouvrir"/>
    <hyperlink ref="P59" r:id="rId146" display="Voir la carte"/>
    <hyperlink ref="Q59" r:id="rId147" display="Ouvrir"/>
    <hyperlink ref="H60" r:id="rId148" display="https://lebiergarten-purpan.fr/"/>
    <hyperlink ref="P60" r:id="rId149" display="Voir la carte"/>
    <hyperlink ref="Q60" r:id="rId150" display="Ouvrir"/>
    <hyperlink ref="H61" r:id="rId151" display="https://www.thefork.fr/restaurant/bimi-sushi-r818069"/>
    <hyperlink ref="P61" r:id="rId152" display="Voir la carte"/>
    <hyperlink ref="Q61" r:id="rId153" display="Ouvrir"/>
    <hyperlink ref="H62" r:id="rId154" display="http://www.restaurant-binaire.fr/"/>
    <hyperlink ref="P62" r:id="rId155" display="Voir la carte"/>
    <hyperlink ref="Q62" r:id="rId156" display="Ouvrir"/>
    <hyperlink ref="P63" r:id="rId157" display="Voir la carte"/>
    <hyperlink ref="Q63" r:id="rId158" display="Ouvrir"/>
    <hyperlink ref="H64" r:id="rId159" display="https://www.theatregaronne.com/information/bistro-garonne"/>
    <hyperlink ref="P64" r:id="rId160" display="Voir la carte"/>
    <hyperlink ref="Q64" r:id="rId161" display="Ouvrir"/>
    <hyperlink ref="H65" r:id="rId162" display="https://www.bistro-regent.fr"/>
    <hyperlink ref="P65" r:id="rId163" display="Voir la carte"/>
    <hyperlink ref="Q65" r:id="rId164" display="Ouvrir"/>
    <hyperlink ref="H66" r:id="rId165" display="https://www.bistro-regent.fr/montaudran/"/>
    <hyperlink ref="P66" r:id="rId166" display="Voir la carte"/>
    <hyperlink ref="Q66" r:id="rId167" display="Ouvrir"/>
    <hyperlink ref="P67" r:id="rId168" display="Voir la carte"/>
    <hyperlink ref="Q67" r:id="rId169" display="Ouvrir"/>
    <hyperlink ref="P68" r:id="rId170" display="Voir la carte"/>
    <hyperlink ref="Q68" r:id="rId171" display="Ouvrir"/>
    <hyperlink ref="H69" r:id="rId172" display="https://www.bistrotdeletoile.fr/"/>
    <hyperlink ref="P69" r:id="rId173" display="Voir la carte"/>
    <hyperlink ref="Q69" r:id="rId174" display="Ouvrir"/>
    <hyperlink ref="P70" r:id="rId175" display="Voir la carte"/>
    <hyperlink ref="Q70" r:id="rId176" display="Ouvrir"/>
    <hyperlink ref="P71" r:id="rId177" display="Voir la carte"/>
    <hyperlink ref="Q71" r:id="rId178" display="Ouvrir"/>
    <hyperlink ref="H72" r:id="rId179" display="https://leblok31.com/restaurant/"/>
    <hyperlink ref="P72" r:id="rId180" display="Voir la carte"/>
    <hyperlink ref="Q72" r:id="rId181" display="Ouvrir"/>
    <hyperlink ref="P73" r:id="rId182" display="Voir la carte"/>
    <hyperlink ref="Q73" r:id="rId183" display="Ouvrir"/>
    <hyperlink ref="P74" r:id="rId184" display="Voir la carte"/>
    <hyperlink ref="Q74" r:id="rId185" display="Ouvrir"/>
    <hyperlink ref="P75" r:id="rId186" display="Voir la carte"/>
    <hyperlink ref="Q75" r:id="rId187" display="Ouvrir"/>
    <hyperlink ref="H76" r:id="rId188" display="http://bangkok-bol.fr/"/>
    <hyperlink ref="P76" r:id="rId189" display="Voir la carte"/>
    <hyperlink ref="Q76" r:id="rId190" display="Ouvrir"/>
    <hyperlink ref="H77" r:id="rId191" display="http://www.restaurant-borriquito.com/"/>
    <hyperlink ref="P77" r:id="rId192" display="Voir la carte"/>
    <hyperlink ref="Q77" r:id="rId193" display="Ouvrir"/>
    <hyperlink ref="P78" r:id="rId194" display="Voir la carte"/>
    <hyperlink ref="Q78" r:id="rId195" display="Ouvrir"/>
    <hyperlink ref="P79" r:id="rId196" display="Voir la carte"/>
    <hyperlink ref="Q79" r:id="rId197" display="Ouvrir"/>
    <hyperlink ref="P80" r:id="rId198" display="Voir la carte"/>
    <hyperlink ref="Q80" r:id="rId199" display="Ouvrir"/>
    <hyperlink ref="P81" r:id="rId200" display="Voir la carte"/>
    <hyperlink ref="Q81" r:id="rId201" display="Ouvrir"/>
    <hyperlink ref="H82" r:id="rId202" display="https://brasserielesbeauxarts.fr/"/>
    <hyperlink ref="P82" r:id="rId203" display="Voir la carte"/>
    <hyperlink ref="Q82" r:id="rId204" display="Ouvrir"/>
    <hyperlink ref="P83" r:id="rId205" display="Voir la carte"/>
    <hyperlink ref="Q83" r:id="rId206" display="Ouvrir"/>
    <hyperlink ref="H84" r:id="rId207" display="http://www.capoul.com/brasserie/"/>
    <hyperlink ref="P84" r:id="rId208" display="Voir la carte"/>
    <hyperlink ref="Q84" r:id="rId209" display="Ouvrir"/>
    <hyperlink ref="H85" r:id="rId210" display="http://www.brasserielesfrangins.fr/"/>
    <hyperlink ref="P85" r:id="rId211" display="Voir la carte"/>
    <hyperlink ref="Q85" r:id="rId212" display="Ouvrir"/>
    <hyperlink ref="P86" r:id="rId213" display="Voir la carte"/>
    <hyperlink ref="Q86" r:id="rId214" display="Ouvrir"/>
    <hyperlink ref="P87" r:id="rId215" display="Voir la carte"/>
    <hyperlink ref="Q87" r:id="rId216" display="Ouvrir"/>
    <hyperlink ref="H88" r:id="rId217" display="https://www.burgernco.fr"/>
    <hyperlink ref="P88" r:id="rId218" display="Voir la carte"/>
    <hyperlink ref="Q88" r:id="rId219" display="Ouvrir"/>
    <hyperlink ref="P89" r:id="rId220" display="Voir la carte"/>
    <hyperlink ref="Q89" r:id="rId221" display="Ouvrir"/>
    <hyperlink ref="H90" r:id="rId222" display="http://bacaro-toulouse.fr/"/>
    <hyperlink ref="P90" r:id="rId223" display="Voir la carte"/>
    <hyperlink ref="Q90" r:id="rId224" display="Ouvrir"/>
    <hyperlink ref="P91" r:id="rId225" display="Voir la carte"/>
    <hyperlink ref="Q91" r:id="rId226" display="Ouvrir"/>
    <hyperlink ref="P92" r:id="rId227" display="Voir la carte"/>
    <hyperlink ref="Q92" r:id="rId228" display="Ouvrir"/>
    <hyperlink ref="P93" r:id="rId229" display="Voir la carte"/>
    <hyperlink ref="Q93" r:id="rId230" display="Ouvrir"/>
    <hyperlink ref="H94" r:id="rId231" display="https://www.crous-toulouse.fr/restaurant/cafet-arum/"/>
    <hyperlink ref="P94" r:id="rId232" display="Voir la carte"/>
    <hyperlink ref="Q94" r:id="rId233" display="Ouvrir"/>
    <hyperlink ref="P95" r:id="rId234" display="Voir la carte"/>
    <hyperlink ref="Q95" r:id="rId235" display="Ouvrir"/>
    <hyperlink ref="H96" r:id="rId236" display="https://www.cafe-chouchou.fr/"/>
    <hyperlink ref="P96" r:id="rId237" display="Voir la carte"/>
    <hyperlink ref="Q96" r:id="rId238" display="Ouvrir"/>
    <hyperlink ref="P97" r:id="rId239" display="Voir la carte"/>
    <hyperlink ref="Q97" r:id="rId240" display="Ouvrir"/>
    <hyperlink ref="P98" r:id="rId241" display="Voir la carte"/>
    <hyperlink ref="Q98" r:id="rId242" display="Ouvrir"/>
    <hyperlink ref="P99" r:id="rId243" display="Voir la carte"/>
    <hyperlink ref="Q99" r:id="rId244" display="Ouvrir"/>
    <hyperlink ref="P100" r:id="rId245" display="Voir la carte"/>
    <hyperlink ref="Q100" r:id="rId246" display="Ouvrir"/>
    <hyperlink ref="P101" r:id="rId247" display="Voir la carte"/>
    <hyperlink ref="Q101" r:id="rId248" display="Ouvrir"/>
    <hyperlink ref="H102" r:id="rId249" display="https://cafe-oz.com/toulouse.html"/>
    <hyperlink ref="P102" r:id="rId250" display="Voir la carte"/>
    <hyperlink ref="Q102" r:id="rId251" display="Ouvrir"/>
    <hyperlink ref="P103" r:id="rId252" display="Voir la carte"/>
    <hyperlink ref="Q103" r:id="rId253" display="Ouvrir"/>
    <hyperlink ref="H104" r:id="rId254" display="https://www.cafealaune.fr/"/>
    <hyperlink ref="P104" r:id="rId255" display="Voir la carte"/>
    <hyperlink ref="Q104" r:id="rId256" display="Ouvrir"/>
    <hyperlink ref="H105" r:id="rId257" display="https://latopina.com/"/>
    <hyperlink ref="P105" r:id="rId258" display="Voir la carte"/>
    <hyperlink ref="Q105" r:id="rId259" display="Ouvrir"/>
    <hyperlink ref="H106" r:id="rId260" display="https://camaor-restaurant.eatbu.com/?lang=fr"/>
    <hyperlink ref="P106" r:id="rId261" display="Voir la carte"/>
    <hyperlink ref="Q106" r:id="rId262" display="Ouvrir"/>
    <hyperlink ref="P107" r:id="rId263" display="Voir la carte"/>
    <hyperlink ref="Q107" r:id="rId264" display="Ouvrir"/>
    <hyperlink ref="H108" r:id="rId265" display="https://caminito-toulouse.fr/"/>
    <hyperlink ref="P108" r:id="rId266" display="Voir la carte"/>
    <hyperlink ref="Q108" r:id="rId267" display="Ouvrir"/>
    <hyperlink ref="H109" r:id="rId268" display="https://campagnetoulouse.fr/"/>
    <hyperlink ref="P109" r:id="rId269" display="Voir la carte"/>
    <hyperlink ref="Q109" r:id="rId270" display="Ouvrir"/>
    <hyperlink ref="P110" r:id="rId271" display="Voir la carte"/>
    <hyperlink ref="Q110" r:id="rId272" display="Ouvrir"/>
    <hyperlink ref="P111" r:id="rId273" display="Voir la carte"/>
    <hyperlink ref="Q111" r:id="rId274" display="Ouvrir"/>
    <hyperlink ref="P112" r:id="rId275" display="Voir la carte"/>
    <hyperlink ref="Q112" r:id="rId276" display="Ouvrir"/>
    <hyperlink ref="P113" r:id="rId277" display="Voir la carte"/>
    <hyperlink ref="Q113" r:id="rId278" display="Ouvrir"/>
    <hyperlink ref="H114" r:id="rId279" display="https://caracas-toulouse.com/"/>
    <hyperlink ref="P114" r:id="rId280" display="Voir la carte"/>
    <hyperlink ref="Q114" r:id="rId281" display="Ouvrir"/>
    <hyperlink ref="P115" r:id="rId282" display="Voir la carte"/>
    <hyperlink ref="Q115" r:id="rId283" display="Ouvrir"/>
    <hyperlink ref="H116" r:id="rId284" display="https://restaurant-carthel.com/"/>
    <hyperlink ref="P116" r:id="rId285" display="Voir la carte"/>
    <hyperlink ref="Q116" r:id="rId286" display="Ouvrir"/>
    <hyperlink ref="H117" r:id="rId287" display="https://www.casabomba.fr/"/>
    <hyperlink ref="P117" r:id="rId288" display="Voir la carte"/>
    <hyperlink ref="Q117" r:id="rId289" display="Ouvrir"/>
    <hyperlink ref="P118" r:id="rId290" display="Voir la carte"/>
    <hyperlink ref="Q118" r:id="rId291" display="Ouvrir"/>
    <hyperlink ref="H119" r:id="rId292" display="https://casanatachoutoulouse.cafecityguide.website/"/>
    <hyperlink ref="P119" r:id="rId293" display="Voir la carte"/>
    <hyperlink ref="Q119" r:id="rId294" display="Ouvrir"/>
    <hyperlink ref="H120" r:id="rId295" display="https://www.catxo-restaurant.com/"/>
    <hyperlink ref="P120" r:id="rId296" display="Voir la carte"/>
    <hyperlink ref="Q120" r:id="rId297" display="Ouvrir"/>
    <hyperlink ref="P121" r:id="rId298" display="Voir la carte"/>
    <hyperlink ref="Q121" r:id="rId299" display="Ouvrir"/>
    <hyperlink ref="H122" r:id="rId300" display="https://www.chefchuan.fr/"/>
    <hyperlink ref="P122" r:id="rId301" display="Voir la carte"/>
    <hyperlink ref="Q122" r:id="rId302" display="Ouvrir"/>
    <hyperlink ref="P123" r:id="rId303" display="Voir la carte"/>
    <hyperlink ref="Q123" r:id="rId304" display="Ouvrir"/>
    <hyperlink ref="P124" r:id="rId305" display="Voir la carte"/>
    <hyperlink ref="Q124" r:id="rId306" display="Ouvrir"/>
    <hyperlink ref="H125" r:id="rId307" display="https://www.chezbobonne.fr/"/>
    <hyperlink ref="P125" r:id="rId308" display="Voir la carte"/>
    <hyperlink ref="Q125" r:id="rId309" display="Ouvrir"/>
    <hyperlink ref="H126" r:id="rId310" display="https://www.chezcarmen.fr/lerestaurant"/>
    <hyperlink ref="P126" r:id="rId311" display="Voir la carte"/>
    <hyperlink ref="Q126" r:id="rId312" display="Ouvrir"/>
    <hyperlink ref="H127" r:id="rId313" display="https://www.chezcasi.fr/"/>
    <hyperlink ref="P127" r:id="rId314" display="Voir la carte"/>
    <hyperlink ref="Q127" r:id="rId315" display="Ouvrir"/>
    <hyperlink ref="P128" r:id="rId316" display="Voir la carte"/>
    <hyperlink ref="Q128" r:id="rId317" display="Ouvrir"/>
    <hyperlink ref="H129" r:id="rId318" display="https://chezgardel.fr/"/>
    <hyperlink ref="P129" r:id="rId319" display="Voir la carte"/>
    <hyperlink ref="Q129" r:id="rId320" display="Ouvrir"/>
    <hyperlink ref="P130" r:id="rId321" display="Voir la carte"/>
    <hyperlink ref="Q130" r:id="rId322" display="Ouvrir"/>
    <hyperlink ref="P131" r:id="rId323" display="Voir la carte"/>
    <hyperlink ref="Q131" r:id="rId324" display="Ouvrir"/>
    <hyperlink ref="P132" r:id="rId325" display="Voir la carte"/>
    <hyperlink ref="Q132" r:id="rId326" display="Ouvrir"/>
    <hyperlink ref="H133" r:id="rId327" display="http://huguettecafecantine.com/"/>
    <hyperlink ref="P133" r:id="rId328" display="Voir la carte"/>
    <hyperlink ref="Q133" r:id="rId329" display="Ouvrir"/>
    <hyperlink ref="H134" r:id="rId330" display="https://restaurant-toulouse-chez-ines.fr/"/>
    <hyperlink ref="P134" r:id="rId331" display="Voir la carte"/>
    <hyperlink ref="Q134" r:id="rId332" display="Ouvrir"/>
    <hyperlink ref="H135" r:id="rId333" display="http://www.chezingalls.com"/>
    <hyperlink ref="P135" r:id="rId334" display="Voir la carte"/>
    <hyperlink ref="Q135" r:id="rId335" display="Ouvrir"/>
    <hyperlink ref="P136" r:id="rId336" display="Voir la carte"/>
    <hyperlink ref="Q136" r:id="rId337" display="Ouvrir"/>
    <hyperlink ref="H137" r:id="rId338" display="https://www.chezjeanetgabi-restaurant.com/"/>
    <hyperlink ref="P137" r:id="rId339" display="Voir la carte"/>
    <hyperlink ref="Q137" r:id="rId340" display="Ouvrir"/>
    <hyperlink ref="H138" r:id="rId341" display="https://www.chezjeannot-restaurant.fr/"/>
    <hyperlink ref="P138" r:id="rId342" display="Voir la carte"/>
    <hyperlink ref="Q138" r:id="rId343" display="Ouvrir"/>
    <hyperlink ref="H139" r:id="rId344" display="https://chezlespotes.com"/>
    <hyperlink ref="P139" r:id="rId345" display="Voir la carte"/>
    <hyperlink ref="Q139" r:id="rId346" display="Ouvrir"/>
    <hyperlink ref="P140" r:id="rId347" display="Voir la carte"/>
    <hyperlink ref="Q140" r:id="rId348" display="Ouvrir"/>
    <hyperlink ref="P141" r:id="rId349" display="Voir la carte"/>
    <hyperlink ref="Q141" r:id="rId350" display="Ouvrir"/>
    <hyperlink ref="H142" r:id="rId351" display="https://www.chezmagda.fr/"/>
    <hyperlink ref="P142" r:id="rId352" display="Voir la carte"/>
    <hyperlink ref="Q142" r:id="rId353" display="Ouvrir"/>
    <hyperlink ref="H143" r:id="rId354" display="https://www.chezmarcel.fr/"/>
    <hyperlink ref="P143" r:id="rId355" display="Voir la carte"/>
    <hyperlink ref="Q143" r:id="rId356" display="Ouvrir"/>
    <hyperlink ref="P144" r:id="rId357" display="Voir la carte"/>
    <hyperlink ref="Q144" r:id="rId358" display="Ouvrir"/>
    <hyperlink ref="P145" r:id="rId359" display="Voir la carte"/>
    <hyperlink ref="Q145" r:id="rId360" display="Ouvrir"/>
    <hyperlink ref="H146" r:id="rId361" display="https://chezmolly.fr/"/>
    <hyperlink ref="P146" r:id="rId362" display="Voir la carte"/>
    <hyperlink ref="Q146" r:id="rId363" display="Ouvrir"/>
    <hyperlink ref="P147" r:id="rId364" display="Voir la carte"/>
    <hyperlink ref="Q147" r:id="rId365" display="Ouvrir"/>
    <hyperlink ref="H148" r:id="rId366" display="https://www.chez-navarre.fr/"/>
    <hyperlink ref="P148" r:id="rId367" display="Voir la carte"/>
    <hyperlink ref="Q148" r:id="rId368" display="Ouvrir"/>
    <hyperlink ref="P149" r:id="rId369" display="Voir la carte"/>
    <hyperlink ref="Q149" r:id="rId370" display="Ouvrir"/>
    <hyperlink ref="P150" r:id="rId371" display="Voir la carte"/>
    <hyperlink ref="Q150" r:id="rId372" display="Ouvrir"/>
    <hyperlink ref="P151" r:id="rId373" display="Voir la carte"/>
    <hyperlink ref="Q151" r:id="rId374" display="Ouvrir"/>
    <hyperlink ref="P152" r:id="rId375" display="Voir la carte"/>
    <hyperlink ref="Q152" r:id="rId376" display="Ouvrir"/>
    <hyperlink ref="P153" r:id="rId377" display="Voir la carte"/>
    <hyperlink ref="Q153" r:id="rId378" display="Ouvrir"/>
    <hyperlink ref="P154" r:id="rId379" display="Voir la carte"/>
    <hyperlink ref="Q154" r:id="rId380" display="Ouvrir"/>
    <hyperlink ref="H155" r:id="rId381" display="https://www.chez-teta.com/"/>
    <hyperlink ref="P155" r:id="rId382" display="Voir la carte"/>
    <hyperlink ref="Q155" r:id="rId383" display="Ouvrir"/>
    <hyperlink ref="H156" r:id="rId384" display="http://www.cheztran.com"/>
    <hyperlink ref="P156" r:id="rId385" display="Voir la carte"/>
    <hyperlink ref="Q156" r:id="rId386" display="Ouvrir"/>
    <hyperlink ref="P157" r:id="rId387" display="Voir la carte"/>
    <hyperlink ref="Q157" r:id="rId388" display="Ouvrir"/>
    <hyperlink ref="P158" r:id="rId389" display="Voir la carte"/>
    <hyperlink ref="Q158" r:id="rId390" display="Ouvrir"/>
    <hyperlink ref="P159" r:id="rId391" display="Voir la carte"/>
    <hyperlink ref="Q159" r:id="rId392" display="Ouvrir"/>
    <hyperlink ref="P160" r:id="rId393" display="Voir la carte"/>
    <hyperlink ref="Q160" r:id="rId394" display="Ouvrir"/>
    <hyperlink ref="H161" r:id="rId395" display="https://www.chutguinguettetoulouse.fr/"/>
    <hyperlink ref="P161" r:id="rId396" display="Voir la carte"/>
    <hyperlink ref="Q161" r:id="rId397" display="Ouvrir"/>
    <hyperlink ref="H162" r:id="rId398" display="https://www.cheri-cheri.fr/"/>
    <hyperlink ref="P162" r:id="rId399" display="Voir la carte"/>
    <hyperlink ref="Q162" r:id="rId400" display="Ouvrir"/>
    <hyperlink ref="P163" r:id="rId401" display="Voir la carte"/>
    <hyperlink ref="Q163" r:id="rId402" display="Ouvrir"/>
    <hyperlink ref="H164" r:id="rId403" display="https://www.choviahe.fr/"/>
    <hyperlink ref="P164" r:id="rId404" display="Voir la carte"/>
    <hyperlink ref="Q164" r:id="rId405" display="Ouvrir"/>
    <hyperlink ref="H165" r:id="rId406" display="https://www.cockpittoulouse.com/"/>
    <hyperlink ref="P165" r:id="rId407" display="Voir la carte"/>
    <hyperlink ref="Q165" r:id="rId408" display="Ouvrir"/>
    <hyperlink ref="P166" r:id="rId409" display="Voir la carte"/>
    <hyperlink ref="Q166" r:id="rId410" display="Ouvrir"/>
    <hyperlink ref="P167" r:id="rId411" display="Voir la carte"/>
    <hyperlink ref="Q167" r:id="rId412" display="Ouvrir"/>
    <hyperlink ref="P168" r:id="rId413" display="Voir la carte"/>
    <hyperlink ref="Q168" r:id="rId414" display="Ouvrir"/>
    <hyperlink ref="P169" r:id="rId415" display="Voir la carte"/>
    <hyperlink ref="Q169" r:id="rId416" display="Ouvrir"/>
    <hyperlink ref="P170" r:id="rId417" display="Voir la carte"/>
    <hyperlink ref="Q170" r:id="rId418" display="Ouvrir"/>
    <hyperlink ref="P171" r:id="rId419" display="Voir la carte"/>
    <hyperlink ref="Q171" r:id="rId420" display="Ouvrir"/>
    <hyperlink ref="P172" r:id="rId421" display="Voir la carte"/>
    <hyperlink ref="Q172" r:id="rId422" display="Ouvrir"/>
    <hyperlink ref="P173" r:id="rId423" display="Voir la carte"/>
    <hyperlink ref="Q173" r:id="rId424" display="Ouvrir"/>
    <hyperlink ref="P174" r:id="rId425" display="Voir la carte"/>
    <hyperlink ref="Q174" r:id="rId426" display="Ouvrir"/>
    <hyperlink ref="P175" r:id="rId427" display="Voir la carte"/>
    <hyperlink ref="Q175" r:id="rId428" display="Ouvrir"/>
    <hyperlink ref="P176" r:id="rId429" display="Voir la carte"/>
    <hyperlink ref="Q176" r:id="rId430" display="Ouvrir"/>
    <hyperlink ref="P177" r:id="rId431" display="Voir la carte"/>
    <hyperlink ref="Q177" r:id="rId432" display="Ouvrir"/>
    <hyperlink ref="H178" r:id="rId433" display="https://www.cucinasemplice.fr/"/>
    <hyperlink ref="P178" r:id="rId434" display="Voir la carte"/>
    <hyperlink ref="Q178" r:id="rId435" display="Ouvrir"/>
    <hyperlink ref="H179" r:id="rId436" display="https://currycafetoulouse.com/"/>
    <hyperlink ref="P179" r:id="rId437" display="Voir la carte"/>
    <hyperlink ref="Q179" r:id="rId438" display="Ouvrir"/>
    <hyperlink ref="H180" r:id="rId439" display="https://cecile-toulouse.fr"/>
    <hyperlink ref="P180" r:id="rId440" display="Voir la carte"/>
    <hyperlink ref="Q180" r:id="rId441" display="Ouvrir"/>
    <hyperlink ref="P181" r:id="rId442" display="Voir la carte"/>
    <hyperlink ref="Q181" r:id="rId443" display="Ouvrir"/>
    <hyperlink ref="H182" r:id="rId444" display="https://cotegaronne-toulouse.fr/"/>
    <hyperlink ref="P182" r:id="rId445" display="Voir la carte"/>
    <hyperlink ref="Q182" r:id="rId446" display="Ouvrir"/>
    <hyperlink ref="H183" r:id="rId447" display="https://www.coeur-damande.com/"/>
    <hyperlink ref="P183" r:id="rId448" display="Voir la carte"/>
    <hyperlink ref="Q183" r:id="rId449" display="Ouvrir"/>
    <hyperlink ref="P184" r:id="rId450" display="Voir la carte"/>
    <hyperlink ref="Q184" r:id="rId451" display="Ouvrir"/>
    <hyperlink ref="H185" r:id="rId452" display="https://toulouse.danslenoir.com/"/>
    <hyperlink ref="P185" r:id="rId453" display="Voir la carte"/>
    <hyperlink ref="Q185" r:id="rId454" display="Ouvrir"/>
    <hyperlink ref="H186" r:id="rId455" display="https://www.dardiaf.fr/"/>
    <hyperlink ref="P186" r:id="rId456" display="Voir la carte"/>
    <hyperlink ref="Q186" r:id="rId457" display="Ouvrir"/>
    <hyperlink ref="H187" r:id="rId458" display="https://deedeethaisushi.metro.bar/"/>
    <hyperlink ref="P187" r:id="rId459" display="Voir la carte"/>
    <hyperlink ref="Q187" r:id="rId460" display="Ouvrir"/>
    <hyperlink ref="P188" r:id="rId461" display="Voir la carte"/>
    <hyperlink ref="Q188" r:id="rId462" display="Ouvrir"/>
    <hyperlink ref="H189" r:id="rId463" display="https://dicapo.fr/"/>
    <hyperlink ref="P189" r:id="rId464" display="Voir la carte"/>
    <hyperlink ref="Q189" r:id="rId465" display="Ouvrir"/>
    <hyperlink ref="P190" r:id="rId466" display="Voir la carte"/>
    <hyperlink ref="Q190" r:id="rId467" display="Ouvrir"/>
    <hyperlink ref="H191" r:id="rId468" display="https://www.doma-resto.fr/"/>
    <hyperlink ref="P191" r:id="rId469" display="Voir la carte"/>
    <hyperlink ref="Q191" r:id="rId470" display="Ouvrir"/>
    <hyperlink ref="H192" r:id="rId471" display="http://www.donpancho.fr/"/>
    <hyperlink ref="P192" r:id="rId472" display="Voir la carte"/>
    <hyperlink ref="Q192" r:id="rId473" display="Ouvrir"/>
    <hyperlink ref="P193" r:id="rId474" display="Voir la carte"/>
    <hyperlink ref="Q193" r:id="rId475" display="Ouvrir"/>
    <hyperlink ref="H194" r:id="rId476" display="https://www.duplaisiralatoque.fr/"/>
    <hyperlink ref="P194" r:id="rId477" display="Voir la carte"/>
    <hyperlink ref="Q194" r:id="rId478" display="Ouvrir"/>
    <hyperlink ref="H195" r:id="rId479" display="https://www.dumbo-toulouse.com/"/>
    <hyperlink ref="P195" r:id="rId480" display="Voir la carte"/>
    <hyperlink ref="Q195" r:id="rId481" display="Ouvrir"/>
    <hyperlink ref="P196" r:id="rId482" display="Voir la carte"/>
    <hyperlink ref="Q196" r:id="rId483" display="Ouvrir"/>
    <hyperlink ref="P197" r:id="rId484" display="Voir la carte"/>
    <hyperlink ref="Q197" r:id="rId485" display="Ouvrir"/>
    <hyperlink ref="H198" r:id="rId486" display="https://www.eatsalad.fr/"/>
    <hyperlink ref="P198" r:id="rId487" display="Voir la carte"/>
    <hyperlink ref="Q198" r:id="rId488" display="Ouvrir"/>
    <hyperlink ref="H199" r:id="rId489" display="https://www.eatsushi.fr/nos-restaurants/toulouse-saint-cyprien"/>
    <hyperlink ref="P199" r:id="rId490" display="Voir la carte"/>
    <hyperlink ref="Q199" r:id="rId491" display="Ouvrir"/>
    <hyperlink ref="P200" r:id="rId492" display="Voir la carte"/>
    <hyperlink ref="Q200" r:id="rId493" display="Ouvrir"/>
    <hyperlink ref="H201" r:id="rId494" display="https://echo-toulouse.fr/"/>
    <hyperlink ref="P201" r:id="rId495" display="Voir la carte"/>
    <hyperlink ref="Q201" r:id="rId496" display="Ouvrir"/>
    <hyperlink ref="P202" r:id="rId497" display="Voir la carte"/>
    <hyperlink ref="Q202" r:id="rId498" display="Ouvrir"/>
    <hyperlink ref="P203" r:id="rId499" display="Voir la carte"/>
    <hyperlink ref="Q203" r:id="rId500" display="Ouvrir"/>
    <hyperlink ref="H204" r:id="rId501" display="https://elchivito.fr/"/>
    <hyperlink ref="P204" r:id="rId502" display="Voir la carte"/>
    <hyperlink ref="Q204" r:id="rId503" display="Ouvrir"/>
    <hyperlink ref="H205" r:id="rId504" display="https://eldayaa-toulouse.fr/"/>
    <hyperlink ref="P205" r:id="rId505" display="Voir la carte"/>
    <hyperlink ref="Q205" r:id="rId506" display="Ouvrir"/>
    <hyperlink ref="P206" r:id="rId507" display="Voir la carte"/>
    <hyperlink ref="Q206" r:id="rId508" display="Ouvrir"/>
    <hyperlink ref="P207" r:id="rId509" display="Voir la carte"/>
    <hyperlink ref="Q207" r:id="rId510" display="Ouvrir"/>
    <hyperlink ref="P208" r:id="rId511" display="Voir la carte"/>
    <hyperlink ref="Q208" r:id="rId512" display="Ouvrir"/>
    <hyperlink ref="P209" r:id="rId513" display="Voir la carte"/>
    <hyperlink ref="Q209" r:id="rId514" display="Ouvrir"/>
    <hyperlink ref="H210" r:id="rId515" display="https://entrecotesetvins.orderonline.fr/"/>
    <hyperlink ref="P210" r:id="rId516" display="Voir la carte"/>
    <hyperlink ref="Q210" r:id="rId517" display="Ouvrir"/>
    <hyperlink ref="H211" r:id="rId518" display="https://epicuriapizza.fr/"/>
    <hyperlink ref="P211" r:id="rId519" display="Voir la carte"/>
    <hyperlink ref="Q211" r:id="rId520" display="Ouvrir"/>
    <hyperlink ref="H212" r:id="rId521" display="https://www.facebook.com/escaledessaveurs"/>
    <hyperlink ref="P212" r:id="rId522" display="Voir la carte"/>
    <hyperlink ref="Q212" r:id="rId523" display="Ouvrir"/>
    <hyperlink ref="H213" r:id="rId524" display="https://fairesens-restaurant.com/"/>
    <hyperlink ref="P213" r:id="rId525" display="Voir la carte"/>
    <hyperlink ref="Q213" r:id="rId526" display="Ouvrir"/>
    <hyperlink ref="P214" r:id="rId527" display="Voir la carte"/>
    <hyperlink ref="Q214" r:id="rId528" display="Ouvrir"/>
    <hyperlink ref="H215" r:id="rId529" display="http://www.fastandpizza.fr/"/>
    <hyperlink ref="P215" r:id="rId530" display="Voir la carte"/>
    <hyperlink ref="Q215" r:id="rId531" display="Ouvrir"/>
    <hyperlink ref="P216" r:id="rId532" display="Voir la carte"/>
    <hyperlink ref="Q216" r:id="rId533" display="Ouvrir"/>
    <hyperlink ref="P217" r:id="rId534" display="Voir la carte"/>
    <hyperlink ref="Q217" r:id="rId535" display="Ouvrir"/>
    <hyperlink ref="H218" r:id="rId536" display="https://flowhouse.fr/"/>
    <hyperlink ref="P218" r:id="rId537" display="Voir la carte"/>
    <hyperlink ref="Q218" r:id="rId538" display="Ouvrir"/>
    <hyperlink ref="H219" r:id="rId539" display="https://www.flunch.fr/restaurant/toulouse/flunch-toulouse-purpan/"/>
    <hyperlink ref="P219" r:id="rId540" display="Voir la carte"/>
    <hyperlink ref="Q219" r:id="rId541" display="Ouvrir"/>
    <hyperlink ref="H220" r:id="rId542" display="https://www.flunch.fr/restaurant/toulouse/flunch-toulouse-gramont/"/>
    <hyperlink ref="P220" r:id="rId543" display="Voir la carte"/>
    <hyperlink ref="Q220" r:id="rId544" display="Ouvrir"/>
    <hyperlink ref="H221" r:id="rId545" display="https://fogo-toulouse.fr/"/>
    <hyperlink ref="P221" r:id="rId546" display="Voir la carte"/>
    <hyperlink ref="Q221" r:id="rId547" display="Ouvrir"/>
    <hyperlink ref="P222" r:id="rId548" display="Voir la carte"/>
    <hyperlink ref="Q222" r:id="rId549" display="Ouvrir"/>
    <hyperlink ref="P223" r:id="rId550" display="Voir la carte"/>
    <hyperlink ref="Q223" r:id="rId551" display="Ouvrir"/>
    <hyperlink ref="H224" r:id="rId552" display="https://www.casinosbarriere.com/fr/toulouse/le-fouquets.html"/>
    <hyperlink ref="P224" r:id="rId553" display="Voir la carte"/>
    <hyperlink ref="Q224" r:id="rId554" display="Ouvrir"/>
    <hyperlink ref="H225" r:id="rId555" display="https://francesca.com/fr/restaurants/francesca-toulouse"/>
    <hyperlink ref="P225" r:id="rId556" display="Voir la carte"/>
    <hyperlink ref="Q225" r:id="rId557" display="Ouvrir"/>
    <hyperlink ref="H226" r:id="rId558" display="https://restaurantfufu.com/"/>
    <hyperlink ref="P226" r:id="rId559" display="Voir la carte"/>
    <hyperlink ref="Q226" r:id="rId560" display="Ouvrir"/>
    <hyperlink ref="P227" r:id="rId561" display="Voir la carte"/>
    <hyperlink ref="Q227" r:id="rId562" display="Ouvrir"/>
    <hyperlink ref="P228" r:id="rId563" display="Voir la carte"/>
    <hyperlink ref="Q228" r:id="rId564" display="Ouvrir"/>
    <hyperlink ref="H229" r:id="rId565" display="https://gaia-toulouse.com/"/>
    <hyperlink ref="P229" r:id="rId566" display="Voir la carte"/>
    <hyperlink ref="Q229" r:id="rId567" display="Ouvrir"/>
    <hyperlink ref="H230" r:id="rId568" display="https://www.leclandesmamma.com/restaurant/gina/"/>
    <hyperlink ref="P230" r:id="rId569" display="Voir la carte"/>
    <hyperlink ref="Q230" r:id="rId570" display="Ouvrir"/>
    <hyperlink ref="P231" r:id="rId571" display="Voir la carte"/>
    <hyperlink ref="Q231" r:id="rId572" display="Ouvrir"/>
    <hyperlink ref="P232" r:id="rId573" display="Voir la carte"/>
    <hyperlink ref="Q232" r:id="rId574" display="Ouvrir"/>
    <hyperlink ref="P233" r:id="rId575" display="Voir la carte"/>
    <hyperlink ref="Q233" r:id="rId576" display="Ouvrir"/>
    <hyperlink ref="P234" r:id="rId577" display="Voir la carte"/>
    <hyperlink ref="Q234" r:id="rId578" display="Ouvrir"/>
    <hyperlink ref="P235" r:id="rId579" display="Voir la carte"/>
    <hyperlink ref="Q235" r:id="rId580" display="Ouvrir"/>
    <hyperlink ref="H236" r:id="rId581" display="https://www.gruppomimo.com/nos-restaurants/gruppomimo-toulouse"/>
    <hyperlink ref="P236" r:id="rId582" display="Voir la carte"/>
    <hyperlink ref="Q236" r:id="rId583" display="Ouvrir"/>
    <hyperlink ref="H237" r:id="rId584" display="https://guapo-toulouse.fr/"/>
    <hyperlink ref="P237" r:id="rId585" display="Voir la carte"/>
    <hyperlink ref="Q237" r:id="rId586" display="Ouvrir"/>
    <hyperlink ref="H238" r:id="rId587" display="https://www.guayoyo-toulouse.com/"/>
    <hyperlink ref="P238" r:id="rId588" display="Voir la carte"/>
    <hyperlink ref="Q238" r:id="rId589" display="Ouvrir"/>
    <hyperlink ref="H239" r:id="rId590" display="https://www.gueuleton.fr/le-gueuleton-toulouse/"/>
    <hyperlink ref="P239" r:id="rId591" display="Voir la carte"/>
    <hyperlink ref="Q239" r:id="rId592" display="Ouvrir"/>
    <hyperlink ref="H240" r:id="rId593" display="https://guoguoji.fr/fr"/>
    <hyperlink ref="P240" r:id="rId594" display="Voir la carte"/>
    <hyperlink ref="Q240" r:id="rId595" display="Ouvrir"/>
    <hyperlink ref="H241" r:id="rId596" display="https://gustonapoli.fr/"/>
    <hyperlink ref="P241" r:id="rId597" display="Voir la carte"/>
    <hyperlink ref="Q241" r:id="rId598" display="Ouvrir"/>
    <hyperlink ref="H242" r:id="rId599" display="https://www.gusto-pizza.net/"/>
    <hyperlink ref="P242" r:id="rId600" display="Voir la carte"/>
    <hyperlink ref="Q242" r:id="rId601" display="Ouvrir"/>
    <hyperlink ref="P243" r:id="rId602" display="Voir la carte"/>
    <hyperlink ref="Q243" r:id="rId603" display="Ouvrir"/>
    <hyperlink ref="H244" r:id="rId604" display="https://haozai.fr/"/>
    <hyperlink ref="P244" r:id="rId605" display="Voir la carte"/>
    <hyperlink ref="Q244" r:id="rId606" display="Ouvrir"/>
    <hyperlink ref="H245" r:id="rId607" display="https://www.helloravioli.fr/"/>
    <hyperlink ref="P245" r:id="rId608" display="Voir la carte"/>
    <hyperlink ref="Q245" r:id="rId609" display="Ouvrir"/>
    <hyperlink ref="P246" r:id="rId610" display="Voir la carte"/>
    <hyperlink ref="Q246" r:id="rId611" display="Ouvrir"/>
    <hyperlink ref="H247" r:id="rId612" display="https://www.facebook.com/BloomyRiveGauche/;bloomyrivegauche.eatbu.com"/>
    <hyperlink ref="P247" r:id="rId613" display="Voir la carte"/>
    <hyperlink ref="Q247" r:id="rId614" display="Ouvrir"/>
    <hyperlink ref="H248" r:id="rId615" display="https://www.restaurant-hinode.fr/"/>
    <hyperlink ref="P248" r:id="rId616" display="Voir la carte"/>
    <hyperlink ref="Q248" r:id="rId617" display="Ouvrir"/>
    <hyperlink ref="H249" r:id="rId618" display="https://restaurants.hippopotamus.fr/france/occitanie/haute-garonne/toulouse/toulouse-wilson"/>
    <hyperlink ref="P249" r:id="rId619" display="Voir la carte"/>
    <hyperlink ref="Q249" r:id="rId620" display="Ouvrir"/>
    <hyperlink ref="P250" r:id="rId621" display="Voir la carte"/>
    <hyperlink ref="Q250" r:id="rId622" display="Ouvrir"/>
    <hyperlink ref="P251" r:id="rId623" display="Voir la carte"/>
    <hyperlink ref="Q251" r:id="rId624" display="Ouvrir"/>
    <hyperlink ref="P252" r:id="rId625" display="Voir la carte"/>
    <hyperlink ref="Q252" r:id="rId626" display="Ouvrir"/>
    <hyperlink ref="P253" r:id="rId627" display="Voir la carte"/>
    <hyperlink ref="Q253" r:id="rId628" display="Ouvrir"/>
    <hyperlink ref="H254" r:id="rId629" display="https://restauranthuongviet.com/"/>
    <hyperlink ref="P254" r:id="rId630" display="Voir la carte"/>
    <hyperlink ref="Q254" r:id="rId631" display="Ouvrir"/>
    <hyperlink ref="P255" r:id="rId632" display="Voir la carte"/>
    <hyperlink ref="Q255" r:id="rId633" display="Ouvrir"/>
    <hyperlink ref="P256" r:id="rId634" display="Voir la carte"/>
    <hyperlink ref="Q256" r:id="rId635" display="Ouvrir"/>
    <hyperlink ref="P257" r:id="rId636" display="Voir la carte"/>
    <hyperlink ref="Q257" r:id="rId637" display="Ouvrir"/>
    <hyperlink ref="H258" r:id="rId638" display="http://www.italianspizza.fr/"/>
    <hyperlink ref="P258" r:id="rId639" display="Voir la carte"/>
    <hyperlink ref="Q258" r:id="rId640" display="Ouvrir"/>
    <hyperlink ref="H259" r:id="rId641" display="https://www.iori.fr/"/>
    <hyperlink ref="P259" r:id="rId642" display="Voir la carte"/>
    <hyperlink ref="Q259" r:id="rId643" display="Ouvrir"/>
    <hyperlink ref="P260" r:id="rId644" display="Voir la carte"/>
    <hyperlink ref="Q260" r:id="rId645" display="Ouvrir"/>
    <hyperlink ref="P261" r:id="rId646" display="Voir la carte"/>
    <hyperlink ref="Q261" r:id="rId647" display="Ouvrir"/>
    <hyperlink ref="H262" r:id="rId648" display="https://lejgo.com/toulouse"/>
    <hyperlink ref="P262" r:id="rId649" display="Voir la carte"/>
    <hyperlink ref="Q262" r:id="rId650" display="Ouvrir"/>
    <hyperlink ref="P263" r:id="rId651" display="Voir la carte"/>
    <hyperlink ref="Q263" r:id="rId652" display="Ouvrir"/>
    <hyperlink ref="H264" r:id="rId653" display="https://www.facebook.com/jem.goodfood/"/>
    <hyperlink ref="P264" r:id="rId654" display="Voir la carte"/>
    <hyperlink ref="Q264" r:id="rId655" display="Ouvrir"/>
    <hyperlink ref="H265" r:id="rId656" display="https://jiaoziguan.fr"/>
    <hyperlink ref="P265" r:id="rId657" display="Voir la carte"/>
    <hyperlink ref="Q265" r:id="rId658" display="Ouvrir"/>
    <hyperlink ref="H266" r:id="rId659" display="https://jiaoziguan.fr"/>
    <hyperlink ref="P266" r:id="rId660" display="Voir la carte"/>
    <hyperlink ref="Q266" r:id="rId661" display="Ouvrir"/>
    <hyperlink ref="H267" r:id="rId662" display="https://www.jifu-restaurant.fr/"/>
    <hyperlink ref="P267" r:id="rId663" display="Voir la carte"/>
    <hyperlink ref="Q267" r:id="rId664" display="Ouvrir"/>
    <hyperlink ref="H268" r:id="rId665" display="http://jipoonthai.com/"/>
    <hyperlink ref="P268" r:id="rId666" display="Voir la carte"/>
    <hyperlink ref="Q268" r:id="rId667" display="Ouvrir"/>
    <hyperlink ref="H269" r:id="rId668" display="https://www.facebook.com/joshoreroadtoulouse/"/>
    <hyperlink ref="P269" r:id="rId669" display="Voir la carte"/>
    <hyperlink ref="Q269" r:id="rId670" display="Ouvrir"/>
    <hyperlink ref="P270" r:id="rId671" display="Voir la carte"/>
    <hyperlink ref="Q270" r:id="rId672" display="Ouvrir"/>
    <hyperlink ref="H271" r:id="rId673" display="https://www.juguem.fr/"/>
    <hyperlink ref="P271" r:id="rId674" display="Voir la carte"/>
    <hyperlink ref="Q271" r:id="rId675" display="Ouvrir"/>
    <hyperlink ref="P272" r:id="rId676" display="Voir la carte"/>
    <hyperlink ref="Q272" r:id="rId677" display="Ouvrir"/>
    <hyperlink ref="P273" r:id="rId678" display="Voir la carte"/>
    <hyperlink ref="Q273" r:id="rId679" display="Ouvrir"/>
    <hyperlink ref="P274" r:id="rId680" display="Voir la carte"/>
    <hyperlink ref="Q274" r:id="rId681" display="Ouvrir"/>
    <hyperlink ref="H275" r:id="rId682" display="http://www.restaurant-kashmir.fr/"/>
    <hyperlink ref="P275" r:id="rId683" display="Voir la carte"/>
    <hyperlink ref="Q275" r:id="rId684" display="Ouvrir"/>
    <hyperlink ref="P276" r:id="rId685" display="Voir la carte"/>
    <hyperlink ref="Q276" r:id="rId686" display="Ouvrir"/>
    <hyperlink ref="H277" r:id="rId687" display="https://kawok-toulouse.fr/"/>
    <hyperlink ref="P277" r:id="rId688" display="Voir la carte"/>
    <hyperlink ref="Q277" r:id="rId689" display="Ouvrir"/>
    <hyperlink ref="P278" r:id="rId690" display="Voir la carte"/>
    <hyperlink ref="Q278" r:id="rId691" display="Ouvrir"/>
    <hyperlink ref="H279" r:id="rId692" display="https://www.kingfat.fr/"/>
    <hyperlink ref="P279" r:id="rId693" display="Voir la carte"/>
    <hyperlink ref="Q279" r:id="rId694" display="Ouvrir"/>
    <hyperlink ref="P280" r:id="rId695" display="Voir la carte"/>
    <hyperlink ref="Q280" r:id="rId696" display="Ouvrir"/>
    <hyperlink ref="H281" r:id="rId697" display="https://www.koboon-resto.fr/"/>
    <hyperlink ref="P281" r:id="rId698" display="Voir la carte"/>
    <hyperlink ref="Q281" r:id="rId699" display="Ouvrir"/>
    <hyperlink ref="P282" r:id="rId700" display="Voir la carte"/>
    <hyperlink ref="Q282" r:id="rId701" display="Ouvrir"/>
    <hyperlink ref="P283" r:id="rId702" display="Voir la carte"/>
    <hyperlink ref="Q283" r:id="rId703" display="Ouvrir"/>
    <hyperlink ref="P284" r:id="rId704" display="Voir la carte"/>
    <hyperlink ref="Q284" r:id="rId705" display="Ouvrir"/>
    <hyperlink ref="H285" r:id="rId706" display="https://airdefamilletoulouse.fr/"/>
    <hyperlink ref="P285" r:id="rId707" display="Voir la carte"/>
    <hyperlink ref="Q285" r:id="rId708" display="Ouvrir"/>
    <hyperlink ref="H286" r:id="rId709" display="https://lalouette.metro.rest/"/>
    <hyperlink ref="P286" r:id="rId710" display="Voir la carte"/>
    <hyperlink ref="Q286" r:id="rId711" display="Ouvrir"/>
    <hyperlink ref="H287" r:id="rId712" display="http://lamourapizza.fr/"/>
    <hyperlink ref="P287" r:id="rId713" display="Voir la carte"/>
    <hyperlink ref="Q287" r:id="rId714" display="Ouvrir"/>
    <hyperlink ref="P288" r:id="rId715" display="Voir la carte"/>
    <hyperlink ref="Q288" r:id="rId716" display="Ouvrir"/>
    <hyperlink ref="H289" r:id="rId717" display="https://www.labraisiere.fr/annexe/"/>
    <hyperlink ref="P289" r:id="rId718" display="Voir la carte"/>
    <hyperlink ref="Q289" r:id="rId719" display="Ouvrir"/>
    <hyperlink ref="H290" r:id="rId720" display="https://lanticapizzeria.fr/"/>
    <hyperlink ref="P290" r:id="rId721" display="Voir la carte"/>
    <hyperlink ref="Q290" r:id="rId722" display="Ouvrir"/>
    <hyperlink ref="H291" r:id="rId723" display="https://lanticapizzeria.fr/"/>
    <hyperlink ref="P291" r:id="rId724" display="Voir la carte"/>
    <hyperlink ref="Q291" r:id="rId725" display="Ouvrir"/>
    <hyperlink ref="P292" r:id="rId726" display="Voir la carte"/>
    <hyperlink ref="Q292" r:id="rId727" display="Ouvrir"/>
    <hyperlink ref="H293" r:id="rId728" display="https://larbreasushi.eatbu.com/"/>
    <hyperlink ref="P293" r:id="rId729" display="Voir la carte"/>
    <hyperlink ref="Q293" r:id="rId730" display="Ouvrir"/>
    <hyperlink ref="P294" r:id="rId731" display="Voir la carte"/>
    <hyperlink ref="Q294" r:id="rId732" display="Ouvrir"/>
    <hyperlink ref="H295" r:id="rId733" display="https://www.crous-toulouse.fr/restaurant/resto-u-arum/"/>
    <hyperlink ref="P295" r:id="rId734" display="Voir la carte"/>
    <hyperlink ref="Q295" r:id="rId735" display="Ouvrir"/>
    <hyperlink ref="H296" r:id="rId736" display="http://www.latelierdelecharpe.fr/"/>
    <hyperlink ref="P296" r:id="rId737" display="Voir la carte"/>
    <hyperlink ref="Q296" r:id="rId738" display="Ouvrir"/>
    <hyperlink ref="H297" r:id="rId739" display="https://www.atelierdeschefs.fr"/>
    <hyperlink ref="P297" r:id="rId740" display="Voir la carte"/>
    <hyperlink ref="Q297" r:id="rId741" display="Ouvrir"/>
    <hyperlink ref="H298" r:id="rId742" display="http://latelierdesplats.wixsite.com/restaurant"/>
    <hyperlink ref="P298" r:id="rId743" display="Voir la carte"/>
    <hyperlink ref="Q298" r:id="rId744" display="Ouvrir"/>
    <hyperlink ref="P299" r:id="rId745" display="Voir la carte"/>
    <hyperlink ref="Q299" r:id="rId746" display="Ouvrir"/>
    <hyperlink ref="H300" r:id="rId747" display="https://restaurantatrium.fr/"/>
    <hyperlink ref="P300" r:id="rId748" display="Voir la carte"/>
    <hyperlink ref="Q300" r:id="rId749" display="Ouvrir"/>
    <hyperlink ref="P301" r:id="rId750" display="Voir la carte"/>
    <hyperlink ref="Q301" r:id="rId751" display="Ouvrir"/>
    <hyperlink ref="H302" r:id="rId752" display="https://www.restaurant-laubrac.fr/"/>
    <hyperlink ref="P302" r:id="rId753" display="Voir la carte"/>
    <hyperlink ref="Q302" r:id="rId754" display="Ouvrir"/>
    <hyperlink ref="H303" r:id="rId755" display="https://www.emulation-nautique.com/"/>
    <hyperlink ref="P303" r:id="rId756" display="Voir la carte"/>
    <hyperlink ref="Q303" r:id="rId757" display="Ouvrir"/>
    <hyperlink ref="H304" r:id="rId758" display="https://www.entrecote.fr/"/>
    <hyperlink ref="P304" r:id="rId759" display="Voir la carte"/>
    <hyperlink ref="Q304" r:id="rId760" display="Ouvrir"/>
    <hyperlink ref="P305" r:id="rId761" display="Voir la carte"/>
    <hyperlink ref="Q305" r:id="rId762" display="Ouvrir"/>
    <hyperlink ref="P306" r:id="rId763" display="Voir la carte"/>
    <hyperlink ref="Q306" r:id="rId764" display="Ouvrir"/>
    <hyperlink ref="H307" r:id="rId765" display="https://limperiale-restaurant.fr/"/>
    <hyperlink ref="P307" r:id="rId766" display="Voir la carte"/>
    <hyperlink ref="Q307" r:id="rId767" display="Ouvrir"/>
    <hyperlink ref="P308" r:id="rId768" display="Voir la carte"/>
    <hyperlink ref="Q308" r:id="rId769" display="Ouvrir"/>
    <hyperlink ref="P309" r:id="rId770" display="Voir la carte"/>
    <hyperlink ref="Q309" r:id="rId771" display="Ouvrir"/>
    <hyperlink ref="P310" r:id="rId772" display="Voir la carte"/>
    <hyperlink ref="Q310" r:id="rId773" display="Ouvrir"/>
    <hyperlink ref="H311" r:id="rId774" display="https://www.losamoelletoulouse.com"/>
    <hyperlink ref="P311" r:id="rId775" display="Voir la carte"/>
    <hyperlink ref="Q311" r:id="rId776" display="Ouvrir"/>
    <hyperlink ref="H312" r:id="rId777" display="https://leclusetls.wixsite.com/lecluse-toulouse"/>
    <hyperlink ref="P312" r:id="rId778" display="Voir la carte"/>
    <hyperlink ref="Q312" r:id="rId779" display="Ouvrir"/>
    <hyperlink ref="H313" r:id="rId780" display="https://www.lecorce.com/"/>
    <hyperlink ref="P313" r:id="rId781" display="Voir la carte"/>
    <hyperlink ref="Q313" r:id="rId782" display="Ouvrir"/>
    <hyperlink ref="P314" r:id="rId783" display="Voir la carte"/>
    <hyperlink ref="Q314" r:id="rId784" display="Ouvrir"/>
    <hyperlink ref="H315" r:id="rId785" display="https://lemulsion.fr/"/>
    <hyperlink ref="P315" r:id="rId786" display="Voir la carte"/>
    <hyperlink ref="Q315" r:id="rId787" display="Ouvrir"/>
    <hyperlink ref="P316" r:id="rId788" display="Voir la carte"/>
    <hyperlink ref="Q316" r:id="rId789" display="Ouvrir"/>
    <hyperlink ref="P317" r:id="rId790" display="Voir la carte"/>
    <hyperlink ref="Q317" r:id="rId791" display="Ouvrir"/>
    <hyperlink ref="P318" r:id="rId792" display="Voir la carte"/>
    <hyperlink ref="Q318" r:id="rId793" display="Ouvrir"/>
    <hyperlink ref="P319" r:id="rId794" display="Voir la carte"/>
    <hyperlink ref="Q319" r:id="rId795" display="Ouvrir"/>
    <hyperlink ref="P320" r:id="rId796" display="Voir la carte"/>
    <hyperlink ref="Q320" r:id="rId797" display="Ouvrir"/>
    <hyperlink ref="H321" r:id="rId798" display="https://www.labonita.fr/"/>
    <hyperlink ref="P321" r:id="rId799" display="Voir la carte"/>
    <hyperlink ref="Q321" r:id="rId800" display="Ouvrir"/>
    <hyperlink ref="P322" r:id="rId801" display="Voir la carte"/>
    <hyperlink ref="Q322" r:id="rId802" display="Ouvrir"/>
    <hyperlink ref="H323" r:id="rId803" display="https://www.labraisiere.fr/"/>
    <hyperlink ref="P323" r:id="rId804" display="Voir la carte"/>
    <hyperlink ref="Q323" r:id="rId805" display="Ouvrir"/>
    <hyperlink ref="P324" r:id="rId806" display="Voir la carte"/>
    <hyperlink ref="Q324" r:id="rId807" display="Ouvrir"/>
    <hyperlink ref="P325" r:id="rId808" display="Voir la carte"/>
    <hyperlink ref="Q325" r:id="rId809" display="Ouvrir"/>
    <hyperlink ref="H326" r:id="rId810" display="http://toulousefruitsdemer.fr/"/>
    <hyperlink ref="P326" r:id="rId811" display="Voir la carte"/>
    <hyperlink ref="Q326" r:id="rId812" display="Ouvrir"/>
    <hyperlink ref="P327" r:id="rId813" display="Voir la carte"/>
    <hyperlink ref="Q327" r:id="rId814" display="Ouvrir"/>
    <hyperlink ref="P328" r:id="rId815" display="Voir la carte"/>
    <hyperlink ref="Q328" r:id="rId816" display="Ouvrir"/>
    <hyperlink ref="P329" r:id="rId817" display="Voir la carte"/>
    <hyperlink ref="Q329" r:id="rId818" display="Ouvrir"/>
    <hyperlink ref="H330" r:id="rId819" display="https://www.lacave-serebiffe.fr/"/>
    <hyperlink ref="P330" r:id="rId820" display="Voir la carte"/>
    <hyperlink ref="Q330" r:id="rId821" display="Ouvrir"/>
    <hyperlink ref="H331" r:id="rId822" display="https://www.lacendree.com/"/>
    <hyperlink ref="P331" r:id="rId823" display="Voir la carte"/>
    <hyperlink ref="Q331" r:id="rId824" display="Ouvrir"/>
    <hyperlink ref="P332" r:id="rId825" display="Voir la carte"/>
    <hyperlink ref="Q332" r:id="rId826" display="Ouvrir"/>
    <hyperlink ref="H333" r:id="rId827" display="https://www.la-compagnie-francaise.fr/"/>
    <hyperlink ref="P333" r:id="rId828" display="Voir la carte"/>
    <hyperlink ref="Q333" r:id="rId829" display="Ouvrir"/>
    <hyperlink ref="P334" r:id="rId830" display="Voir la carte"/>
    <hyperlink ref="Q334" r:id="rId831" display="Ouvrir"/>
    <hyperlink ref="H335" r:id="rId832" display="https://restaurantlaconserverie.com/"/>
    <hyperlink ref="P335" r:id="rId833" display="Voir la carte"/>
    <hyperlink ref="Q335" r:id="rId834" display="Ouvrir"/>
    <hyperlink ref="P336" r:id="rId835" display="Voir la carte"/>
    <hyperlink ref="Q336" r:id="rId836" display="Ouvrir"/>
    <hyperlink ref="H337" r:id="rId837" display="https://www.la-criee-des-gourmands.fr/"/>
    <hyperlink ref="P337" r:id="rId838" display="Voir la carte"/>
    <hyperlink ref="Q337" r:id="rId839" display="Ouvrir"/>
    <hyperlink ref="H338" r:id="rId840" display="http://lacuisinedejean.fr/"/>
    <hyperlink ref="P338" r:id="rId841" display="Voir la carte"/>
    <hyperlink ref="Q338" r:id="rId842" display="Ouvrir"/>
    <hyperlink ref="P339" r:id="rId843" display="Voir la carte"/>
    <hyperlink ref="Q339" r:id="rId844" display="Ouvrir"/>
    <hyperlink ref="P340" r:id="rId845" display="Voir la carte"/>
    <hyperlink ref="Q340" r:id="rId846" display="Ouvrir"/>
    <hyperlink ref="H341" r:id="rId847" display="https://www.lacuisineameme.fr/"/>
    <hyperlink ref="P341" r:id="rId848" display="Voir la carte"/>
    <hyperlink ref="Q341" r:id="rId849" display="Ouvrir"/>
    <hyperlink ref="P342" r:id="rId850" display="Voir la carte"/>
    <hyperlink ref="Q342" r:id="rId851" display="Ouvrir"/>
    <hyperlink ref="H343" r:id="rId852" display="https://lacotedeboeuftoulouse.fr/"/>
    <hyperlink ref="P343" r:id="rId853" display="Voir la carte"/>
    <hyperlink ref="Q343" r:id="rId854" display="Ouvrir"/>
    <hyperlink ref="H344" r:id="rId855" display="https://lafabrictoulousecptle.wordpress.com"/>
    <hyperlink ref="P344" r:id="rId856" display="Voir la carte"/>
    <hyperlink ref="Q344" r:id="rId857" display="Ouvrir"/>
    <hyperlink ref="H345" r:id="rId858" display="https://fabriqduburger.com/"/>
    <hyperlink ref="P345" r:id="rId859" display="Voir la carte"/>
    <hyperlink ref="Q345" r:id="rId860" display="Ouvrir"/>
    <hyperlink ref="H346" r:id="rId861" display="http://www.lafaimdesharicots.fr/"/>
    <hyperlink ref="P346" r:id="rId862" display="Voir la carte"/>
    <hyperlink ref="Q346" r:id="rId863" display="Ouvrir"/>
    <hyperlink ref="P347" r:id="rId864" display="Voir la carte"/>
    <hyperlink ref="Q347" r:id="rId865" display="Ouvrir"/>
    <hyperlink ref="P348" r:id="rId866" display="Voir la carte"/>
    <hyperlink ref="Q348" r:id="rId867" display="Ouvrir"/>
    <hyperlink ref="H349" r:id="rId868" display="https://www.galinette-rotisserie.fr"/>
    <hyperlink ref="P349" r:id="rId869" display="Voir la carte"/>
    <hyperlink ref="Q349" r:id="rId870" display="Ouvrir"/>
    <hyperlink ref="P350" r:id="rId871" display="Voir la carte"/>
    <hyperlink ref="Q350" r:id="rId872" display="Ouvrir"/>
    <hyperlink ref="H351" r:id="rId873" display="http://www.la-gaite.com/"/>
    <hyperlink ref="P351" r:id="rId874" display="Voir la carte"/>
    <hyperlink ref="Q351" r:id="rId875" display="Ouvrir"/>
    <hyperlink ref="H352" r:id="rId876" display="https://lagina-ristorante.fr/"/>
    <hyperlink ref="P352" r:id="rId877" display="Voir la carte"/>
    <hyperlink ref="Q352" r:id="rId878" display="Ouvrir"/>
    <hyperlink ref="H353" r:id="rId879" display="https://www.la-gouaille-restaurant-toulouse.fr/"/>
    <hyperlink ref="P353" r:id="rId880" display="Voir la carte"/>
    <hyperlink ref="Q353" r:id="rId881" display="Ouvrir"/>
    <hyperlink ref="H354" r:id="rId882" display="https://lagourmandinecotecathedrale.fr/"/>
    <hyperlink ref="P354" r:id="rId883" display="Voir la carte"/>
    <hyperlink ref="Q354" r:id="rId884" display="Ouvrir"/>
    <hyperlink ref="H355" r:id="rId885" display="https://www.la-gourmandine.fr/"/>
    <hyperlink ref="P355" r:id="rId886" display="Voir la carte"/>
    <hyperlink ref="Q355" r:id="rId887" display="Ouvrir"/>
    <hyperlink ref="H356" r:id="rId888" display="https://www.facebook.com/La-Grange-31200-715638678509900/"/>
    <hyperlink ref="P356" r:id="rId889" display="Voir la carte"/>
    <hyperlink ref="Q356" r:id="rId890" display="Ouvrir"/>
    <hyperlink ref="P357" r:id="rId891" display="Voir la carte"/>
    <hyperlink ref="Q357" r:id="rId892" display="Ouvrir"/>
    <hyperlink ref="H358" r:id="rId893" display="https://www.lakasbah.fr"/>
    <hyperlink ref="P358" r:id="rId894" display="Voir la carte"/>
    <hyperlink ref="Q358" r:id="rId895" display="Ouvrir"/>
    <hyperlink ref="P359" r:id="rId896" display="Voir la carte"/>
    <hyperlink ref="Q359" r:id="rId897" display="Ouvrir"/>
    <hyperlink ref="P360" r:id="rId898" display="Voir la carte"/>
    <hyperlink ref="Q360" r:id="rId899" display="Ouvrir"/>
    <hyperlink ref="H361" r:id="rId900" display="https://www.facebook.com/Maison-d%C3%A0-c%C3%B4t%C3%A9-Toulouse-2346101538944605/"/>
    <hyperlink ref="P361" r:id="rId901" display="Voir la carte"/>
    <hyperlink ref="Q361" r:id="rId902" display="Ouvrir"/>
    <hyperlink ref="P362" r:id="rId903" display="Voir la carte"/>
    <hyperlink ref="Q362" r:id="rId904" display="Ouvrir"/>
    <hyperlink ref="H363" r:id="rId905" display="http://www.mare-aux-canards.com/"/>
    <hyperlink ref="P363" r:id="rId906" display="Voir la carte"/>
    <hyperlink ref="Q363" r:id="rId907" display="Ouvrir"/>
    <hyperlink ref="P364" r:id="rId908" display="Voir la carte"/>
    <hyperlink ref="Q364" r:id="rId909" display="Ouvrir"/>
    <hyperlink ref="P365" r:id="rId910" display="Voir la carte"/>
    <hyperlink ref="Q365" r:id="rId911" display="Ouvrir"/>
    <hyperlink ref="H366" r:id="rId912" display="https://lamesadelola.com/"/>
    <hyperlink ref="P366" r:id="rId913" display="Voir la carte"/>
    <hyperlink ref="Q366" r:id="rId914" display="Ouvrir"/>
    <hyperlink ref="P367" r:id="rId915" display="Voir la carte"/>
    <hyperlink ref="Q367" r:id="rId916" display="Ouvrir"/>
    <hyperlink ref="H368" r:id="rId917" display="https://www.restaurant-lamignardise.fr/"/>
    <hyperlink ref="P368" r:id="rId918" display="Voir la carte"/>
    <hyperlink ref="Q368" r:id="rId919" display="Ouvrir"/>
    <hyperlink ref="H369" r:id="rId920" display="http://www.lamilonga-toulouse.fr/"/>
    <hyperlink ref="P369" r:id="rId921" display="Voir la carte"/>
    <hyperlink ref="Q369" r:id="rId922" display="Ouvrir"/>
    <hyperlink ref="H370" r:id="rId923" display="https://lesmonediers.fr/"/>
    <hyperlink ref="P370" r:id="rId924" display="Voir la carte"/>
    <hyperlink ref="Q370" r:id="rId925" display="Ouvrir"/>
    <hyperlink ref="P371" r:id="rId926" display="Voir la carte"/>
    <hyperlink ref="Q371" r:id="rId927" display="Ouvrir"/>
    <hyperlink ref="H372" r:id="rId928" display="https://lanoria-toulouse.fr/"/>
    <hyperlink ref="P372" r:id="rId929" display="Voir la carte"/>
    <hyperlink ref="Q372" r:id="rId930" display="Ouvrir"/>
    <hyperlink ref="P373" r:id="rId931" display="Voir la carte"/>
    <hyperlink ref="Q373" r:id="rId932" display="Ouvrir"/>
    <hyperlink ref="H374" r:id="rId933" display="https://www.hotel-restaurant-la-palmeraie.fr/"/>
    <hyperlink ref="P374" r:id="rId934" display="Voir la carte"/>
    <hyperlink ref="Q374" r:id="rId935" display="Ouvrir"/>
    <hyperlink ref="H375" r:id="rId936" display="https://www.lapaniolade.fr/"/>
    <hyperlink ref="P375" r:id="rId937" display="Voir la carte"/>
    <hyperlink ref="Q375" r:id="rId938" display="Ouvrir"/>
    <hyperlink ref="H376" r:id="rId939" display="https://lapastasciutta.fr/"/>
    <hyperlink ref="P376" r:id="rId940" display="Voir la carte"/>
    <hyperlink ref="Q376" r:id="rId941" display="Ouvrir"/>
    <hyperlink ref="H377" r:id="rId942" display="https://commande-en-ligne.laddition.com/commande-en-ligne/lapecoranera-click-and-collect"/>
    <hyperlink ref="P377" r:id="rId943" display="Voir la carte"/>
    <hyperlink ref="Q377" r:id="rId944" display="Ouvrir"/>
    <hyperlink ref="H378" r:id="rId945" display="http://lacompagniedespergos.fr/"/>
    <hyperlink ref="P378" r:id="rId946" display="Voir la carte"/>
    <hyperlink ref="Q378" r:id="rId947" display="Ouvrir"/>
    <hyperlink ref="P379" r:id="rId948" display="Voir la carte"/>
    <hyperlink ref="Q379" r:id="rId949" display="Ouvrir"/>
    <hyperlink ref="H380" r:id="rId950" display="https://la-perse-restaurant-toulouse.fr/"/>
    <hyperlink ref="P380" r:id="rId951" display="Voir la carte"/>
    <hyperlink ref="Q380" r:id="rId952" display="Ouvrir"/>
    <hyperlink ref="P381" r:id="rId953" display="Voir la carte"/>
    <hyperlink ref="Q381" r:id="rId954" display="Ouvrir"/>
    <hyperlink ref="H382" r:id="rId955" display="https://petiteitalie.fr"/>
    <hyperlink ref="P382" r:id="rId956" display="Voir la carte"/>
    <hyperlink ref="Q382" r:id="rId957" display="Ouvrir"/>
    <hyperlink ref="H383" r:id="rId958" display="https://la-petite-robe-noire.fr"/>
    <hyperlink ref="P383" r:id="rId959" display="Voir la carte"/>
    <hyperlink ref="Q383" r:id="rId960" display="Ouvrir"/>
    <hyperlink ref="H384" r:id="rId961" display="https://www.lapizzeria31.fr/"/>
    <hyperlink ref="P384" r:id="rId962" display="Voir la carte"/>
    <hyperlink ref="Q384" r:id="rId963" display="Ouvrir"/>
    <hyperlink ref="P385" r:id="rId964" display="Voir la carte"/>
    <hyperlink ref="Q385" r:id="rId965" display="Ouvrir"/>
    <hyperlink ref="H386" r:id="rId966" display="https://www.larajasthani.fr/"/>
    <hyperlink ref="P386" r:id="rId967" display="Voir la carte"/>
    <hyperlink ref="Q386" r:id="rId968" display="Ouvrir"/>
    <hyperlink ref="H387" r:id="rId969" display="https://www.fratellirizzo.fr"/>
    <hyperlink ref="P387" r:id="rId970" display="Voir la carte"/>
    <hyperlink ref="Q387" r:id="rId971" display="Ouvrir"/>
    <hyperlink ref="P388" r:id="rId972" display="Voir la carte"/>
    <hyperlink ref="Q388" r:id="rId973" display="Ouvrir"/>
    <hyperlink ref="H389" r:id="rId974" display="https://victor-hugo.rosa-negra.fr/la-rosa-cote-victor-hugo"/>
    <hyperlink ref="P389" r:id="rId975" display="Voir la carte"/>
    <hyperlink ref="Q389" r:id="rId976" display="Ouvrir"/>
    <hyperlink ref="H390" r:id="rId977" display="https://cote-barcelone.rosa-negra.fr/la-rosa-cote-barcelone"/>
    <hyperlink ref="P390" r:id="rId978" display="Voir la carte"/>
    <hyperlink ref="Q390" r:id="rId979" display="Ouvrir"/>
    <hyperlink ref="P391" r:id="rId980" display="Voir la carte"/>
    <hyperlink ref="Q391" r:id="rId981" display="Ouvrir"/>
    <hyperlink ref="H392" r:id="rId982" display="https://cote-cancha.rosa-negra.fr/la-rosa-cote-cancha"/>
    <hyperlink ref="P392" r:id="rId983" display="Voir la carte"/>
    <hyperlink ref="Q392" r:id="rId984" display="Ouvrir"/>
    <hyperlink ref="H393" r:id="rId985" display="https://www.lareservetoulouse.fr/"/>
    <hyperlink ref="P393" r:id="rId986" display="Voir la carte"/>
    <hyperlink ref="Q393" r:id="rId987" display="Ouvrir"/>
    <hyperlink ref="P394" r:id="rId988" display="Voir la carte"/>
    <hyperlink ref="Q394" r:id="rId989" display="Ouvrir"/>
    <hyperlink ref="H395" r:id="rId990" display="https://www.la-santine.com/"/>
    <hyperlink ref="P395" r:id="rId991" display="Voir la carte"/>
    <hyperlink ref="Q395" r:id="rId992" display="Ouvrir"/>
    <hyperlink ref="H396" r:id="rId993" display="https://sauterelletoulouse.wordpress.com"/>
    <hyperlink ref="P396" r:id="rId994" display="Voir la carte"/>
    <hyperlink ref="Q396" r:id="rId995" display="Ouvrir"/>
    <hyperlink ref="P397" r:id="rId996" display="Voir la carte"/>
    <hyperlink ref="Q397" r:id="rId997" display="Ouvrir"/>
    <hyperlink ref="H398" r:id="rId998" display="http://lasoupeaucaillou.fr/"/>
    <hyperlink ref="P398" r:id="rId999" display="Voir la carte"/>
    <hyperlink ref="Q398" r:id="rId1000" display="Ouvrir"/>
    <hyperlink ref="P399" r:id="rId1001" display="Voir la carte"/>
    <hyperlink ref="Q399" r:id="rId1002" display="Ouvrir"/>
    <hyperlink ref="H400" r:id="rId1003" display="https://www.hotel-ariane-toulouse.fr/fr/page/la-table-d-ariane"/>
    <hyperlink ref="P400" r:id="rId1004" display="Voir la carte"/>
    <hyperlink ref="Q400" r:id="rId1005" display="Ouvrir"/>
    <hyperlink ref="H401" r:id="rId1006" display="https://www.latabledemiletoulouse.fr/"/>
    <hyperlink ref="P401" r:id="rId1007" display="Voir la carte"/>
    <hyperlink ref="Q401" r:id="rId1008" display="Ouvrir"/>
    <hyperlink ref="H402" r:id="rId1009" display="https://tantinadelaplaya.com/restaurant-poisson-toulouse/"/>
    <hyperlink ref="P402" r:id="rId1010" display="Voir la carte"/>
    <hyperlink ref="Q402" r:id="rId1011" display="Ouvrir"/>
    <hyperlink ref="H403" r:id="rId1012" display="https://lataqueriatoulouse.fr"/>
    <hyperlink ref="P403" r:id="rId1013" display="Voir la carte"/>
    <hyperlink ref="Q403" r:id="rId1014" display="Ouvrir"/>
    <hyperlink ref="H404" r:id="rId1015" display="https://lataqueriatoulouse.fr/"/>
    <hyperlink ref="P404" r:id="rId1016" display="Voir la carte"/>
    <hyperlink ref="Q404" r:id="rId1017" display="Ouvrir"/>
    <hyperlink ref="P405" r:id="rId1018" display="Voir la carte"/>
    <hyperlink ref="Q405" r:id="rId1019" display="Ouvrir"/>
    <hyperlink ref="P406" r:id="rId1020" display="Voir la carte"/>
    <hyperlink ref="Q406" r:id="rId1021" display="Ouvrir"/>
    <hyperlink ref="H407" r:id="rId1022" display="https://www.laverriere-toulouse.fr"/>
    <hyperlink ref="P407" r:id="rId1023" display="Voir la carte"/>
    <hyperlink ref="Q407" r:id="rId1024" display="Ouvrir"/>
    <hyperlink ref="P408" r:id="rId1025" display="Voir la carte"/>
    <hyperlink ref="Q408" r:id="rId1026" display="Ouvrir"/>
    <hyperlink ref="P409" r:id="rId1027" display="Voir la carte"/>
    <hyperlink ref="Q409" r:id="rId1028" display="Ouvrir"/>
    <hyperlink ref="H410" r:id="rId1029" display="https://www.villadesoliviers.fr"/>
    <hyperlink ref="P410" r:id="rId1030" display="Voir la carte"/>
    <hyperlink ref="Q410" r:id="rId1031" display="Ouvrir"/>
    <hyperlink ref="H411" r:id="rId1032" display="https://lady-sushi.fr/"/>
    <hyperlink ref="P411" r:id="rId1033" display="Voir la carte"/>
    <hyperlink ref="Q411" r:id="rId1034" display="Ouvrir"/>
    <hyperlink ref="P412" r:id="rId1035" display="Voir la carte"/>
    <hyperlink ref="Q412" r:id="rId1036" display="Ouvrir"/>
    <hyperlink ref="P413" r:id="rId1037" display="Voir la carte"/>
    <hyperlink ref="Q413" r:id="rId1038" display="Ouvrir"/>
    <hyperlink ref="H414" r:id="rId1039" display="https://www.complexe101.fr/"/>
    <hyperlink ref="P414" r:id="rId1040" display="Voir la carte"/>
    <hyperlink ref="Q414" r:id="rId1041" display="Ouvrir"/>
    <hyperlink ref="P415" r:id="rId1042" display="Voir la carte"/>
    <hyperlink ref="Q415" r:id="rId1043" display="Ouvrir"/>
    <hyperlink ref="P416" r:id="rId1044" display="Voir la carte"/>
    <hyperlink ref="Q416" r:id="rId1045" display="Ouvrir"/>
    <hyperlink ref="P417" r:id="rId1046" display="Voir la carte"/>
    <hyperlink ref="Q417" r:id="rId1047" display="Ouvrir"/>
    <hyperlink ref="H418" r:id="rId1048" display="https://www.lebaratie.com"/>
    <hyperlink ref="P418" r:id="rId1049" display="Voir la carte"/>
    <hyperlink ref="Q418" r:id="rId1050" display="Ouvrir"/>
    <hyperlink ref="P419" r:id="rId1051" display="Voir la carte"/>
    <hyperlink ref="Q419" r:id="rId1052" display="Ouvrir"/>
    <hyperlink ref="H420" r:id="rId1053" display="https://brasserie-lebidule.com/"/>
    <hyperlink ref="P420" r:id="rId1054" display="Voir la carte"/>
    <hyperlink ref="Q420" r:id="rId1055" display="Ouvrir"/>
    <hyperlink ref="H421" r:id="rId1056" display="https://lebiergarten-saintmichel.fr/"/>
    <hyperlink ref="P421" r:id="rId1057" display="Voir la carte"/>
    <hyperlink ref="Q421" r:id="rId1058" display="Ouvrir"/>
    <hyperlink ref="H422" r:id="rId1059" display="https://lemetronum.fr/bistronum/"/>
    <hyperlink ref="P422" r:id="rId1060" display="Voir la carte"/>
    <hyperlink ref="Q422" r:id="rId1061" display="Ouvrir"/>
    <hyperlink ref="H423" r:id="rId1062" display="https://alaunefamily.com/bistroquet-toulouse/"/>
    <hyperlink ref="P423" r:id="rId1063" display="Voir la carte"/>
    <hyperlink ref="Q423" r:id="rId1064" display="Ouvrir"/>
    <hyperlink ref="P424" r:id="rId1065" display="Voir la carte"/>
    <hyperlink ref="Q424" r:id="rId1066" display="Ouvrir"/>
    <hyperlink ref="P425" r:id="rId1067" display="Voir la carte"/>
    <hyperlink ref="Q425" r:id="rId1068" display="Ouvrir"/>
    <hyperlink ref="H426" r:id="rId1069" display="https://le-bistrot-libanais-toulouse.eatbu.com/"/>
    <hyperlink ref="P426" r:id="rId1070" display="Voir la carte"/>
    <hyperlink ref="Q426" r:id="rId1071" display="Ouvrir"/>
    <hyperlink ref="H427" r:id="rId1072" display="https://lebombaytoulouse.fr/"/>
    <hyperlink ref="P427" r:id="rId1073" display="Voir la carte"/>
    <hyperlink ref="Q427" r:id="rId1074" display="Ouvrir"/>
    <hyperlink ref="P428" r:id="rId1075" display="Voir la carte"/>
    <hyperlink ref="Q428" r:id="rId1076" display="Ouvrir"/>
    <hyperlink ref="H429" r:id="rId1077" display="https://www.bouilloncapitole.fr/fr/"/>
    <hyperlink ref="P429" r:id="rId1078" display="Voir la carte"/>
    <hyperlink ref="Q429" r:id="rId1079" display="Ouvrir"/>
    <hyperlink ref="H430" r:id="rId1080" display="https://restaurantleboulis.com/"/>
    <hyperlink ref="P430" r:id="rId1081" display="Voir la carte"/>
    <hyperlink ref="Q430" r:id="rId1082" display="Ouvrir"/>
    <hyperlink ref="P431" r:id="rId1083" display="Voir la carte"/>
    <hyperlink ref="Q431" r:id="rId1084" display="Ouvrir"/>
    <hyperlink ref="P432" r:id="rId1085" display="Voir la carte"/>
    <hyperlink ref="Q432" r:id="rId1086" display="Ouvrir"/>
    <hyperlink ref="H433" r:id="rId1087" display="https://lebus111.fr/"/>
    <hyperlink ref="P433" r:id="rId1088" display="Voir la carte"/>
    <hyperlink ref="Q433" r:id="rId1089" display="Ouvrir"/>
    <hyperlink ref="H434" r:id="rId1090" display="https://le-cabanon-toulouse.fr/"/>
    <hyperlink ref="P434" r:id="rId1091" display="Voir la carte"/>
    <hyperlink ref="Q434" r:id="rId1092" display="Ouvrir"/>
    <hyperlink ref="P435" r:id="rId1093" display="Voir la carte"/>
    <hyperlink ref="Q435" r:id="rId1094" display="Ouvrir"/>
    <hyperlink ref="H436" r:id="rId1095" display="https://www.cantou.fr/"/>
    <hyperlink ref="P436" r:id="rId1096" display="Voir la carte"/>
    <hyperlink ref="Q436" r:id="rId1097" display="Ouvrir"/>
    <hyperlink ref="P437" r:id="rId1098" display="Voir la carte"/>
    <hyperlink ref="Q437" r:id="rId1099" display="Ouvrir"/>
    <hyperlink ref="P438" r:id="rId1100" display="Voir la carte"/>
    <hyperlink ref="Q438" r:id="rId1101" display="Ouvrir"/>
    <hyperlink ref="P439" r:id="rId1102" display="Voir la carte"/>
    <hyperlink ref="Q439" r:id="rId1103" display="Ouvrir"/>
    <hyperlink ref="P440" r:id="rId1104" display="Voir la carte"/>
    <hyperlink ref="Q440" r:id="rId1105" display="Ouvrir"/>
    <hyperlink ref="H441" r:id="rId1106" display="https://lechevillard.fr/"/>
    <hyperlink ref="P441" r:id="rId1107" display="Voir la carte"/>
    <hyperlink ref="Q441" r:id="rId1108" display="Ouvrir"/>
    <hyperlink ref="P442" r:id="rId1109" display="Voir la carte"/>
    <hyperlink ref="Q442" r:id="rId1110" display="Ouvrir"/>
    <hyperlink ref="P443" r:id="rId1111" display="Voir la carte"/>
    <hyperlink ref="Q443" r:id="rId1112" display="Ouvrir"/>
    <hyperlink ref="H444" r:id="rId1113" display="http://www.lecomptoirdurex.com/fr/"/>
    <hyperlink ref="P444" r:id="rId1114" display="Voir la carte"/>
    <hyperlink ref="Q444" r:id="rId1115" display="Ouvrir"/>
    <hyperlink ref="H445" r:id="rId1116" display="https://www.lecomptoir-gourmand.com/"/>
    <hyperlink ref="P445" r:id="rId1117" display="Voir la carte"/>
    <hyperlink ref="Q445" r:id="rId1118" display="Ouvrir"/>
    <hyperlink ref="P446" r:id="rId1119" display="Voir la carte"/>
    <hyperlink ref="Q446" r:id="rId1120" display="Ouvrir"/>
    <hyperlink ref="H447" r:id="rId1121" display="https://www.comptoirapizzas.com/"/>
    <hyperlink ref="P447" r:id="rId1122" display="Voir la carte"/>
    <hyperlink ref="Q447" r:id="rId1123" display="Ouvrir"/>
    <hyperlink ref="H448" r:id="rId1124" display="https://www.lecoqenpate-restaurant.fr/"/>
    <hyperlink ref="P448" r:id="rId1125" display="Voir la carte"/>
    <hyperlink ref="Q448" r:id="rId1126" display="Ouvrir"/>
    <hyperlink ref="H449" r:id="rId1127" display="http://www.le-coup-de-fourchette.fr/"/>
    <hyperlink ref="P449" r:id="rId1128" display="Voir la carte"/>
    <hyperlink ref="Q449" r:id="rId1129" display="Ouvrir"/>
    <hyperlink ref="P450" r:id="rId1130" display="Voir la carte"/>
    <hyperlink ref="Q450" r:id="rId1131" display="Ouvrir"/>
    <hyperlink ref="H451" r:id="rId1132" display="https://lecridelatruffe.com/"/>
    <hyperlink ref="P451" r:id="rId1133" display="Voir la carte"/>
    <hyperlink ref="Q451" r:id="rId1134" display="Ouvrir"/>
    <hyperlink ref="H452" r:id="rId1135" display="https://www.restaurant-lecenacle.com"/>
    <hyperlink ref="P452" r:id="rId1136" display="Voir la carte"/>
    <hyperlink ref="Q452" r:id="rId1137" display="Ouvrir"/>
    <hyperlink ref="P453" r:id="rId1138" display="Voir la carte"/>
    <hyperlink ref="Q453" r:id="rId1139" display="Ouvrir"/>
    <hyperlink ref="P454" r:id="rId1140" display="Voir la carte"/>
    <hyperlink ref="Q454" r:id="rId1141" display="Ouvrir"/>
    <hyperlink ref="P455" r:id="rId1142" display="Voir la carte"/>
    <hyperlink ref="Q455" r:id="rId1143" display="Ouvrir"/>
    <hyperlink ref="P456" r:id="rId1144" display="Voir la carte"/>
    <hyperlink ref="Q456" r:id="rId1145" display="Ouvrir"/>
    <hyperlink ref="H457" r:id="rId1146" display="https://www.ledynastie-toulouse.fr"/>
    <hyperlink ref="P457" r:id="rId1147" display="Voir la carte"/>
    <hyperlink ref="Q457" r:id="rId1148" display="Ouvrir"/>
    <hyperlink ref="H458" r:id="rId1149" display="https://ledeclic.pub"/>
    <hyperlink ref="P458" r:id="rId1150" display="Voir la carte"/>
    <hyperlink ref="Q458" r:id="rId1151" display="Ouvrir"/>
    <hyperlink ref="H459" r:id="rId1152" display="http://www.lefaubourg.fr/"/>
    <hyperlink ref="P459" r:id="rId1153" display="Voir la carte"/>
    <hyperlink ref="Q459" r:id="rId1154" display="Ouvrir"/>
    <hyperlink ref="P460" r:id="rId1155" display="Voir la carte"/>
    <hyperlink ref="Q460" r:id="rId1156" display="Ouvrir"/>
    <hyperlink ref="H461" r:id="rId1157" display="https://www.legaluchat.club/"/>
    <hyperlink ref="P461" r:id="rId1158" display="Voir la carte"/>
    <hyperlink ref="Q461" r:id="rId1159" display="Ouvrir"/>
    <hyperlink ref="H462" r:id="rId1160" display="https://restaurantlegandhi.com/"/>
    <hyperlink ref="P462" r:id="rId1161" display="Voir la carte"/>
    <hyperlink ref="Q462" r:id="rId1162" display="Ouvrir"/>
    <hyperlink ref="H463" r:id="rId1163" display="https://www.legentymagre.com/"/>
    <hyperlink ref="P463" r:id="rId1164" display="Voir la carte"/>
    <hyperlink ref="Q463" r:id="rId1165" display="Ouvrir"/>
    <hyperlink ref="P464" r:id="rId1166" display="Voir la carte"/>
    <hyperlink ref="Q464" r:id="rId1167" display="Ouvrir"/>
    <hyperlink ref="P465" r:id="rId1168" display="Voir la carte"/>
    <hyperlink ref="Q465" r:id="rId1169" display="Ouvrir"/>
    <hyperlink ref="H466" r:id="rId1170" display="https://www.legrenierdepepe.com/"/>
    <hyperlink ref="P466" r:id="rId1171" display="Voir la carte"/>
    <hyperlink ref="Q466" r:id="rId1172" display="Ouvrir"/>
    <hyperlink ref="P467" r:id="rId1173" display="Voir la carte"/>
    <hyperlink ref="Q467" r:id="rId1174" display="Ouvrir"/>
    <hyperlink ref="H468" r:id="rId1175" display="https://lejgo.com/lieux/le-jgo-toulouse/"/>
    <hyperlink ref="P468" r:id="rId1176" display="Voir la carte"/>
    <hyperlink ref="Q468" r:id="rId1177" display="Ouvrir"/>
    <hyperlink ref="H469" r:id="rId1178" display="https://www.lejardin-toulouse.fr/fr/"/>
    <hyperlink ref="P469" r:id="rId1179" display="Voir la carte"/>
    <hyperlink ref="Q469" r:id="rId1180" display="Ouvrir"/>
    <hyperlink ref="H470" r:id="rId1181" display="https://fr-fr.facebook.com/Le-KING-272600449490147/"/>
    <hyperlink ref="P470" r:id="rId1182" display="Voir la carte"/>
    <hyperlink ref="Q470" r:id="rId1183" display="Ouvrir"/>
    <hyperlink ref="H471" r:id="rId1184" display="https://lekiosquedelaroseraie.fr/"/>
    <hyperlink ref="P471" r:id="rId1185" display="Voir la carte"/>
    <hyperlink ref="Q471" r:id="rId1186" display="Ouvrir"/>
    <hyperlink ref="H472" r:id="rId1187" display="http://www.leksar.fr/"/>
    <hyperlink ref="P472" r:id="rId1188" display="Voir la carte"/>
    <hyperlink ref="Q472" r:id="rId1189" display="Ouvrir"/>
    <hyperlink ref="P473" r:id="rId1190" display="Voir la carte"/>
    <hyperlink ref="Q473" r:id="rId1191" display="Ouvrir"/>
    <hyperlink ref="H474" r:id="rId1192" display="https://www.facebook.com/pages/Le-Louchebem/128704637179698"/>
    <hyperlink ref="P474" r:id="rId1193" display="Voir la carte"/>
    <hyperlink ref="Q474" r:id="rId1194" display="Ouvrir"/>
    <hyperlink ref="P475" r:id="rId1195" display="Voir la carte"/>
    <hyperlink ref="Q475" r:id="rId1196" display="Ouvrir"/>
    <hyperlink ref="P476" r:id="rId1197" display="Voir la carte"/>
    <hyperlink ref="Q476" r:id="rId1198" display="Ouvrir"/>
    <hyperlink ref="H477" r:id="rId1199" display="http://www.restaurant-lemagret.com/"/>
    <hyperlink ref="P477" r:id="rId1200" display="Voir la carte"/>
    <hyperlink ref="Q477" r:id="rId1201" display="Ouvrir"/>
    <hyperlink ref="H478" r:id="rId1202" display="https://www.maharajatoulouse.fr/"/>
    <hyperlink ref="P478" r:id="rId1203" display="Voir la carte"/>
    <hyperlink ref="Q478" r:id="rId1204" display="Ouvrir"/>
    <hyperlink ref="P479" r:id="rId1205" display="Voir la carte"/>
    <hyperlink ref="Q479" r:id="rId1206" display="Ouvrir"/>
    <hyperlink ref="P480" r:id="rId1207" display="Voir la carte"/>
    <hyperlink ref="Q480" r:id="rId1208" display="Ouvrir"/>
    <hyperlink ref="H481" r:id="rId1209" display="https://le-marocain.fr/"/>
    <hyperlink ref="P481" r:id="rId1210" display="Voir la carte"/>
    <hyperlink ref="Q481" r:id="rId1211" display="Ouvrir"/>
    <hyperlink ref="P482" r:id="rId1212" display="Voir la carte"/>
    <hyperlink ref="Q482" r:id="rId1213" display="Ouvrir"/>
    <hyperlink ref="P483" r:id="rId1214" display="Voir la carte"/>
    <hyperlink ref="Q483" r:id="rId1215" display="Ouvrir"/>
    <hyperlink ref="P484" r:id="rId1216" display="Voir la carte"/>
    <hyperlink ref="Q484" r:id="rId1217" display="Ouvrir"/>
    <hyperlink ref="H485" r:id="rId1218" display="http://lemay-toulouse.fr/"/>
    <hyperlink ref="P485" r:id="rId1219" display="Voir la carte"/>
    <hyperlink ref="Q485" r:id="rId1220" display="Ouvrir"/>
    <hyperlink ref="P486" r:id="rId1221" display="Voir la carte"/>
    <hyperlink ref="Q486" r:id="rId1222" display="Ouvrir"/>
    <hyperlink ref="H487" r:id="rId1223" display="https://www.creperie-le-menhir-31.com"/>
    <hyperlink ref="P487" r:id="rId1224" display="Voir la carte"/>
    <hyperlink ref="Q487" r:id="rId1225" display="Ouvrir"/>
    <hyperlink ref="H488" r:id="rId1226" display="http://www.lemoai.com"/>
    <hyperlink ref="P488" r:id="rId1227" display="Voir la carte"/>
    <hyperlink ref="Q488" r:id="rId1228" display="Ouvrir"/>
    <hyperlink ref="H489" r:id="rId1229" display="https://au-monde-de-jennah.business.site/"/>
    <hyperlink ref="P489" r:id="rId1230" display="Voir la carte"/>
    <hyperlink ref="Q489" r:id="rId1231" display="Ouvrir"/>
    <hyperlink ref="P490" r:id="rId1232" display="Voir la carte"/>
    <hyperlink ref="Q490" r:id="rId1233" display="Ouvrir"/>
    <hyperlink ref="H491" r:id="rId1234" display="http://www.le-monica.com/"/>
    <hyperlink ref="P491" r:id="rId1235" display="Voir la carte"/>
    <hyperlink ref="Q491" r:id="rId1236" display="Ouvrir"/>
    <hyperlink ref="P492" r:id="rId1237" display="Voir la carte"/>
    <hyperlink ref="Q492" r:id="rId1238" display="Ouvrir"/>
    <hyperlink ref="H493" r:id="rId1239" display="https://le-muang-thai.fr/"/>
    <hyperlink ref="P493" r:id="rId1240" display="Voir la carte"/>
    <hyperlink ref="Q493" r:id="rId1241" display="Ouvrir"/>
    <hyperlink ref="H494" r:id="rId1242" display="https://lemekong-thaifood.fr"/>
    <hyperlink ref="P494" r:id="rId1243" display="Voir la carte"/>
    <hyperlink ref="Q494" r:id="rId1244" display="Ouvrir"/>
    <hyperlink ref="H495" r:id="rId1245" display="https://restaurantindientoulouse.fr"/>
    <hyperlink ref="P495" r:id="rId1246" display="Voir la carte"/>
    <hyperlink ref="Q495" r:id="rId1247" display="Ouvrir"/>
    <hyperlink ref="H496" r:id="rId1248" display="https://www.lenezrouge.fr/"/>
    <hyperlink ref="P496" r:id="rId1249" display="Voir la carte"/>
    <hyperlink ref="Q496" r:id="rId1250" display="Ouvrir"/>
    <hyperlink ref="H497" r:id="rId1251" display="https://www.lenoma.fr/"/>
    <hyperlink ref="P497" r:id="rId1252" display="Voir la carte"/>
    <hyperlink ref="Q497" r:id="rId1253" display="Ouvrir"/>
    <hyperlink ref="H498" r:id="rId1254" display="https://leptitlouis.fr"/>
    <hyperlink ref="P498" r:id="rId1255" display="Voir la carte"/>
    <hyperlink ref="Q498" r:id="rId1256" display="Ouvrir"/>
    <hyperlink ref="P499" r:id="rId1257" display="Voir la carte"/>
    <hyperlink ref="Q499" r:id="rId1258" display="Ouvrir"/>
    <hyperlink ref="P500" r:id="rId1259" display="Voir la carte"/>
    <hyperlink ref="Q500" r:id="rId1260" display="Ouvrir"/>
    <hyperlink ref="H501" r:id="rId1261" display="https://restaurantleparisien.com/"/>
    <hyperlink ref="P501" r:id="rId1262" display="Voir la carte"/>
    <hyperlink ref="Q501" r:id="rId1263" display="Ouvrir"/>
    <hyperlink ref="P502" r:id="rId1264" display="Voir la carte"/>
    <hyperlink ref="Q502" r:id="rId1265" display="Ouvrir"/>
    <hyperlink ref="H503" r:id="rId1266" display="https://lepavedesminimes.com/"/>
    <hyperlink ref="P503" r:id="rId1267" display="Voir la carte"/>
    <hyperlink ref="Q503" r:id="rId1268" display="Ouvrir"/>
    <hyperlink ref="H504" r:id="rId1269" display="https://leperchepinte.eatbu.com/"/>
    <hyperlink ref="P504" r:id="rId1270" display="Voir la carte"/>
    <hyperlink ref="Q504" r:id="rId1271" display="Ouvrir"/>
    <hyperlink ref="P505" r:id="rId1272" display="Voir la carte"/>
    <hyperlink ref="Q505" r:id="rId1273" display="Ouvrir"/>
    <hyperlink ref="H506" r:id="rId1274" display="https://www.lepetitsalin.fr/"/>
    <hyperlink ref="P506" r:id="rId1275" display="Voir la carte"/>
    <hyperlink ref="Q506" r:id="rId1276" display="Ouvrir"/>
    <hyperlink ref="H507" r:id="rId1277" display="https://lepetitsanseb.com/"/>
    <hyperlink ref="P507" r:id="rId1278" display="Voir la carte"/>
    <hyperlink ref="Q507" r:id="rId1279" display="Ouvrir"/>
    <hyperlink ref="H508" r:id="rId1280" display="https://www.lepetitvictor.fr"/>
    <hyperlink ref="P508" r:id="rId1281" display="Voir la carte"/>
    <hyperlink ref="Q508" r:id="rId1282" display="Ouvrir"/>
    <hyperlink ref="P509" r:id="rId1283" display="Voir la carte"/>
    <hyperlink ref="Q509" r:id="rId1284" display="Ouvrir"/>
    <hyperlink ref="H510" r:id="rId1285" display="https://www.facebook.com/LePyreneen"/>
    <hyperlink ref="P510" r:id="rId1286" display="Voir la carte"/>
    <hyperlink ref="Q510" r:id="rId1287" display="Ouvrir"/>
    <hyperlink ref="H511" r:id="rId1288" display="https://www.pere-leon.com/toulouse/restaurant/menu/carte"/>
    <hyperlink ref="P511" r:id="rId1289" display="Voir la carte"/>
    <hyperlink ref="Q511" r:id="rId1290" display="Ouvrir"/>
    <hyperlink ref="H512" r:id="rId1291" display="https://www.instagram.com/leqgtoulouse/"/>
    <hyperlink ref="P512" r:id="rId1292" display="Voir la carte"/>
    <hyperlink ref="Q512" r:id="rId1293" display="Ouvrir"/>
    <hyperlink ref="P513" r:id="rId1294" display="Voir la carte"/>
    <hyperlink ref="Q513" r:id="rId1295" display="Ouvrir"/>
    <hyperlink ref="P514" r:id="rId1296" display="Voir la carte"/>
    <hyperlink ref="Q514" r:id="rId1297" display="Ouvrir"/>
    <hyperlink ref="P515" r:id="rId1298" display="Voir la carte"/>
    <hyperlink ref="Q515" r:id="rId1299" display="Ouvrir"/>
    <hyperlink ref="P516" r:id="rId1300" display="Voir la carte"/>
    <hyperlink ref="Q516" r:id="rId1301" display="Ouvrir"/>
    <hyperlink ref="H517" r:id="rId1302" display="https://www.lerestauranttoulouse.fr/"/>
    <hyperlink ref="P517" r:id="rId1303" display="Voir la carte"/>
    <hyperlink ref="Q517" r:id="rId1304" display="Ouvrir"/>
    <hyperlink ref="P518" r:id="rId1305" display="Voir la carte"/>
    <hyperlink ref="Q518" r:id="rId1306" display="Ouvrir"/>
    <hyperlink ref="P519" r:id="rId1307" display="Voir la carte"/>
    <hyperlink ref="Q519" r:id="rId1308" display="Ouvrir"/>
    <hyperlink ref="P520" r:id="rId1309" display="Voir la carte"/>
    <hyperlink ref="Q520" r:id="rId1310" display="Ouvrir"/>
    <hyperlink ref="P521" r:id="rId1311" display="Voir la carte"/>
    <hyperlink ref="Q521" r:id="rId1312" display="Ouvrir"/>
    <hyperlink ref="H522" r:id="rId1313" display="https://www.leronddeserviette-rivegauche.fr/"/>
    <hyperlink ref="P522" r:id="rId1314" display="Voir la carte"/>
    <hyperlink ref="Q522" r:id="rId1315" display="Ouvrir"/>
    <hyperlink ref="P523" r:id="rId1316" display="Voir la carte"/>
    <hyperlink ref="Q523" r:id="rId1317" display="Ouvrir"/>
    <hyperlink ref="H524" r:id="rId1318" display="http://lahcen.idouakass.free.fr/"/>
    <hyperlink ref="P524" r:id="rId1319" display="Voir la carte"/>
    <hyperlink ref="Q524" r:id="rId1320" display="Ouvrir"/>
    <hyperlink ref="H525" r:id="rId1321" display="https://www.lesainthonest.fr/"/>
    <hyperlink ref="P525" r:id="rId1322" display="Voir la carte"/>
    <hyperlink ref="Q525" r:id="rId1323" display="Ouvrir"/>
    <hyperlink ref="P526" r:id="rId1324" display="Voir la carte"/>
    <hyperlink ref="Q526" r:id="rId1325" display="Ouvrir"/>
    <hyperlink ref="H527" r:id="rId1326" display="https://www.lesaintsimon.fr/"/>
    <hyperlink ref="P527" r:id="rId1327" display="Voir la carte"/>
    <hyperlink ref="Q527" r:id="rId1328" display="Ouvrir"/>
    <hyperlink ref="H528" r:id="rId1329" display="https://restaurant-semiramis.com/"/>
    <hyperlink ref="P528" r:id="rId1330" display="Voir la carte"/>
    <hyperlink ref="Q528" r:id="rId1331" display="Ouvrir"/>
    <hyperlink ref="H529" r:id="rId1332" display="https://www.le-servant.com/"/>
    <hyperlink ref="P529" r:id="rId1333" display="Voir la carte"/>
    <hyperlink ref="Q529" r:id="rId1334" display="Ouvrir"/>
    <hyperlink ref="H530" r:id="rId1335" display="https://leshahidhaba.com/"/>
    <hyperlink ref="P530" r:id="rId1336" display="Voir la carte"/>
    <hyperlink ref="Q530" r:id="rId1337" display="Ouvrir"/>
    <hyperlink ref="P531" r:id="rId1338" display="Voir la carte"/>
    <hyperlink ref="Q531" r:id="rId1339" display="Ouvrir"/>
    <hyperlink ref="H532" r:id="rId1340" display="https://www.facebook.com/leshaker31/"/>
    <hyperlink ref="P532" r:id="rId1341" display="Voir la carte"/>
    <hyperlink ref="Q532" r:id="rId1342" display="Ouvrir"/>
    <hyperlink ref="P533" r:id="rId1343" display="Voir la carte"/>
    <hyperlink ref="Q533" r:id="rId1344" display="Ouvrir"/>
    <hyperlink ref="P534" r:id="rId1345" display="Voir la carte"/>
    <hyperlink ref="Q534" r:id="rId1346" display="Ouvrir"/>
    <hyperlink ref="P535" r:id="rId1347" display="Voir la carte"/>
    <hyperlink ref="Q535" r:id="rId1348" display="Ouvrir"/>
    <hyperlink ref="P536" r:id="rId1349" display="Voir la carte"/>
    <hyperlink ref="Q536" r:id="rId1350" display="Ouvrir"/>
    <hyperlink ref="P537" r:id="rId1351" display="Voir la carte"/>
    <hyperlink ref="Q537" r:id="rId1352" display="Ouvrir"/>
    <hyperlink ref="H538" r:id="rId1353" display="https://le-sukhothai-toulouse.com/"/>
    <hyperlink ref="P538" r:id="rId1354" display="Voir la carte"/>
    <hyperlink ref="Q538" r:id="rId1355" display="Ouvrir"/>
    <hyperlink ref="P539" r:id="rId1356" display="Voir la carte"/>
    <hyperlink ref="Q539" r:id="rId1357" display="Ouvrir"/>
    <hyperlink ref="H540" r:id="rId1358" display="https://www.facebook.com/Le.Toec/"/>
    <hyperlink ref="P540" r:id="rId1359" display="Voir la carte"/>
    <hyperlink ref="Q540" r:id="rId1360" display="Ouvrir"/>
    <hyperlink ref="H541" r:id="rId1361" display="https://www.letroquetgaronne.fr/"/>
    <hyperlink ref="P541" r:id="rId1362" display="Voir la carte"/>
    <hyperlink ref="Q541" r:id="rId1363" display="Ouvrir"/>
    <hyperlink ref="P542" r:id="rId1364" display="Voir la carte"/>
    <hyperlink ref="Q542" r:id="rId1365" display="Ouvrir"/>
    <hyperlink ref="P543" r:id="rId1366" display="Voir la carte"/>
    <hyperlink ref="Q543" r:id="rId1367" display="Ouvrir"/>
    <hyperlink ref="P544" r:id="rId1368" display="Voir la carte"/>
    <hyperlink ref="Q544" r:id="rId1369" display="Ouvrir"/>
    <hyperlink ref="P545" r:id="rId1370" display="Voir la carte"/>
    <hyperlink ref="Q545" r:id="rId1371" display="Ouvrir"/>
    <hyperlink ref="P546" r:id="rId1372" display="Voir la carte"/>
    <hyperlink ref="Q546" r:id="rId1373" display="Ouvrir"/>
    <hyperlink ref="H547" r:id="rId1374" display="http://lamanufacturetoulouse.fr/"/>
    <hyperlink ref="P547" r:id="rId1375" display="Voir la carte"/>
    <hyperlink ref="Q547" r:id="rId1376" display="Ouvrir"/>
    <hyperlink ref="P548" r:id="rId1377" display="Voir la carte"/>
    <hyperlink ref="Q548" r:id="rId1378" display="Ouvrir"/>
    <hyperlink ref="H549" r:id="rId1379" display="https://www.lerichedesaveurs.com/"/>
    <hyperlink ref="P549" r:id="rId1380" display="Voir la carte"/>
    <hyperlink ref="Q549" r:id="rId1381" display="Ouvrir"/>
    <hyperlink ref="H550" r:id="rId1382" display="https://www.restaurant-les2fontlapaire.fr/"/>
    <hyperlink ref="P550" r:id="rId1383" display="Voir la carte"/>
    <hyperlink ref="Q550" r:id="rId1384" display="Ouvrir"/>
    <hyperlink ref="P551" r:id="rId1385" display="Voir la carte"/>
    <hyperlink ref="Q551" r:id="rId1386" display="Ouvrir"/>
    <hyperlink ref="H552" r:id="rId1387" display="http://brasserie-arcades.com"/>
    <hyperlink ref="P552" r:id="rId1388" display="Voir la carte"/>
    <hyperlink ref="Q552" r:id="rId1389" display="Ouvrir"/>
    <hyperlink ref="P553" r:id="rId1390" display="Voir la carte"/>
    <hyperlink ref="Q553" r:id="rId1391" display="Ouvrir"/>
    <hyperlink ref="H554" r:id="rId1392" display="https://www.lesburgersdecolette.fr/"/>
    <hyperlink ref="P554" r:id="rId1393" display="Voir la carte"/>
    <hyperlink ref="Q554" r:id="rId1394" display="Ouvrir"/>
    <hyperlink ref="H555" r:id="rId1395" display="https://www.lescavesdelamarechale.com/"/>
    <hyperlink ref="P555" r:id="rId1396" display="Voir la carte"/>
    <hyperlink ref="Q555" r:id="rId1397" display="Ouvrir"/>
    <hyperlink ref="P556" r:id="rId1398" display="Voir la carte"/>
    <hyperlink ref="Q556" r:id="rId1399" display="Ouvrir"/>
    <hyperlink ref="H557" r:id="rId1400" display="https://www.lescopains.fr/"/>
    <hyperlink ref="P557" r:id="rId1401" display="Voir la carte"/>
    <hyperlink ref="Q557" r:id="rId1402" display="Ouvrir"/>
    <hyperlink ref="P558" r:id="rId1403" display="Voir la carte"/>
    <hyperlink ref="Q558" r:id="rId1404" display="Ouvrir"/>
    <hyperlink ref="H559" r:id="rId1405" display="https://www.chezlena.fr/"/>
    <hyperlink ref="P559" r:id="rId1406" display="Voir la carte"/>
    <hyperlink ref="Q559" r:id="rId1407" display="Ouvrir"/>
    <hyperlink ref="P560" r:id="rId1408" display="Voir la carte"/>
    <hyperlink ref="Q560" r:id="rId1409" display="Ouvrir"/>
    <hyperlink ref="P561" r:id="rId1410" display="Voir la carte"/>
    <hyperlink ref="Q561" r:id="rId1411" display="Ouvrir"/>
    <hyperlink ref="P562" r:id="rId1412" display="Voir la carte"/>
    <hyperlink ref="Q562" r:id="rId1413" display="Ouvrir"/>
    <hyperlink ref="H563" r:id="rId1414" display="https://les-filous.fr/"/>
    <hyperlink ref="P563" r:id="rId1415" display="Voir la carte"/>
    <hyperlink ref="Q563" r:id="rId1416" display="Ouvrir"/>
    <hyperlink ref="P564" r:id="rId1417" display="Voir la carte"/>
    <hyperlink ref="Q564" r:id="rId1418" display="Ouvrir"/>
    <hyperlink ref="P565" r:id="rId1419" display="Voir la carte"/>
    <hyperlink ref="Q565" r:id="rId1420" display="Ouvrir"/>
    <hyperlink ref="P566" r:id="rId1421" display="Voir la carte"/>
    <hyperlink ref="Q566" r:id="rId1422" display="Ouvrir"/>
    <hyperlink ref="H567" r:id="rId1423" display="https://les-galopins-restaurant.eatbu.com/"/>
    <hyperlink ref="P567" r:id="rId1424" display="Voir la carte"/>
    <hyperlink ref="Q567" r:id="rId1425" display="Ouvrir"/>
    <hyperlink ref="H568" r:id="rId1426" display="https://www.leshallesdadrien.fr/"/>
    <hyperlink ref="P568" r:id="rId1427" display="Voir la carte"/>
    <hyperlink ref="Q568" r:id="rId1428" display="Ouvrir"/>
    <hyperlink ref="H569" r:id="rId1429" display="http://www.hallesdelacite.com/"/>
    <hyperlink ref="P569" r:id="rId1430" display="Voir la carte"/>
    <hyperlink ref="Q569" r:id="rId1431" display="Ouvrir"/>
    <hyperlink ref="H570" r:id="rId1432" display="https://www.leshallesdelatransition.com/"/>
    <hyperlink ref="P570" r:id="rId1433" display="Voir la carte"/>
    <hyperlink ref="Q570" r:id="rId1434" display="Ouvrir"/>
    <hyperlink ref="H571" r:id="rId1435" display="https://www.les-illustres.fr/"/>
    <hyperlink ref="P571" r:id="rId1436" display="Voir la carte"/>
    <hyperlink ref="Q571" r:id="rId1437" display="Ouvrir"/>
    <hyperlink ref="H572" r:id="rId1438" display="https://les-impulsifs-toulouse.eatbu.com/"/>
    <hyperlink ref="P572" r:id="rId1439" display="Voir la carte"/>
    <hyperlink ref="Q572" r:id="rId1440" display="Ouvrir"/>
    <hyperlink ref="H573" r:id="rId1441" display="http://www.lesjardinsdelyssa.fr/"/>
    <hyperlink ref="P573" r:id="rId1442" display="Voir la carte"/>
    <hyperlink ref="Q573" r:id="rId1443" display="Ouvrir"/>
    <hyperlink ref="H574" r:id="rId1444" display="https://lesjardinsdecandie.com/"/>
    <hyperlink ref="P574" r:id="rId1445" display="Voir la carte"/>
    <hyperlink ref="Q574" r:id="rId1446" display="Ouvrir"/>
    <hyperlink ref="H575" r:id="rId1447" display="https://www.lesjardinsdelolympe.com/"/>
    <hyperlink ref="P575" r:id="rId1448" display="Voir la carte"/>
    <hyperlink ref="Q575" r:id="rId1449" display="Ouvrir"/>
    <hyperlink ref="H576" r:id="rId1450" display="https://www.lesjardinsdelopera.fr"/>
    <hyperlink ref="P576" r:id="rId1451" display="Voir la carte"/>
    <hyperlink ref="Q576" r:id="rId1452" display="Ouvrir"/>
    <hyperlink ref="H577" r:id="rId1453" display="https://www.lesjardinsdelacepiere.fr/"/>
    <hyperlink ref="P577" r:id="rId1454" display="Voir la carte"/>
    <hyperlink ref="Q577" r:id="rId1455" display="Ouvrir"/>
    <hyperlink ref="P578" r:id="rId1456" display="Voir la carte"/>
    <hyperlink ref="Q578" r:id="rId1457" display="Ouvrir"/>
    <hyperlink ref="H579" r:id="rId1458" display="https://kouadiopatrice.site-solocal.com/"/>
    <hyperlink ref="P579" r:id="rId1459" display="Voir la carte"/>
    <hyperlink ref="Q579" r:id="rId1460" display="Ouvrir"/>
    <hyperlink ref="H580" r:id="rId1461" display="https://www.les-munitionnettes.fr/"/>
    <hyperlink ref="P580" r:id="rId1462" display="Voir la carte"/>
    <hyperlink ref="Q580" r:id="rId1463" display="Ouvrir"/>
    <hyperlink ref="H581" r:id="rId1464" display="https://www.lespassionnes-toulouse.fr"/>
    <hyperlink ref="P581" r:id="rId1465" display="Voir la carte"/>
    <hyperlink ref="Q581" r:id="rId1466" display="Ouvrir"/>
    <hyperlink ref="P582" r:id="rId1467" display="Voir la carte"/>
    <hyperlink ref="Q582" r:id="rId1468" display="Ouvrir"/>
    <hyperlink ref="H583" r:id="rId1469" display="https://www.lespetitscrus.com/"/>
    <hyperlink ref="P583" r:id="rId1470" display="Voir la carte"/>
    <hyperlink ref="Q583" r:id="rId1471" display="Ouvrir"/>
    <hyperlink ref="H584" r:id="rId1472" display="https://lesplaneurs.com/"/>
    <hyperlink ref="P584" r:id="rId1473" display="Voir la carte"/>
    <hyperlink ref="Q584" r:id="rId1474" display="Ouvrir"/>
    <hyperlink ref="H585" r:id="rId1475" display="http://www.restaurant-4-saisons.com/"/>
    <hyperlink ref="P585" r:id="rId1476" display="Voir la carte"/>
    <hyperlink ref="Q585" r:id="rId1477" display="Ouvrir"/>
    <hyperlink ref="P586" r:id="rId1478" display="Voir la carte"/>
    <hyperlink ref="Q586" r:id="rId1479" display="Ouvrir"/>
    <hyperlink ref="H587" r:id="rId1480" display="https://lesthermes-toulouse.fr"/>
    <hyperlink ref="P587" r:id="rId1481" display="Voir la carte"/>
    <hyperlink ref="Q587" r:id="rId1482" display="Ouvrir"/>
    <hyperlink ref="H588" r:id="rId1483" display="https://lesthermes-toulouse.fr"/>
    <hyperlink ref="P588" r:id="rId1484" display="Voir la carte"/>
    <hyperlink ref="Q588" r:id="rId1485" display="Ouvrir"/>
    <hyperlink ref="P589" r:id="rId1486" display="Voir la carte"/>
    <hyperlink ref="Q589" r:id="rId1487" display="Ouvrir"/>
    <hyperlink ref="H590" r:id="rId1488" display="https://www.instagram.com/les_tontons_flingueuses/"/>
    <hyperlink ref="P590" r:id="rId1489" display="Voir la carte"/>
    <hyperlink ref="Q590" r:id="rId1490" display="Ouvrir"/>
    <hyperlink ref="H591" r:id="rId1491" display="https://lestroissoupes.fr/"/>
    <hyperlink ref="P591" r:id="rId1492" display="Voir la carte"/>
    <hyperlink ref="Q591" r:id="rId1493" display="Ouvrir"/>
    <hyperlink ref="P592" r:id="rId1494" display="Voir la carte"/>
    <hyperlink ref="Q592" r:id="rId1495" display="Ouvrir"/>
    <hyperlink ref="P593" r:id="rId1496" display="Voir la carte"/>
    <hyperlink ref="Q593" r:id="rId1497" display="Ouvrir"/>
    <hyperlink ref="P594" r:id="rId1498" display="Voir la carte"/>
    <hyperlink ref="Q594" r:id="rId1499" display="Ouvrir"/>
    <hyperlink ref="P595" r:id="rId1500" display="Voir la carte"/>
    <hyperlink ref="Q595" r:id="rId1501" display="Ouvrir"/>
    <hyperlink ref="P596" r:id="rId1502" display="Voir la carte"/>
    <hyperlink ref="Q596" r:id="rId1503" display="Ouvrir"/>
    <hyperlink ref="P597" r:id="rId1504" display="Voir la carte"/>
    <hyperlink ref="Q597" r:id="rId1505" display="Ouvrir"/>
    <hyperlink ref="H598" r:id="rId1506" display="https://www.llum-toulouse.fr/"/>
    <hyperlink ref="P598" r:id="rId1507" display="Voir la carte"/>
    <hyperlink ref="Q598" r:id="rId1508" display="Ouvrir"/>
    <hyperlink ref="H599" r:id="rId1509" display="https://restaurantlostivale.com/"/>
    <hyperlink ref="P599" r:id="rId1510" display="Voir la carte"/>
    <hyperlink ref="Q599" r:id="rId1511" display="Ouvrir"/>
    <hyperlink ref="H600" r:id="rId1512" display="https://www.facebook.com/Loge-24-restaurant-2526960850671366/"/>
    <hyperlink ref="P600" r:id="rId1513" display="Voir la carte"/>
    <hyperlink ref="Q600" r:id="rId1514" display="Ouvrir"/>
    <hyperlink ref="H601" r:id="rId1515" display="https://www.long-quan.fr/"/>
    <hyperlink ref="P601" r:id="rId1516" display="Voir la carte"/>
    <hyperlink ref="Q601" r:id="rId1517" display="Ouvrir"/>
    <hyperlink ref="P602" r:id="rId1518" display="Voir la carte"/>
    <hyperlink ref="Q602" r:id="rId1519" display="Ouvrir"/>
    <hyperlink ref="H603" r:id="rId1520" display="https://www.restaurant-ag-toulouse.fr/"/>
    <hyperlink ref="P603" r:id="rId1521" display="Voir la carte"/>
    <hyperlink ref="Q603" r:id="rId1522" display="Ouvrir"/>
    <hyperlink ref="P604" r:id="rId1523" display="Voir la carte"/>
    <hyperlink ref="Q604" r:id="rId1524" display="Ouvrir"/>
    <hyperlink ref="H605" r:id="rId1525" display="https://m-by-mo-bachir.business.site/"/>
    <hyperlink ref="P605" r:id="rId1526" display="Voir la carte"/>
    <hyperlink ref="Q605" r:id="rId1527" display="Ouvrir"/>
    <hyperlink ref="H606" r:id="rId1528" display="http://mets-pizzeria.fr/"/>
    <hyperlink ref="P606" r:id="rId1529" display="Voir la carte"/>
    <hyperlink ref="Q606" r:id="rId1530" display="Ouvrir"/>
    <hyperlink ref="H607" r:id="rId1531" display="https://www.monsieurgeorges.fr/"/>
    <hyperlink ref="P607" r:id="rId1532" display="Voir la carte"/>
    <hyperlink ref="Q607" r:id="rId1533" display="Ouvrir"/>
    <hyperlink ref="P608" r:id="rId1534" display="Voir la carte"/>
    <hyperlink ref="Q608" r:id="rId1535" display="Ouvrir"/>
    <hyperlink ref="P609" r:id="rId1536" display="Voir la carte"/>
    <hyperlink ref="Q609" r:id="rId1537" display="Ouvrir"/>
    <hyperlink ref="P610" r:id="rId1538" display="Voir la carte"/>
    <hyperlink ref="Q610" r:id="rId1539" display="Ouvrir"/>
    <hyperlink ref="H611" r:id="rId1540" display="https://www.mabichesurletoit.com/"/>
    <hyperlink ref="P611" r:id="rId1541" display="Voir la carte"/>
    <hyperlink ref="Q611" r:id="rId1542" display="Ouvrir"/>
    <hyperlink ref="H612" r:id="rId1543" display="https://www.mamasushi.fr/"/>
    <hyperlink ref="P612" r:id="rId1544" display="Voir la carte"/>
    <hyperlink ref="Q612" r:id="rId1545" display="Ouvrir"/>
    <hyperlink ref="H613" r:id="rId1546" display="https://www.mamasushi.fr/"/>
    <hyperlink ref="P613" r:id="rId1547" display="Voir la carte"/>
    <hyperlink ref="Q613" r:id="rId1548" display="Ouvrir"/>
    <hyperlink ref="P614" r:id="rId1549" display="Voir la carte"/>
    <hyperlink ref="Q614" r:id="rId1550" display="Ouvrir"/>
    <hyperlink ref="H615" r:id="rId1551" display="https://madamebaudruche.fr/"/>
    <hyperlink ref="P615" r:id="rId1552" display="Voir la carte"/>
    <hyperlink ref="Q615" r:id="rId1553" display="Ouvrir"/>
    <hyperlink ref="H616" r:id="rId1554" display="https://restaurantmado.fr/"/>
    <hyperlink ref="P616" r:id="rId1555" display="Voir la carte"/>
    <hyperlink ref="Q616" r:id="rId1556" display="Ouvrir"/>
    <hyperlink ref="H617" r:id="rId1557" display="https://magnum-caveamanger-toulouse.eatbu.com/"/>
    <hyperlink ref="P617" r:id="rId1558" display="Voir la carte"/>
    <hyperlink ref="Q617" r:id="rId1559" display="Ouvrir"/>
    <hyperlink ref="H618" r:id="rId1560" display="https://maisonchaya.fr"/>
    <hyperlink ref="P618" r:id="rId1561" display="Voir la carte"/>
    <hyperlink ref="Q618" r:id="rId1562" display="Ouvrir"/>
    <hyperlink ref="H619" r:id="rId1563" display="https://maisonducassoulet.com/"/>
    <hyperlink ref="P619" r:id="rId1564" display="Voir la carte"/>
    <hyperlink ref="Q619" r:id="rId1565" display="Ouvrir"/>
    <hyperlink ref="P620" r:id="rId1566" display="Voir la carte"/>
    <hyperlink ref="Q620" r:id="rId1567" display="Ouvrir"/>
    <hyperlink ref="H621" r:id="rId1568" location="la-cantine" display="https://maisonsamaran.fr/points-de-vente/victor-hugo-toulouse/#la-cantine"/>
    <hyperlink ref="P621" r:id="rId1569" display="Voir la carte"/>
    <hyperlink ref="Q621" r:id="rId1570" display="Ouvrir"/>
    <hyperlink ref="H622" r:id="rId1571" display="https://maison-sarment.jimdosite.com/"/>
    <hyperlink ref="P622" r:id="rId1572" display="Voir la carte"/>
    <hyperlink ref="Q622" r:id="rId1573" display="Ouvrir"/>
    <hyperlink ref="H623" r:id="rId1574" display="https://www.makesushi31000.fr/"/>
    <hyperlink ref="P623" r:id="rId1575" display="Voir la carte"/>
    <hyperlink ref="Q623" r:id="rId1576" display="Ouvrir"/>
    <hyperlink ref="P624" r:id="rId1577" display="Voir la carte"/>
    <hyperlink ref="Q624" r:id="rId1578" display="Ouvrir"/>
    <hyperlink ref="P625" r:id="rId1579" display="Voir la carte"/>
    <hyperlink ref="Q625" r:id="rId1580" display="Ouvrir"/>
    <hyperlink ref="H626" r:id="rId1581" display="https://mamashelter.com/toulouse/"/>
    <hyperlink ref="P626" r:id="rId1582" display="Voir la carte"/>
    <hyperlink ref="Q626" r:id="rId1583" display="Ouvrir"/>
    <hyperlink ref="P627" r:id="rId1584" display="Voir la carte"/>
    <hyperlink ref="Q627" r:id="rId1585" display="Ouvrir"/>
    <hyperlink ref="H628" r:id="rId1586" display="https://mami-wata.com/"/>
    <hyperlink ref="P628" r:id="rId1587" display="Voir la carte"/>
    <hyperlink ref="Q628" r:id="rId1588" display="Ouvrir"/>
    <hyperlink ref="P629" r:id="rId1589" display="Voir la carte"/>
    <hyperlink ref="Q629" r:id="rId1590" display="Ouvrir"/>
    <hyperlink ref="P630" r:id="rId1591" display="Voir la carte"/>
    <hyperlink ref="Q630" r:id="rId1592" display="Ouvrir"/>
    <hyperlink ref="P631" r:id="rId1593" display="Voir la carte"/>
    <hyperlink ref="Q631" r:id="rId1594" display="Ouvrir"/>
    <hyperlink ref="H632" r:id="rId1595" display="http://manger-autrement.com"/>
    <hyperlink ref="P632" r:id="rId1596" display="Voir la carte"/>
    <hyperlink ref="Q632" r:id="rId1597" display="Ouvrir"/>
    <hyperlink ref="H633" r:id="rId1598" display="https://mantesino.fr"/>
    <hyperlink ref="P633" r:id="rId1599" display="Voir la carte"/>
    <hyperlink ref="Q633" r:id="rId1600" display="Ouvrir"/>
    <hyperlink ref="H634" r:id="rId1601" display="https://www.marcello.pizza/"/>
    <hyperlink ref="P634" r:id="rId1602" display="Voir la carte"/>
    <hyperlink ref="Q634" r:id="rId1603" display="Ouvrir"/>
    <hyperlink ref="H635" r:id="rId1604" display="https://www.marcello.pizza"/>
    <hyperlink ref="P635" r:id="rId1605" display="Voir la carte"/>
    <hyperlink ref="Q635" r:id="rId1606" display="Ouvrir"/>
    <hyperlink ref="H636" r:id="rId1607" display="https://restaurant-marcello.com"/>
    <hyperlink ref="P636" r:id="rId1608" display="Voir la carte"/>
    <hyperlink ref="Q636" r:id="rId1609" display="Ouvrir"/>
    <hyperlink ref="P637" r:id="rId1610" display="Voir la carte"/>
    <hyperlink ref="Q637" r:id="rId1611" display="Ouvrir"/>
    <hyperlink ref="P638" r:id="rId1612" display="Voir la carte"/>
    <hyperlink ref="Q638" r:id="rId1613" display="Ouvrir"/>
    <hyperlink ref="H639" r:id="rId1614" display="https://www.marrakech-restaurant.fr/"/>
    <hyperlink ref="P639" r:id="rId1615" display="Voir la carte"/>
    <hyperlink ref="Q639" r:id="rId1616" display="Ouvrir"/>
    <hyperlink ref="P640" r:id="rId1617" display="Voir la carte"/>
    <hyperlink ref="Q640" r:id="rId1618" display="Ouvrir"/>
    <hyperlink ref="P641" r:id="rId1619" display="Voir la carte"/>
    <hyperlink ref="Q641" r:id="rId1620" display="Ouvrir"/>
    <hyperlink ref="P642" r:id="rId1621" display="Voir la carte"/>
    <hyperlink ref="Q642" r:id="rId1622" display="Ouvrir"/>
    <hyperlink ref="H643" r:id="rId1623" display="https://mayumi-toulouse.com/"/>
    <hyperlink ref="P643" r:id="rId1624" display="Voir la carte"/>
    <hyperlink ref="Q643" r:id="rId1625" display="Ouvrir"/>
    <hyperlink ref="H644" r:id="rId1626" display="https://mazzolina.fr"/>
    <hyperlink ref="P644" r:id="rId1627" display="Voir la carte"/>
    <hyperlink ref="Q644" r:id="rId1628" display="Ouvrir"/>
    <hyperlink ref="P645" r:id="rId1629" display="Voir la carte"/>
    <hyperlink ref="Q645" r:id="rId1630" display="Ouvrir"/>
    <hyperlink ref="H646" r:id="rId1631" display="https://www.meetthemeat.fr/"/>
    <hyperlink ref="P646" r:id="rId1632" display="Voir la carte"/>
    <hyperlink ref="Q646" r:id="rId1633" display="Ouvrir"/>
    <hyperlink ref="P647" r:id="rId1634" display="Voir la carte"/>
    <hyperlink ref="Q647" r:id="rId1635" display="Ouvrir"/>
    <hyperlink ref="P648" r:id="rId1636" display="Voir la carte"/>
    <hyperlink ref="Q648" r:id="rId1637" display="Ouvrir"/>
    <hyperlink ref="P649" r:id="rId1638" display="Voir la carte"/>
    <hyperlink ref="Q649" r:id="rId1639" display="Ouvrir"/>
    <hyperlink ref="H650" r:id="rId1640" display="https://miam-miam-toulouse.eatbu.com"/>
    <hyperlink ref="P650" r:id="rId1641" display="Voir la carte"/>
    <hyperlink ref="Q650" r:id="rId1642" display="Ouvrir"/>
    <hyperlink ref="H651" r:id="rId1643" display="http://www.michel-sarran.com"/>
    <hyperlink ref="P651" r:id="rId1644" display="Voir la carte"/>
    <hyperlink ref="Q651" r:id="rId1645" display="Ouvrir"/>
    <hyperlink ref="H652" r:id="rId1646" display="https://www.facebook.com/midiminuittoulouse/"/>
    <hyperlink ref="P652" r:id="rId1647" display="Voir la carte"/>
    <hyperlink ref="Q652" r:id="rId1648" display="Ouvrir"/>
    <hyperlink ref="H653" r:id="rId1649" display="https://www.1001-pates.com/"/>
    <hyperlink ref="P653" r:id="rId1650" display="Voir la carte"/>
    <hyperlink ref="Q653" r:id="rId1651" display="Ouvrir"/>
    <hyperlink ref="P654" r:id="rId1652" display="Voir la carte"/>
    <hyperlink ref="Q654" r:id="rId1653" display="Ouvrir"/>
    <hyperlink ref="P655" r:id="rId1654" display="Voir la carte"/>
    <hyperlink ref="Q655" r:id="rId1655" display="Ouvrir"/>
    <hyperlink ref="P656" r:id="rId1656" display="Voir la carte"/>
    <hyperlink ref="Q656" r:id="rId1657" display="Ouvrir"/>
    <hyperlink ref="H657" r:id="rId1658" display="https://www.miss-fish.fr/"/>
    <hyperlink ref="P657" r:id="rId1659" display="Voir la carte"/>
    <hyperlink ref="Q657" r:id="rId1660" display="Ouvrir"/>
    <hyperlink ref="P658" r:id="rId1661" display="Voir la carte"/>
    <hyperlink ref="Q658" r:id="rId1662" display="Ouvrir"/>
    <hyperlink ref="H659" r:id="rId1663" display="https://eater.space/miya-fondue"/>
    <hyperlink ref="P659" r:id="rId1664" display="Voir la carte"/>
    <hyperlink ref="Q659" r:id="rId1665" display="Ouvrir"/>
    <hyperlink ref="H660" r:id="rId1666" display="https://miyama.byclickeat.fr/"/>
    <hyperlink ref="P660" r:id="rId1667" display="Voir la carte"/>
    <hyperlink ref="Q660" r:id="rId1668" display="Ouvrir"/>
    <hyperlink ref="H661" r:id="rId1669" display="https://mizuki-toulouse.fr/"/>
    <hyperlink ref="P661" r:id="rId1670" display="Voir la carte"/>
    <hyperlink ref="Q661" r:id="rId1671" display="Ouvrir"/>
    <hyperlink ref="H662" r:id="rId1672" display="https://www.mmepompette.com/"/>
    <hyperlink ref="P662" r:id="rId1673" display="Voir la carte"/>
    <hyperlink ref="Q662" r:id="rId1674" display="Ouvrir"/>
    <hyperlink ref="H663" r:id="rId1675" display="https://mojifusionfood.com/"/>
    <hyperlink ref="P663" r:id="rId1676" display="Voir la carte"/>
    <hyperlink ref="Q663" r:id="rId1677" display="Ouvrir"/>
    <hyperlink ref="H664" r:id="rId1678" display="https://www.molette-restaurant.fr/"/>
    <hyperlink ref="P664" r:id="rId1679" display="Voir la carte"/>
    <hyperlink ref="Q664" r:id="rId1680" display="Ouvrir"/>
    <hyperlink ref="H665" r:id="rId1681" display="https://www.momone-toulouse.fr"/>
    <hyperlink ref="P665" r:id="rId1682" display="Voir la carte"/>
    <hyperlink ref="Q665" r:id="rId1683" display="Ouvrir"/>
    <hyperlink ref="P666" r:id="rId1684" display="Voir la carte"/>
    <hyperlink ref="Q666" r:id="rId1685" display="Ouvrir"/>
    <hyperlink ref="H667" r:id="rId1686" display="https://www.monapizza.fr/"/>
    <hyperlink ref="P667" r:id="rId1687" display="Voir la carte"/>
    <hyperlink ref="Q667" r:id="rId1688" display="Ouvrir"/>
    <hyperlink ref="P668" r:id="rId1689" display="Voir la carte"/>
    <hyperlink ref="Q668" r:id="rId1690" display="Ouvrir"/>
    <hyperlink ref="H669" r:id="rId1691" display="https://www.museaumusette.fr/"/>
    <hyperlink ref="P669" r:id="rId1692" display="Voir la carte"/>
    <hyperlink ref="Q669" r:id="rId1693" display="Ouvrir"/>
    <hyperlink ref="P670" r:id="rId1694" display="Voir la carte"/>
    <hyperlink ref="Q670" r:id="rId1695" display="Ouvrir"/>
    <hyperlink ref="H671" r:id="rId1696" display="https://www.mere-grand-restaurant-toulouse.fr/"/>
    <hyperlink ref="P671" r:id="rId1697" display="Voir la carte"/>
    <hyperlink ref="Q671" r:id="rId1698" display="Ouvrir"/>
    <hyperlink ref="H672" r:id="rId1699" display="https://www.monviet31500.fr/"/>
    <hyperlink ref="P672" r:id="rId1700" display="Voir la carte"/>
    <hyperlink ref="Q672" r:id="rId1701" display="Ouvrir"/>
    <hyperlink ref="H673" r:id="rId1702" display="https://n88dles.fr/"/>
    <hyperlink ref="P673" r:id="rId1703" display="Voir la carte"/>
    <hyperlink ref="Q673" r:id="rId1704" display="Ouvrir"/>
    <hyperlink ref="P674" r:id="rId1705" display="Voir la carte"/>
    <hyperlink ref="Q674" r:id="rId1706" display="Ouvrir"/>
    <hyperlink ref="H675" r:id="rId1707" display="https://nakamagyudon.fr/"/>
    <hyperlink ref="P675" r:id="rId1708" display="Voir la carte"/>
    <hyperlink ref="Q675" r:id="rId1709" display="Ouvrir"/>
    <hyperlink ref="H676" r:id="rId1710" display="https://restaurantindientoulouse.com/"/>
    <hyperlink ref="P676" r:id="rId1711" display="Voir la carte"/>
    <hyperlink ref="Q676" r:id="rId1712" display="Ouvrir"/>
    <hyperlink ref="H677" r:id="rId1713" display="https://www.naraithai.fr/"/>
    <hyperlink ref="P677" r:id="rId1714" display="Voir la carte"/>
    <hyperlink ref="Q677" r:id="rId1715" display="Ouvrir"/>
    <hyperlink ref="P678" r:id="rId1716" display="Voir la carte"/>
    <hyperlink ref="Q678" r:id="rId1717" display="Ouvrir"/>
    <hyperlink ref="P679" r:id="rId1718" display="Voir la carte"/>
    <hyperlink ref="Q679" r:id="rId1719" display="Ouvrir"/>
    <hyperlink ref="H680" r:id="rId1720" display="https://newdelhi-toulouse.com/"/>
    <hyperlink ref="P680" r:id="rId1721" display="Voir la carte"/>
    <hyperlink ref="Q680" r:id="rId1722" display="Ouvrir"/>
    <hyperlink ref="H681" r:id="rId1723" display="http://newdelhi-palace.com/"/>
    <hyperlink ref="P681" r:id="rId1724" display="Voir la carte"/>
    <hyperlink ref="Q681" r:id="rId1725" display="Ouvrir"/>
    <hyperlink ref="P682" r:id="rId1726" display="Voir la carte"/>
    <hyperlink ref="Q682" r:id="rId1727" display="Ouvrir"/>
    <hyperlink ref="P683" r:id="rId1728" display="Voir la carte"/>
    <hyperlink ref="Q683" r:id="rId1729" display="Ouvrir"/>
    <hyperlink ref="P684" r:id="rId1730" display="Voir la carte"/>
    <hyperlink ref="Q684" r:id="rId1731" display="Ouvrir"/>
    <hyperlink ref="P685" r:id="rId1732" display="Voir la carte"/>
    <hyperlink ref="Q685" r:id="rId1733" display="Ouvrir"/>
    <hyperlink ref="P686" r:id="rId1734" display="Voir la carte"/>
    <hyperlink ref="Q686" r:id="rId1735" display="Ouvrir"/>
    <hyperlink ref="H687" r:id="rId1736" display="https://odomtoulouse.com/"/>
    <hyperlink ref="P687" r:id="rId1737" display="Voir la carte"/>
    <hyperlink ref="Q687" r:id="rId1738" display="Ouvrir"/>
    <hyperlink ref="H688" r:id="rId1739" display="https://www.officinagusto.fr/"/>
    <hyperlink ref="P688" r:id="rId1740" display="Voir la carte"/>
    <hyperlink ref="Q688" r:id="rId1741" display="Ouvrir"/>
    <hyperlink ref="P689" r:id="rId1742" display="Voir la carte"/>
    <hyperlink ref="Q689" r:id="rId1743" display="Ouvrir"/>
    <hyperlink ref="H690" r:id="rId1744" display="https://ohlavache.fr/"/>
    <hyperlink ref="P690" r:id="rId1745" display="Voir la carte"/>
    <hyperlink ref="Q690" r:id="rId1746" display="Ouvrir"/>
    <hyperlink ref="P691" r:id="rId1747" display="Voir la carte"/>
    <hyperlink ref="Q691" r:id="rId1748" display="Ouvrir"/>
    <hyperlink ref="P692" r:id="rId1749" display="Voir la carte"/>
    <hyperlink ref="Q692" r:id="rId1750" display="Ouvrir"/>
    <hyperlink ref="P693" r:id="rId1751" display="Voir la carte"/>
    <hyperlink ref="Q693" r:id="rId1752" display="Ouvrir"/>
    <hyperlink ref="P694" r:id="rId1753" display="Voir la carte"/>
    <hyperlink ref="Q694" r:id="rId1754" display="Ouvrir"/>
    <hyperlink ref="P695" r:id="rId1755" display="Voir la carte"/>
    <hyperlink ref="Q695" r:id="rId1756" display="Ouvrir"/>
    <hyperlink ref="P696" r:id="rId1757" display="Voir la carte"/>
    <hyperlink ref="Q696" r:id="rId1758" display="Ouvrir"/>
    <hyperlink ref="P697" r:id="rId1759" display="Voir la carte"/>
    <hyperlink ref="Q697" r:id="rId1760" display="Ouvrir"/>
    <hyperlink ref="H698" r:id="rId1761" display="https://www.facebook.com/Pachinee.Thai.Street.Food"/>
    <hyperlink ref="P698" r:id="rId1762" display="Voir la carte"/>
    <hyperlink ref="Q698" r:id="rId1763" display="Ouvrir"/>
    <hyperlink ref="P699" r:id="rId1764" display="Voir la carte"/>
    <hyperlink ref="Q699" r:id="rId1765" display="Ouvrir"/>
    <hyperlink ref="P700" r:id="rId1766" display="Voir la carte"/>
    <hyperlink ref="Q700" r:id="rId1767" display="Ouvrir"/>
    <hyperlink ref="H701" r:id="rId1768" display="http://pasteletsarrasin.fr/"/>
    <hyperlink ref="P701" r:id="rId1769" display="Voir la carte"/>
    <hyperlink ref="Q701" r:id="rId1770" display="Ouvrir"/>
    <hyperlink ref="H702" r:id="rId1771" display="http://www.patetpizz.fr"/>
    <hyperlink ref="P702" r:id="rId1772" display="Voir la carte"/>
    <hyperlink ref="Q702" r:id="rId1773" display="Ouvrir"/>
    <hyperlink ref="H703" r:id="rId1774" display="https://peppinotoulouse.com"/>
    <hyperlink ref="P703" r:id="rId1775" display="Voir la carte"/>
    <hyperlink ref="Q703" r:id="rId1776" display="Ouvrir"/>
    <hyperlink ref="P704" r:id="rId1777" display="Voir la carte"/>
    <hyperlink ref="Q704" r:id="rId1778" display="Ouvrir"/>
    <hyperlink ref="H705" display="http://www.phoquyên.com/"/>
    <hyperlink ref="P705" r:id="rId1779" display="Voir la carte"/>
    <hyperlink ref="Q705" r:id="rId1780" display="Ouvrir"/>
    <hyperlink ref="P706" r:id="rId1781" display="Voir la carte"/>
    <hyperlink ref="Q706" r:id="rId1782" display="Ouvrir"/>
    <hyperlink ref="H707" r:id="rId1783" display="https://pitaya-thaistreetfood.com/r/pitaya-toulouse-montaudran"/>
    <hyperlink ref="P707" r:id="rId1784" display="Voir la carte"/>
    <hyperlink ref="Q707" r:id="rId1785" display="Ouvrir"/>
    <hyperlink ref="H708" r:id="rId1786" display="https://pititto-toulouse.eatbu.com"/>
    <hyperlink ref="P708" r:id="rId1787" display="Voir la carte"/>
    <hyperlink ref="Q708" r:id="rId1788" display="Ouvrir"/>
    <hyperlink ref="H709" r:id="rId1789" display="https://pizz-art.net/"/>
    <hyperlink ref="P709" r:id="rId1790" display="Voir la carte"/>
    <hyperlink ref="Q709" r:id="rId1791" display="Ouvrir"/>
    <hyperlink ref="P710" r:id="rId1792" display="Voir la carte"/>
    <hyperlink ref="Q710" r:id="rId1793" display="Ouvrir"/>
    <hyperlink ref="H711" r:id="rId1794" display="https://www.pizza-arlequin.com/"/>
    <hyperlink ref="P711" r:id="rId1795" display="Voir la carte"/>
    <hyperlink ref="Q711" r:id="rId1796" display="Ouvrir"/>
    <hyperlink ref="H712" r:id="rId1797" display="https://www.pizzadimama.fr/"/>
    <hyperlink ref="P712" r:id="rId1798" display="Voir la carte"/>
    <hyperlink ref="Q712" r:id="rId1799" display="Ouvrir"/>
    <hyperlink ref="P713" r:id="rId1800" display="Voir la carte"/>
    <hyperlink ref="Q713" r:id="rId1801" display="Ouvrir"/>
    <hyperlink ref="P714" r:id="rId1802" display="Voir la carte"/>
    <hyperlink ref="Q714" r:id="rId1803" display="Ouvrir"/>
    <hyperlink ref="H715" r:id="rId1804" display="https://www.pizzahut.fr/huts/toulouse-jeanne-darc-205/"/>
    <hyperlink ref="P715" r:id="rId1805" display="Voir la carte"/>
    <hyperlink ref="Q715" r:id="rId1806" display="Ouvrir"/>
    <hyperlink ref="H716" r:id="rId1807" display="https://www.pizzahut.fr/huts/toulouse-minimes-172/"/>
    <hyperlink ref="P716" r:id="rId1808" display="Voir la carte"/>
    <hyperlink ref="Q716" r:id="rId1809" display="Ouvrir"/>
    <hyperlink ref="P717" r:id="rId1810" display="Voir la carte"/>
    <hyperlink ref="Q717" r:id="rId1811" display="Ouvrir"/>
    <hyperlink ref="H718" r:id="rId1812" display="https://www.pizza-mongelli.com/"/>
    <hyperlink ref="P718" r:id="rId1813" display="Voir la carte"/>
    <hyperlink ref="Q718" r:id="rId1814" display="Ouvrir"/>
    <hyperlink ref="P719" r:id="rId1815" display="Voir la carte"/>
    <hyperlink ref="Q719" r:id="rId1816" display="Ouvrir"/>
    <hyperlink ref="P720" r:id="rId1817" display="Voir la carte"/>
    <hyperlink ref="Q720" r:id="rId1818" display="Ouvrir"/>
    <hyperlink ref="P721" r:id="rId1819" display="Voir la carte"/>
    <hyperlink ref="Q721" r:id="rId1820" display="Ouvrir"/>
    <hyperlink ref="P722" r:id="rId1821" display="Voir la carte"/>
    <hyperlink ref="Q722" r:id="rId1822" display="Ouvrir"/>
    <hyperlink ref="H723" r:id="rId1823" display="https://www.pizzeebasta.com/"/>
    <hyperlink ref="P723" r:id="rId1824" display="Voir la carte"/>
    <hyperlink ref="Q723" r:id="rId1825" display="Ouvrir"/>
    <hyperlink ref="H724" r:id="rId1826" display="https://www.pizzeria-bambino-toulouse.com/"/>
    <hyperlink ref="P724" r:id="rId1827" display="Voir la carte"/>
    <hyperlink ref="Q724" r:id="rId1828" display="Ouvrir"/>
    <hyperlink ref="H725" r:id="rId1829" display="http://www.pizzeria-alexis.fr/"/>
    <hyperlink ref="P725" r:id="rId1830" display="Voir la carte"/>
    <hyperlink ref="Q725" r:id="rId1831" display="Ouvrir"/>
    <hyperlink ref="P726" r:id="rId1832" display="Voir la carte"/>
    <hyperlink ref="Q726" r:id="rId1833" display="Ouvrir"/>
    <hyperlink ref="P727" r:id="rId1834" display="Voir la carte"/>
    <hyperlink ref="Q727" r:id="rId1835" display="Ouvrir"/>
    <hyperlink ref="P728" r:id="rId1836" display="Voir la carte"/>
    <hyperlink ref="Q728" r:id="rId1837" display="Ouvrir"/>
    <hyperlink ref="H729" r:id="rId1838" display="https://platogourmand.fr/"/>
    <hyperlink ref="P729" r:id="rId1839" display="Voir la carte"/>
    <hyperlink ref="Q729" r:id="rId1840" display="Ouvrir"/>
    <hyperlink ref="H730" r:id="rId1841" display="https://www.poketeria.fr/"/>
    <hyperlink ref="P730" r:id="rId1842" display="Voir la carte"/>
    <hyperlink ref="Q730" r:id="rId1843" display="Ouvrir"/>
    <hyperlink ref="H731" r:id="rId1844" display="https://www.pokelab.fr/"/>
    <hyperlink ref="P731" r:id="rId1845" display="Voir la carte"/>
    <hyperlink ref="Q731" r:id="rId1846" display="Ouvrir"/>
    <hyperlink ref="H732" r:id="rId1847" display="https://www.privateaser.com/lieu/63483-potiche"/>
    <hyperlink ref="P732" r:id="rId1848" display="Voir la carte"/>
    <hyperlink ref="Q732" r:id="rId1849" display="Ouvrir"/>
    <hyperlink ref="P733" r:id="rId1850" display="Voir la carte"/>
    <hyperlink ref="Q733" r:id="rId1851" display="Ouvrir"/>
    <hyperlink ref="H734" r:id="rId1852" display="https://circus.primafamily.fr/"/>
    <hyperlink ref="P734" r:id="rId1853" display="Voir la carte"/>
    <hyperlink ref="Q734" r:id="rId1854" display="Ouvrir"/>
    <hyperlink ref="H735" r:id="rId1855" display="https://www.primafabbrica.fr/"/>
    <hyperlink ref="P735" r:id="rId1856" display="Voir la carte"/>
    <hyperlink ref="Q735" r:id="rId1857" display="Ouvrir"/>
    <hyperlink ref="H736" r:id="rId1858" display="https://lova.primafamily.fr/"/>
    <hyperlink ref="P736" r:id="rId1859" display="Voir la carte"/>
    <hyperlink ref="Q736" r:id="rId1860" display="Ouvrir"/>
    <hyperlink ref="H737" r:id="rId1861" display="https://linktr.ee/proteine.eat"/>
    <hyperlink ref="P737" r:id="rId1862" display="Voir la carte"/>
    <hyperlink ref="Q737" r:id="rId1863" display="Ouvrir"/>
    <hyperlink ref="P738" r:id="rId1864" display="Voir la carte"/>
    <hyperlink ref="Q738" r:id="rId1865" display="Ouvrir"/>
    <hyperlink ref="H739" r:id="rId1866" display="https://www.py-r.com"/>
    <hyperlink ref="P739" r:id="rId1867" display="Voir la carte"/>
    <hyperlink ref="Q739" r:id="rId1868" display="Ouvrir"/>
    <hyperlink ref="H740" r:id="rId1869" display="https://www.pepere-restaurant.fr/"/>
    <hyperlink ref="P740" r:id="rId1870" display="Voir la carte"/>
    <hyperlink ref="Q740" r:id="rId1871" display="Ouvrir"/>
    <hyperlink ref="P741" r:id="rId1872" display="Voir la carte"/>
    <hyperlink ref="Q741" r:id="rId1873" display="Ouvrir"/>
    <hyperlink ref="H742" r:id="rId1874" display="https://www.lerajasthanvilla.com/"/>
    <hyperlink ref="P742" r:id="rId1875" display="Voir la carte"/>
    <hyperlink ref="Q742" r:id="rId1876" display="Ouvrir"/>
    <hyperlink ref="H743" r:id="rId1877" display="https://ramonesramones.netlify.app/"/>
    <hyperlink ref="P743" r:id="rId1878" display="Voir la carte"/>
    <hyperlink ref="Q743" r:id="rId1879" display="Ouvrir"/>
    <hyperlink ref="H744" r:id="rId1880" display="http://www.ravigote.fr/"/>
    <hyperlink ref="P744" r:id="rId1881" display="Voir la carte"/>
    <hyperlink ref="Q744" r:id="rId1882" display="Ouvrir"/>
    <hyperlink ref="P745" r:id="rId1883" display="Voir la carte"/>
    <hyperlink ref="Q745" r:id="rId1884" display="Ouvrir"/>
    <hyperlink ref="H746" r:id="rId1885" display="https://www.reflets-toulouse.com/"/>
    <hyperlink ref="P746" r:id="rId1886" display="Voir la carte"/>
    <hyperlink ref="Q746" r:id="rId1887" display="Ouvrir"/>
    <hyperlink ref="H747" r:id="rId1888" display="https://www.saveursmusiquesdumonde.com/"/>
    <hyperlink ref="P747" r:id="rId1889" display="Voir la carte"/>
    <hyperlink ref="Q747" r:id="rId1890" display="Ouvrir"/>
    <hyperlink ref="P748" r:id="rId1891" display="Voir la carte"/>
    <hyperlink ref="Q748" r:id="rId1892" display="Ouvrir"/>
    <hyperlink ref="P749" r:id="rId1893" display="Voir la carte"/>
    <hyperlink ref="Q749" r:id="rId1894" display="Ouvrir"/>
    <hyperlink ref="P750" r:id="rId1895" display="Voir la carte"/>
    <hyperlink ref="Q750" r:id="rId1896" display="Ouvrir"/>
    <hyperlink ref="P751" r:id="rId1897" display="Voir la carte"/>
    <hyperlink ref="Q751" r:id="rId1898" display="Ouvrir"/>
    <hyperlink ref="H752" r:id="rId1899" display="https://www.mordus-resto.fr/"/>
    <hyperlink ref="P752" r:id="rId1900" display="Voir la carte"/>
    <hyperlink ref="Q752" r:id="rId1901" display="Ouvrir"/>
    <hyperlink ref="P753" r:id="rId1902" display="Voir la carte"/>
    <hyperlink ref="Q753" r:id="rId1903" display="Ouvrir"/>
    <hyperlink ref="P754" r:id="rId1904" display="Voir la carte"/>
    <hyperlink ref="Q754" r:id="rId1905" display="Ouvrir"/>
    <hyperlink ref="P755" r:id="rId1906" display="Voir la carte"/>
    <hyperlink ref="Q755" r:id="rId1907" display="Ouvrir"/>
    <hyperlink ref="H756" r:id="rId1908" display="https://www.restaurant-emile.com/"/>
    <hyperlink ref="P756" r:id="rId1909" display="Voir la carte"/>
    <hyperlink ref="Q756" r:id="rId1910" display="Ouvrir"/>
    <hyperlink ref="H757" r:id="rId1911" display="https://www.crous-toulouse.fr/restaurant/resto-u-envt/"/>
    <hyperlink ref="P757" r:id="rId1912" display="Voir la carte"/>
    <hyperlink ref="Q757" r:id="rId1913" display="Ouvrir"/>
    <hyperlink ref="H758" r:id="rId1914" display="https://www.crous-toulouse.fr/restaurant/resto-u-insa/"/>
    <hyperlink ref="P758" r:id="rId1915" display="Voir la carte"/>
    <hyperlink ref="Q758" r:id="rId1916" display="Ouvrir"/>
    <hyperlink ref="H759" r:id="rId1917" display="https://www.crous-toulouse.fr/restaurant/resto-u-le-canal-2/"/>
    <hyperlink ref="P759" r:id="rId1918" display="Voir la carte"/>
    <hyperlink ref="Q759" r:id="rId1919" display="Ouvrir"/>
    <hyperlink ref="H760" r:id="rId1920" display="https://www.crous-toulouse.fr/restaurant/resto-u-le-theoreme/"/>
    <hyperlink ref="P760" r:id="rId1921" display="Voir la carte"/>
    <hyperlink ref="Q760" r:id="rId1922" display="Ouvrir"/>
    <hyperlink ref="P761" r:id="rId1923" display="Voir la carte"/>
    <hyperlink ref="Q761" r:id="rId1924" display="Ouvrir"/>
    <hyperlink ref="P762" r:id="rId1925" display="Voir la carte"/>
    <hyperlink ref="Q762" r:id="rId1926" display="Ouvrir"/>
    <hyperlink ref="P763" r:id="rId1927" display="Voir la carte"/>
    <hyperlink ref="Q763" r:id="rId1928" display="Ouvrir"/>
    <hyperlink ref="H764" r:id="rId1929" display="https://royalbuffet.fr/toulouse-atlanta/"/>
    <hyperlink ref="P764" r:id="rId1930" display="Voir la carte"/>
    <hyperlink ref="Q764" r:id="rId1931" display="Ouvrir"/>
    <hyperlink ref="H765" r:id="rId1932" display="https://www.royal-buffet-toulouse.com/"/>
    <hyperlink ref="P765" r:id="rId1933" display="Voir la carte"/>
    <hyperlink ref="Q765" r:id="rId1934" display="Ouvrir"/>
    <hyperlink ref="H766" r:id="rId1935" display="https://www.royalbuffet.fr/"/>
    <hyperlink ref="P766" r:id="rId1936" display="Voir la carte"/>
    <hyperlink ref="Q766" r:id="rId1937" display="Ouvrir"/>
    <hyperlink ref="P767" r:id="rId1938" display="Voir la carte"/>
    <hyperlink ref="Q767" r:id="rId1939" display="Ouvrir"/>
    <hyperlink ref="P768" r:id="rId1940" display="Voir la carte"/>
    <hyperlink ref="Q768" r:id="rId1941" display="Ouvrir"/>
    <hyperlink ref="P769" r:id="rId1942" display="Voir la carte"/>
    <hyperlink ref="Q769" r:id="rId1943" display="Ouvrir"/>
    <hyperlink ref="P770" r:id="rId1944" display="Voir la carte"/>
    <hyperlink ref="Q770" r:id="rId1945" display="Ouvrir"/>
    <hyperlink ref="H771" r:id="rId1946" display="https://www.sakuraya.fr/"/>
    <hyperlink ref="P771" r:id="rId1947" display="Voir la carte"/>
    <hyperlink ref="Q771" r:id="rId1948" display="Ouvrir"/>
    <hyperlink ref="H772" r:id="rId1949" display="https://santosha-streetfood.com/fr/etablissement/santosha-toulouse-6445"/>
    <hyperlink ref="P772" r:id="rId1950" display="Voir la carte"/>
    <hyperlink ref="Q772" r:id="rId1951" display="Ouvrir"/>
    <hyperlink ref="H773" r:id="rId1952" display="https://www.restaurants-sapiens.com/"/>
    <hyperlink ref="P773" r:id="rId1953" display="Voir la carte"/>
    <hyperlink ref="Q773" r:id="rId1954" display="Ouvrir"/>
    <hyperlink ref="H774" r:id="rId1955" display="https://www.ubereats.com/fr/store/pizzeria-sapori-di-italia/Vr8DDbI2RF6rSkNAbRQPvA?diningMode=PICKUP"/>
    <hyperlink ref="P774" r:id="rId1956" display="Voir la carte"/>
    <hyperlink ref="Q774" r:id="rId1957" display="Ouvrir"/>
    <hyperlink ref="H775" r:id="rId1958" display="https://restaurant-sarbacane.fr/"/>
    <hyperlink ref="P775" r:id="rId1959" display="Voir la carte"/>
    <hyperlink ref="Q775" r:id="rId1960" display="Ouvrir"/>
    <hyperlink ref="H776" r:id="rId1961" display="https://sashimifood.my.canva.site/"/>
    <hyperlink ref="P776" r:id="rId1962" display="Voir la carte"/>
    <hyperlink ref="Q776" r:id="rId1963" display="Ouvrir"/>
    <hyperlink ref="P777" r:id="rId1964" display="Voir la carte"/>
    <hyperlink ref="Q777" r:id="rId1965" display="Ouvrir"/>
    <hyperlink ref="H778" r:id="rId1966" display="https://www.saveursbasilic.com/"/>
    <hyperlink ref="P778" r:id="rId1967" display="Voir la carte"/>
    <hyperlink ref="Q778" r:id="rId1968" display="Ouvrir"/>
    <hyperlink ref="P779" r:id="rId1969" display="Voir la carte"/>
    <hyperlink ref="Q779" r:id="rId1970" display="Ouvrir"/>
    <hyperlink ref="P780" r:id="rId1971" display="Voir la carte"/>
    <hyperlink ref="Q780" r:id="rId1972" display="Ouvrir"/>
    <hyperlink ref="H781" r:id="rId1973" display="https://www.restaurant-sept.fr"/>
    <hyperlink ref="P781" r:id="rId1974" display="Voir la carte"/>
    <hyperlink ref="Q781" r:id="rId1975" display="Ouvrir"/>
    <hyperlink ref="H782" r:id="rId1976" display="https://www.sevenline.fr/bar-restaurant/"/>
    <hyperlink ref="P782" r:id="rId1977" display="Voir la carte"/>
    <hyperlink ref="Q782" r:id="rId1978" display="Ouvrir"/>
    <hyperlink ref="H783" r:id="rId1979" display="https://restaurant-shalizar.com/"/>
    <hyperlink ref="P783" r:id="rId1980" display="Voir la carte"/>
    <hyperlink ref="Q783" r:id="rId1981" display="Ouvrir"/>
    <hyperlink ref="H784" r:id="rId1982" display="https://sham-restaurant-toulouse.eatbu.com"/>
    <hyperlink ref="P784" r:id="rId1983" display="Voir la carte"/>
    <hyperlink ref="Q784" r:id="rId1984" display="Ouvrir"/>
    <hyperlink ref="P785" r:id="rId1985" display="Voir la carte"/>
    <hyperlink ref="Q785" r:id="rId1986" display="Ouvrir"/>
    <hyperlink ref="H786" r:id="rId1987" display="https://shinyaramen.fr/"/>
    <hyperlink ref="P786" r:id="rId1988" display="Voir la carte"/>
    <hyperlink ref="Q786" r:id="rId1989" display="Ouvrir"/>
    <hyperlink ref="P787" r:id="rId1990" display="Voir la carte"/>
    <hyperlink ref="Q787" r:id="rId1991" display="Ouvrir"/>
    <hyperlink ref="H788" r:id="rId1992" display="https://www.signorizza.com"/>
    <hyperlink ref="P788" r:id="rId1993" display="Voir la carte"/>
    <hyperlink ref="Q788" r:id="rId1994" display="Ouvrir"/>
    <hyperlink ref="H789" r:id="rId1995" display="https://www.silexetfourchette.com/"/>
    <hyperlink ref="P789" r:id="rId1996" display="Voir la carte"/>
    <hyperlink ref="Q789" r:id="rId1997" display="Ouvrir"/>
    <hyperlink ref="H790" r:id="rId1998" display="https://sixta-toulouse.fr/"/>
    <hyperlink ref="P790" r:id="rId1999" display="Voir la carte"/>
    <hyperlink ref="Q790" r:id="rId2000" display="Ouvrir"/>
    <hyperlink ref="H791" r:id="rId2001" display="https://www.sixty-2.fr/fr"/>
    <hyperlink ref="P791" r:id="rId2002" display="Voir la carte"/>
    <hyperlink ref="Q791" r:id="rId2003" display="Ouvrir"/>
    <hyperlink ref="P792" r:id="rId2004" display="Voir la carte"/>
    <hyperlink ref="Q792" r:id="rId2005" display="Ouvrir"/>
    <hyperlink ref="P793" r:id="rId2006" display="Voir la carte"/>
    <hyperlink ref="Q793" r:id="rId2007" display="Ouvrir"/>
    <hyperlink ref="P794" r:id="rId2008" display="Voir la carte"/>
    <hyperlink ref="Q794" r:id="rId2009" display="Ouvrir"/>
    <hyperlink ref="P795" r:id="rId2010" display="Voir la carte"/>
    <hyperlink ref="Q795" r:id="rId2011" display="Ouvrir"/>
    <hyperlink ref="H796" r:id="rId2012" display="https://www.solides.fr/"/>
    <hyperlink ref="P796" r:id="rId2013" display="Voir la carte"/>
    <hyperlink ref="Q796" r:id="rId2014" display="Ouvrir"/>
    <hyperlink ref="P797" r:id="rId2015" display="Voir la carte"/>
    <hyperlink ref="Q797" r:id="rId2016" display="Ouvrir"/>
    <hyperlink ref="H798" r:id="rId2017" display="https://www.sorami-burger.fr"/>
    <hyperlink ref="P798" r:id="rId2018" display="Voir la carte"/>
    <hyperlink ref="Q798" r:id="rId2019" display="Ouvrir"/>
    <hyperlink ref="H799" r:id="rId2020" display="https://soulkitchen-resto.fr/"/>
    <hyperlink ref="P799" r:id="rId2021" display="Voir la carte"/>
    <hyperlink ref="Q799" r:id="rId2022" display="Ouvrir"/>
    <hyperlink ref="H800" r:id="rId2023" display="https://www.restaurantsourcetlse.com/"/>
    <hyperlink ref="P800" r:id="rId2024" display="Voir la carte"/>
    <hyperlink ref="Q800" r:id="rId2025" display="Ouvrir"/>
    <hyperlink ref="P801" r:id="rId2026" display="Voir la carte"/>
    <hyperlink ref="Q801" r:id="rId2027" display="Ouvrir"/>
    <hyperlink ref="P802" r:id="rId2028" display="Voir la carte"/>
    <hyperlink ref="Q802" r:id="rId2029" display="Ouvrir"/>
    <hyperlink ref="P803" r:id="rId2030" display="Voir la carte"/>
    <hyperlink ref="Q803" r:id="rId2031" display="Ouvrir"/>
    <hyperlink ref="P804" r:id="rId2032" display="Voir la carte"/>
    <hyperlink ref="Q804" r:id="rId2033" display="Ouvrir"/>
    <hyperlink ref="P805" r:id="rId2034" display="Voir la carte"/>
    <hyperlink ref="Q805" r:id="rId2035" display="Ouvrir"/>
    <hyperlink ref="H806" r:id="rId2036" display="https://www.susanoofrance.com"/>
    <hyperlink ref="P806" r:id="rId2037" display="Voir la carte"/>
    <hyperlink ref="Q806" r:id="rId2038" display="Ouvrir"/>
    <hyperlink ref="P807" r:id="rId2039" display="Voir la carte"/>
    <hyperlink ref="Q807" r:id="rId2040" display="Ouvrir"/>
    <hyperlink ref="H808" r:id="rId2041" display="https://sushikarehouse.com/"/>
    <hyperlink ref="P808" r:id="rId2042" display="Voir la carte"/>
    <hyperlink ref="Q808" r:id="rId2043" display="Ouvrir"/>
    <hyperlink ref="P809" r:id="rId2044" display="Voir la carte"/>
    <hyperlink ref="Q809" r:id="rId2045" display="Ouvrir"/>
    <hyperlink ref="P810" r:id="rId2046" display="Voir la carte"/>
    <hyperlink ref="Q810" r:id="rId2047" display="Ouvrir"/>
    <hyperlink ref="H811" r:id="rId2048" display="https://www.sushiyaki.net/"/>
    <hyperlink ref="P811" r:id="rId2049" display="Voir la carte"/>
    <hyperlink ref="Q811" r:id="rId2050" display="Ouvrir"/>
    <hyperlink ref="H812" r:id="rId2051" display="http://scomsaj.com/"/>
    <hyperlink ref="P812" r:id="rId2052" display="Voir la carte"/>
    <hyperlink ref="Q812" r:id="rId2053" display="Ouvrir"/>
    <hyperlink ref="H813" r:id="rId2054" display="http://seoulrestaurantcoreen.com/"/>
    <hyperlink ref="P813" r:id="rId2055" display="Voir la carte"/>
    <hyperlink ref="Q813" r:id="rId2056" display="Ouvrir"/>
    <hyperlink ref="H814" r:id="rId2057" display="https://tantemargit.eatbu.com/?lang=fr"/>
    <hyperlink ref="P814" r:id="rId2058" display="Voir la carte"/>
    <hyperlink ref="Q814" r:id="rId2059" display="Ouvrir"/>
    <hyperlink ref="P815" r:id="rId2060" display="Voir la carte"/>
    <hyperlink ref="Q815" r:id="rId2061" display="Ouvrir"/>
    <hyperlink ref="H816" r:id="rId2062" display="https://www.terra-tolosa.fr/"/>
    <hyperlink ref="P816" r:id="rId2063" display="Voir la carte"/>
    <hyperlink ref="Q816" r:id="rId2064" display="Ouvrir"/>
    <hyperlink ref="H817" r:id="rId2065" display="https://thaithaisushi.wordpress.com/"/>
    <hyperlink ref="P817" r:id="rId2066" display="Voir la carte"/>
    <hyperlink ref="Q817" r:id="rId2067" display="Ouvrir"/>
    <hyperlink ref="P818" r:id="rId2068" display="Voir la carte"/>
    <hyperlink ref="Q818" r:id="rId2069" display="Ouvrir"/>
    <hyperlink ref="H819" r:id="rId2070" display="https://fusionbar.fr"/>
    <hyperlink ref="P819" r:id="rId2071" display="Voir la carte"/>
    <hyperlink ref="Q819" r:id="rId2072" display="Ouvrir"/>
    <hyperlink ref="P820" r:id="rId2073" display="Voir la carte"/>
    <hyperlink ref="Q820" r:id="rId2074" display="Ouvrir"/>
    <hyperlink ref="H821" r:id="rId2075" display="https://www.thekanteen.fr/"/>
    <hyperlink ref="P821" r:id="rId2076" display="Voir la carte"/>
    <hyperlink ref="Q821" r:id="rId2077" display="Ouvrir"/>
    <hyperlink ref="P822" r:id="rId2078" display="Voir la carte"/>
    <hyperlink ref="Q822" r:id="rId2079" display="Ouvrir"/>
    <hyperlink ref="H823" r:id="rId2080" display="https://tinospizza.eatbu.com/"/>
    <hyperlink ref="P823" r:id="rId2081" display="Voir la carte"/>
    <hyperlink ref="Q823" r:id="rId2082" display="Ouvrir"/>
    <hyperlink ref="H824" r:id="rId2083" display="https://www.tokyobento.fr/"/>
    <hyperlink ref="P824" r:id="rId2084" display="Voir la carte"/>
    <hyperlink ref="Q824" r:id="rId2085" display="Ouvrir"/>
    <hyperlink ref="P825" r:id="rId2086" display="Voir la carte"/>
    <hyperlink ref="Q825" r:id="rId2087" display="Ouvrir"/>
    <hyperlink ref="H826" r:id="rId2088" display="https://www.tommys-cafe.com/news-tommys-city-diner-toulouse/"/>
    <hyperlink ref="P826" r:id="rId2089" display="Voir la carte"/>
    <hyperlink ref="Q826" r:id="rId2090" display="Ouvrir"/>
    <hyperlink ref="H827" r:id="rId2091" display="https://toroya.fr/"/>
    <hyperlink ref="P827" r:id="rId2092" display="Voir la carte"/>
    <hyperlink ref="Q827" r:id="rId2093" display="Ouvrir"/>
    <hyperlink ref="H828" r:id="rId2094" display="https://toulousepastaclub.com/"/>
    <hyperlink ref="P828" r:id="rId2095" display="Voir la carte"/>
    <hyperlink ref="Q828" r:id="rId2096" display="Ouvrir"/>
    <hyperlink ref="H829" r:id="rId2097" display="https://tourneflam.wordpress.com/"/>
    <hyperlink ref="P829" r:id="rId2098" display="Voir la carte"/>
    <hyperlink ref="Q829" r:id="rId2099" display="Ouvrir"/>
    <hyperlink ref="H830" r:id="rId2100" display="https://www.troika-royale.fr/"/>
    <hyperlink ref="P830" r:id="rId2101" display="Voir la carte"/>
    <hyperlink ref="Q830" r:id="rId2102" display="Ouvrir"/>
    <hyperlink ref="P831" r:id="rId2103" display="Voir la carte"/>
    <hyperlink ref="Q831" r:id="rId2104" display="Ouvrir"/>
    <hyperlink ref="P832" r:id="rId2105" display="Voir la carte"/>
    <hyperlink ref="Q832" r:id="rId2106" display="Ouvrir"/>
    <hyperlink ref="H833" r:id="rId2107" display="https://turbine-bazacle.fr/"/>
    <hyperlink ref="P833" r:id="rId2108" display="Voir la carte"/>
    <hyperlink ref="Q833" r:id="rId2109" display="Ouvrir"/>
    <hyperlink ref="H834" r:id="rId2110" display="https://restaurant-tetenlair.com/"/>
    <hyperlink ref="P834" r:id="rId2111" display="Voir la carte"/>
    <hyperlink ref="Q834" r:id="rId2112" display="Ouvrir"/>
    <hyperlink ref="P835" r:id="rId2113" display="Voir la carte"/>
    <hyperlink ref="Q835" r:id="rId2114" display="Ouvrir"/>
    <hyperlink ref="H836" r:id="rId2115" display="https://www.unetableadeux.fr/"/>
    <hyperlink ref="P836" r:id="rId2116" display="Voir la carte"/>
    <hyperlink ref="Q836" r:id="rId2117" display="Ouvrir"/>
    <hyperlink ref="P837" r:id="rId2118" display="Voir la carte"/>
    <hyperlink ref="Q837" r:id="rId2119" display="Ouvrir"/>
    <hyperlink ref="P838" r:id="rId2120" display="Voir la carte"/>
    <hyperlink ref="Q838" r:id="rId2121" display="Ouvrir"/>
    <hyperlink ref="H839" r:id="rId2122" display="https://www.va-fanciullo.fr/fr/"/>
    <hyperlink ref="P839" r:id="rId2123" display="Voir la carte"/>
    <hyperlink ref="Q839" r:id="rId2124" display="Ouvrir"/>
    <hyperlink ref="H840" r:id="rId2125" display="https://www.leclandesmamma.com/valentina-toulouse/"/>
    <hyperlink ref="P840" r:id="rId2126" display="Voir la carte"/>
    <hyperlink ref="Q840" r:id="rId2127" display="Ouvrir"/>
    <hyperlink ref="H841" r:id="rId2128" display="https://valentinosmashhouse.fr/"/>
    <hyperlink ref="P841" r:id="rId2129" display="Voir la carte"/>
    <hyperlink ref="Q841" r:id="rId2130" display="Ouvrir"/>
    <hyperlink ref="P842" r:id="rId2131" display="Voir la carte"/>
    <hyperlink ref="Q842" r:id="rId2132" display="Ouvrir"/>
    <hyperlink ref="H843" r:id="rId2133" display="https://m.facebook.com/VasinicoToulouse/?locale=fr_FR&amp;_rdr"/>
    <hyperlink ref="P843" r:id="rId2134" display="Voir la carte"/>
    <hyperlink ref="Q843" r:id="rId2135" display="Ouvrir"/>
    <hyperlink ref="P844" r:id="rId2136" display="Voir la carte"/>
    <hyperlink ref="Q844" r:id="rId2137" display="Ouvrir"/>
    <hyperlink ref="H845" r:id="rId2138" display="https://www.restaurant-ventsdest.fr/"/>
    <hyperlink ref="P845" r:id="rId2139" display="Voir la carte"/>
    <hyperlink ref="Q845" r:id="rId2140" display="Ouvrir"/>
    <hyperlink ref="H846" r:id="rId2141" display="https://www.vesubio.fr/"/>
    <hyperlink ref="P846" r:id="rId2142" display="Voir la carte"/>
    <hyperlink ref="Q846" r:id="rId2143" display="Ouvrir"/>
    <hyperlink ref="H847" r:id="rId2144" display="https://restaurant-viet-an.com/"/>
    <hyperlink ref="P847" r:id="rId2145" display="Voir la carte"/>
    <hyperlink ref="Q847" r:id="rId2146" display="Ouvrir"/>
    <hyperlink ref="P848" r:id="rId2147" display="Voir la carte"/>
    <hyperlink ref="Q848" r:id="rId2148" display="Ouvrir"/>
    <hyperlink ref="P849" r:id="rId2149" display="Voir la carte"/>
    <hyperlink ref="Q849" r:id="rId2150" display="Ouvrir"/>
    <hyperlink ref="H850" r:id="rId2151" display="https://pizzeria-vitano.fr/"/>
    <hyperlink ref="P850" r:id="rId2152" display="Voir la carte"/>
    <hyperlink ref="Q850" r:id="rId2153" display="Ouvrir"/>
    <hyperlink ref="H851" r:id="rId2154" display="https://vivants-toulouse.com/"/>
    <hyperlink ref="P851" r:id="rId2155" display="Voir la carte"/>
    <hyperlink ref="Q851" r:id="rId2156" display="Ouvrir"/>
    <hyperlink ref="P852" r:id="rId2157" display="Voir la carte"/>
    <hyperlink ref="Q852" r:id="rId2158" display="Ouvrir"/>
    <hyperlink ref="H853" r:id="rId2159" display="https://www.volfoni.fr/nos-restaurants/volfoni-toulouse"/>
    <hyperlink ref="P853" r:id="rId2160" display="Voir la carte"/>
    <hyperlink ref="Q853" r:id="rId2161" display="Ouvrir"/>
    <hyperlink ref="H854" r:id="rId2162" display="https://wagyuya.fr/"/>
    <hyperlink ref="P854" r:id="rId2163" display="Voir la carte"/>
    <hyperlink ref="Q854" r:id="rId2164" display="Ouvrir"/>
    <hyperlink ref="P855" r:id="rId2165" display="Voir la carte"/>
    <hyperlink ref="Q855" r:id="rId2166" display="Ouvrir"/>
    <hyperlink ref="P856" r:id="rId2167" display="Voir la carte"/>
    <hyperlink ref="Q856" r:id="rId2168" display="Ouvrir"/>
    <hyperlink ref="P857" r:id="rId2169" display="Voir la carte"/>
    <hyperlink ref="Q857" r:id="rId2170" display="Ouvrir"/>
    <hyperlink ref="P858" r:id="rId2171" display="Voir la carte"/>
    <hyperlink ref="Q858" r:id="rId2172" display="Ouvrir"/>
    <hyperlink ref="H859" r:id="rId2173" display="https://www.yazcantine.com"/>
    <hyperlink ref="P859" r:id="rId2174" display="Voir la carte"/>
    <hyperlink ref="Q859" r:id="rId2175" display="Ouvrir"/>
    <hyperlink ref="H860" r:id="rId2176" display="http://www.restoyeti.com/"/>
    <hyperlink ref="P860" r:id="rId2177" display="Voir la carte"/>
    <hyperlink ref="Q860" r:id="rId2178" display="Ouvrir"/>
    <hyperlink ref="H861" r:id="rId2179" location="/" display="https://www.yokosushi.fr/#/"/>
    <hyperlink ref="P861" r:id="rId2180" display="Voir la carte"/>
    <hyperlink ref="Q861" r:id="rId2181" display="Ouvrir"/>
    <hyperlink ref="H862" r:id="rId2182" display="https://www.yokosushi.fr"/>
    <hyperlink ref="P862" r:id="rId2183" display="Voir la carte"/>
    <hyperlink ref="Q862" r:id="rId2184" display="Ouvrir"/>
    <hyperlink ref="H863" r:id="rId2185" display="http://www.sushiyoshi.fr/"/>
    <hyperlink ref="P863" r:id="rId2186" display="Voir la carte"/>
    <hyperlink ref="Q863" r:id="rId2187" display="Ouvrir"/>
    <hyperlink ref="H864" r:id="rId2188" display="https://youco-toulouse.eatbu.com/"/>
    <hyperlink ref="P864" r:id="rId2189" display="Voir la carte"/>
    <hyperlink ref="Q864" r:id="rId2190" display="Ouvrir"/>
    <hyperlink ref="P865" r:id="rId2191" display="Voir la carte"/>
    <hyperlink ref="Q865" r:id="rId2192" display="Ouvrir"/>
    <hyperlink ref="H866" r:id="rId2193" display="https://yujoramen.com/"/>
    <hyperlink ref="P866" r:id="rId2194" display="Voir la carte"/>
    <hyperlink ref="Q866" r:id="rId2195" display="Ouvrir"/>
    <hyperlink ref="H867" r:id="rId2196" display="https://yukikorestaurant.wixsite.com/yukiko"/>
    <hyperlink ref="P867" r:id="rId2197" display="Voir la carte"/>
    <hyperlink ref="Q867" r:id="rId2198" display="Ouvrir"/>
    <hyperlink ref="H868" r:id="rId2199" display="https://www.yujoramen.com/"/>
    <hyperlink ref="P868" r:id="rId2200" display="Voir la carte"/>
    <hyperlink ref="Q868" r:id="rId2201" display="Ouvrir"/>
    <hyperlink ref="H869" r:id="rId2202" display="https://www.zen-sai.com/"/>
    <hyperlink ref="P869" r:id="rId2203" display="Voir la carte"/>
    <hyperlink ref="Q869" r:id="rId2204" display="Ouvrir"/>
    <hyperlink ref="H870" r:id="rId2205" display="https://www.zenazia.com/"/>
    <hyperlink ref="P870" r:id="rId2206" display="Voir la carte"/>
    <hyperlink ref="Q870" r:id="rId2207" display="Ouvrir"/>
    <hyperlink ref="H871" r:id="rId2208" display="https://traverseesafricaines.com/annuaires/liste-artistes/gastronomes/item/zokwezo.html"/>
    <hyperlink ref="P871" r:id="rId2209" display="Voir la carte"/>
    <hyperlink ref="Q871" r:id="rId2210" display="Ouvrir"/>
    <hyperlink ref="P872" r:id="rId2211" display="Voir la carte"/>
    <hyperlink ref="Q872" r:id="rId2212" display="Ouvrir"/>
    <hyperlink ref="P873" r:id="rId2213" display="Voir la carte"/>
    <hyperlink ref="Q873" r:id="rId2214" display="Ouvrir"/>
    <hyperlink ref="P874" r:id="rId2215" display="Voir la carte"/>
    <hyperlink ref="Q874" r:id="rId2216" display="Ouvrir"/>
    <hyperlink ref="P875" r:id="rId2217" display="Voir la carte"/>
    <hyperlink ref="Q875" r:id="rId2218" display="Ouvrir"/>
    <hyperlink ref="H876" r:id="rId2219" display="https://obali.fr/"/>
    <hyperlink ref="P876" r:id="rId2220" display="Voir la carte"/>
    <hyperlink ref="Q876" r:id="rId2221" display="Ouvrir"/>
    <hyperlink ref="P877" r:id="rId2222" display="Voir la carte"/>
    <hyperlink ref="Q877" r:id="rId2223" display="Ouvrir"/>
    <hyperlink ref="P878" r:id="rId2224" display="Voir la carte"/>
    <hyperlink ref="Q878" r:id="rId2225" display="Ouvrir"/>
    <hyperlink ref="H879" r:id="rId2226" display="https://www.ocuizin.fr/"/>
    <hyperlink ref="P879" r:id="rId2227" display="Voir la carte"/>
    <hyperlink ref="Q879" r:id="rId2228" display="Ouvrir"/>
    <hyperlink ref="H880" r:id="rId2229" display="https://www.ojardingourmand.com"/>
    <hyperlink ref="P880" r:id="rId2230" display="Voir la carte"/>
    <hyperlink ref="Q880" r:id="rId2231" display="Ouvrir"/>
    <hyperlink ref="H881" r:id="rId2232" display="https://brasserie-o-mana.fr"/>
    <hyperlink ref="P881" r:id="rId2233" display="Voir la carte"/>
    <hyperlink ref="Q881" r:id="rId2234" display="Ouvrir"/>
    <hyperlink ref="P882" r:id="rId2235" display="Voir la carte"/>
    <hyperlink ref="Q882" r:id="rId2236" display="Ouvrir"/>
    <hyperlink ref="P883" r:id="rId2237" display="Voir la carte"/>
    <hyperlink ref="Q883" r:id="rId2238" display="Ouvrir"/>
    <hyperlink ref="H884" r:id="rId2239" display="https://osaveursdorees.eatbu.com"/>
    <hyperlink ref="P884" r:id="rId2240" display="Voir la carte"/>
    <hyperlink ref="Q884" r:id="rId2241" display="Ouvrir"/>
    <hyperlink ref="H885" r:id="rId2242" display="https://www.ozenasianfood.fr/"/>
    <hyperlink ref="P885" r:id="rId2243" display="Voir la carte"/>
    <hyperlink ref="Q885" r:id="rId2244" display="Ouvrir"/>
    <hyperlink ref="H886" r:id="rId2245" display="https://www.asian-orchidee.fr/"/>
    <hyperlink ref="P886" r:id="rId2246" display="Voir la carte"/>
    <hyperlink ref="Q886" r:id="rId2247" display="Ouvrir"/>
    <hyperlink ref="P887" r:id="rId2248" display="Voir la carte"/>
    <hyperlink ref="Q887" r:id="rId2249" display="Ouvrir"/>
    <hyperlink ref="P888" r:id="rId2250" display="Voir la carte"/>
    <hyperlink ref="Q888" r:id="rId2251" display="Ouvrir"/>
    <hyperlink ref="H889" r:id="rId2252" display="https://colomiers.veocinemas.fr/bistrot-veo/"/>
    <hyperlink ref="P889" r:id="rId2253" display="Voir la carte"/>
    <hyperlink ref="Q889" r:id="rId2254" display="Ouvrir"/>
    <hyperlink ref="P890" r:id="rId2255" display="Voir la carte"/>
    <hyperlink ref="Q890" r:id="rId2256" display="Ouvrir"/>
    <hyperlink ref="P891" r:id="rId2257" display="Voir la carte"/>
    <hyperlink ref="Q891" r:id="rId2258" display="Ouvrir"/>
    <hyperlink ref="P892" r:id="rId2259" display="Voir la carte"/>
    <hyperlink ref="Q892" r:id="rId2260" display="Ouvrir"/>
    <hyperlink ref="P893" r:id="rId2261" display="Voir la carte"/>
    <hyperlink ref="Q893" r:id="rId2262" display="Ouvrir"/>
    <hyperlink ref="P894" r:id="rId2263" display="Voir la carte"/>
    <hyperlink ref="Q894" r:id="rId2264" display="Ouvrir"/>
    <hyperlink ref="P895" r:id="rId2265" display="Voir la carte"/>
    <hyperlink ref="Q895" r:id="rId2266" display="Ouvrir"/>
    <hyperlink ref="H896" r:id="rId2267" display="http://friendsauberge.com/friendlyauberge2.html"/>
    <hyperlink ref="P896" r:id="rId2268" display="Voir la carte"/>
    <hyperlink ref="Q896" r:id="rId2269" display="Ouvrir"/>
    <hyperlink ref="H897" r:id="rId2270" display="http://www.gindalle.fr"/>
    <hyperlink ref="P897" r:id="rId2271" display="Voir la carte"/>
    <hyperlink ref="Q897" r:id="rId2272" display="Ouvrir"/>
    <hyperlink ref="P898" r:id="rId2273" display="Voir la carte"/>
    <hyperlink ref="Q898" r:id="rId2274" display="Ouvrir"/>
    <hyperlink ref="P899" r:id="rId2275" display="Voir la carte"/>
    <hyperlink ref="Q899" r:id="rId2276" display="Ouvrir"/>
    <hyperlink ref="H900" r:id="rId2277" display="https://www.brasserie-du-carre-vert.fr/"/>
    <hyperlink ref="P900" r:id="rId2278" display="Voir la carte"/>
    <hyperlink ref="Q900" r:id="rId2279" display="Ouvrir"/>
    <hyperlink ref="P901" r:id="rId2280" display="Voir la carte"/>
    <hyperlink ref="Q901" r:id="rId2281" display="Ouvrir"/>
    <hyperlink ref="H902" r:id="rId2282" display="https://www.canardsurletoit.com/"/>
    <hyperlink ref="P902" r:id="rId2283" display="Voir la carte"/>
    <hyperlink ref="Q902" r:id="rId2284" display="Ouvrir"/>
    <hyperlink ref="P903" r:id="rId2285" display="Voir la carte"/>
    <hyperlink ref="Q903" r:id="rId2286" display="Ouvrir"/>
    <hyperlink ref="P904" r:id="rId2287" display="Voir la carte"/>
    <hyperlink ref="Q904" r:id="rId2288" display="Ouvrir"/>
    <hyperlink ref="P905" r:id="rId2289" display="Voir la carte"/>
    <hyperlink ref="Q905" r:id="rId2290" display="Ouvrir"/>
    <hyperlink ref="P906" r:id="rId2291" display="Voir la carte"/>
    <hyperlink ref="Q906" r:id="rId2292" display="Ouvrir"/>
    <hyperlink ref="P907" r:id="rId2293" display="Voir la carte"/>
    <hyperlink ref="Q907" r:id="rId2294" display="Ouvrir"/>
    <hyperlink ref="P908" r:id="rId2295" display="Voir la carte"/>
    <hyperlink ref="Q908" r:id="rId2296" display="Ouvrir"/>
    <hyperlink ref="P909" r:id="rId2297" display="Voir la carte"/>
    <hyperlink ref="Q909" r:id="rId2298" display="Ouvrir"/>
    <hyperlink ref="P910" r:id="rId2299" display="Voir la carte"/>
    <hyperlink ref="Q910" r:id="rId2300" display="Ouvrir"/>
    <hyperlink ref="H911" r:id="rId2301" display="https://maisonpellestorveyrier.com/"/>
    <hyperlink ref="P911" r:id="rId2302" display="Voir la carte"/>
    <hyperlink ref="Q911" r:id="rId2303" display="Ouvrir"/>
    <hyperlink ref="P912" r:id="rId2304" display="Voir la carte"/>
    <hyperlink ref="Q912" r:id="rId2305" display="Ouvrir"/>
    <hyperlink ref="H913" r:id="rId2306" display="https://www.minjat.com"/>
    <hyperlink ref="P913" r:id="rId2307" display="Voir la carte"/>
    <hyperlink ref="Q913" r:id="rId2308" display="Ouvrir"/>
    <hyperlink ref="H914" r:id="rId2309" display="https://restaurantoselfou.fr/"/>
    <hyperlink ref="P914" r:id="rId2310" display="Voir la carte"/>
    <hyperlink ref="Q914" r:id="rId2311" display="Ouvrir"/>
    <hyperlink ref="P915" r:id="rId2312" display="Voir la carte"/>
    <hyperlink ref="Q915" r:id="rId2313" display="Ouvrir"/>
    <hyperlink ref="H916" r:id="rId2314" display="https://repubblica.primafamily.fr/"/>
    <hyperlink ref="P916" r:id="rId2315" display="Voir la carte"/>
    <hyperlink ref="Q916" r:id="rId2316" display="Ouvrir"/>
    <hyperlink ref="P917" r:id="rId2317" display="Voir la carte"/>
    <hyperlink ref="Q917" r:id="rId2318" display="Ouvrir"/>
    <hyperlink ref="P918" r:id="rId2319" display="Voir la carte"/>
    <hyperlink ref="Q918" r:id="rId2320" display="Ouvrir"/>
    <hyperlink ref="H919" r:id="rId2321" display="https://www.signorizza.com"/>
    <hyperlink ref="P919" r:id="rId2322" display="Voir la carte"/>
    <hyperlink ref="Q919" r:id="rId2323" display="Ouvrir"/>
    <hyperlink ref="H920" r:id="rId2324" display="http://sushitokoro.fr/"/>
    <hyperlink ref="P920" r:id="rId2325" display="Voir la carte"/>
    <hyperlink ref="Q920" r:id="rId2326" display="Ouvrir"/>
    <hyperlink ref="P921" r:id="rId2327" display="Voir la carte"/>
    <hyperlink ref="Q921" r:id="rId2328" display="Ouvrir"/>
    <hyperlink ref="H922" r:id="rId2329" display="https://www.vivamexico-colomiers.com"/>
    <hyperlink ref="P922" r:id="rId2330" display="Voir la carte"/>
    <hyperlink ref="Q922" r:id="rId2331" display="Ouvrir"/>
    <hyperlink ref="P923" r:id="rId2332" display="Voir la carte"/>
    <hyperlink ref="Q923" r:id="rId2333" display="Ouvrir"/>
    <hyperlink ref="P924" r:id="rId2334" display="Voir la carte"/>
    <hyperlink ref="Q924" r:id="rId2335" display="Ouvrir"/>
    <hyperlink ref="P925" r:id="rId2336" display="Voir la carte"/>
    <hyperlink ref="Q925" r:id="rId2337" display="Ouvrir"/>
    <hyperlink ref="H926" r:id="rId2338" display="https://www.bistrotmarcelandre.fr/"/>
    <hyperlink ref="P926" r:id="rId2339" display="Voir la carte"/>
    <hyperlink ref="Q926" r:id="rId2340" display="Ouvrir"/>
    <hyperlink ref="P927" r:id="rId2341" display="Voir la carte"/>
    <hyperlink ref="Q927" r:id="rId2342" display="Ouvrir"/>
    <hyperlink ref="H928" r:id="rId2343" display="https://www.cepagegourmand.fr"/>
    <hyperlink ref="P928" r:id="rId2344" display="Voir la carte"/>
    <hyperlink ref="Q928" r:id="rId2345" display="Ouvrir"/>
    <hyperlink ref="P929" r:id="rId2346" display="Voir la carte"/>
    <hyperlink ref="Q929" r:id="rId2347" display="Ouvrir"/>
    <hyperlink ref="P930" r:id="rId2348" display="Voir la carte"/>
    <hyperlink ref="Q930" r:id="rId2349" display="Ouvrir"/>
    <hyperlink ref="P931" r:id="rId2350" display="Voir la carte"/>
    <hyperlink ref="Q931" r:id="rId2351" display="Ouvrir"/>
    <hyperlink ref="P932" r:id="rId2352" display="Voir la carte"/>
    <hyperlink ref="Q932" r:id="rId2353" display="Ouvrir"/>
    <hyperlink ref="P933" r:id="rId2354" display="Voir la carte"/>
    <hyperlink ref="Q933" r:id="rId2355" display="Ouvrir"/>
    <hyperlink ref="H934" r:id="rId2356" display="https://lady-sushi.fr/restaurants/tournefeuille/"/>
    <hyperlink ref="P934" r:id="rId2357" display="Voir la carte"/>
    <hyperlink ref="Q934" r:id="rId2358" display="Ouvrir"/>
    <hyperlink ref="H935" r:id="rId2359" display="https://bistrotdelescale.com/"/>
    <hyperlink ref="P935" r:id="rId2360" display="Voir la carte"/>
    <hyperlink ref="Q935" r:id="rId2361" display="Ouvrir"/>
    <hyperlink ref="H936" r:id="rId2362" display="https://le-bistrot-2-theo-tournefeuille.eatbu.com/?lang=en"/>
    <hyperlink ref="P936" r:id="rId2363" display="Voir la carte"/>
    <hyperlink ref="Q936" r:id="rId2364" display="Ouvrir"/>
    <hyperlink ref="P937" r:id="rId2365" display="Voir la carte"/>
    <hyperlink ref="Q937" r:id="rId2366" display="Ouvrir"/>
    <hyperlink ref="P938" r:id="rId2367" display="Voir la carte"/>
    <hyperlink ref="Q938" r:id="rId2368" display="Ouvrir"/>
    <hyperlink ref="H939" r:id="rId2369" display="https://restaurant-le-nem-tournefeuille.jimdofree.com"/>
    <hyperlink ref="P939" r:id="rId2370" display="Voir la carte"/>
    <hyperlink ref="Q939" r:id="rId2371" display="Ouvrir"/>
    <hyperlink ref="P940" r:id="rId2372" display="Voir la carte"/>
    <hyperlink ref="Q940" r:id="rId2373" display="Ouvrir"/>
    <hyperlink ref="H941" r:id="rId2374" display="https://moli.eatbu.com/"/>
    <hyperlink ref="P941" r:id="rId2375" display="Voir la carte"/>
    <hyperlink ref="Q941" r:id="rId2376" display="Ouvrir"/>
    <hyperlink ref="H942" r:id="rId2377" display="https://mozzafiato-pizzerias.eatbu.com/?lang=fr"/>
    <hyperlink ref="P942" r:id="rId2378" display="Voir la carte"/>
    <hyperlink ref="Q942" r:id="rId2379" display="Ouvrir"/>
    <hyperlink ref="P943" r:id="rId2380" display="Voir la carte"/>
    <hyperlink ref="Q943" r:id="rId2381" display="Ouvrir"/>
    <hyperlink ref="H944" r:id="rId2382" display="https://www.pacesalute.com/"/>
    <hyperlink ref="P944" r:id="rId2383" display="Voir la carte"/>
    <hyperlink ref="Q944" r:id="rId2384" display="Ouvrir"/>
    <hyperlink ref="H945" r:id="rId2385" display="https://www.pizza-mongelli.com"/>
    <hyperlink ref="P945" r:id="rId2386" display="Voir la carte"/>
    <hyperlink ref="Q945" r:id="rId2387" display="Ouvrir"/>
    <hyperlink ref="H946" r:id="rId2388" display="https://restaurant-playoff.fr/"/>
    <hyperlink ref="P946" r:id="rId2389" display="Voir la carte"/>
    <hyperlink ref="Q946" r:id="rId2390" display="Ouvrir"/>
    <hyperlink ref="P947" r:id="rId2391" display="Voir la carte"/>
    <hyperlink ref="Q947" r:id="rId2392" display="Ouvrir"/>
    <hyperlink ref="H948" r:id="rId2393" display="https://www.tinospizza-tournefeuille.fr/"/>
    <hyperlink ref="P948" r:id="rId2394" display="Voir la carte"/>
    <hyperlink ref="Q948" r:id="rId2395" display="Ouvrir"/>
    <hyperlink ref="H949" r:id="rId2396" display="https://tonnerresdebrest.fr"/>
    <hyperlink ref="P949" r:id="rId2397" display="Voir la carte"/>
    <hyperlink ref="Q949" r:id="rId2398" display="Ouvrir"/>
    <hyperlink ref="H950" r:id="rId2399" display="https://www.washokutournefeuille.com/"/>
    <hyperlink ref="P950" r:id="rId2400" display="Voir la carte"/>
    <hyperlink ref="Q950" r:id="rId2401" display="Ouvrir"/>
    <hyperlink ref="H951" r:id="rId2402" display="https://restaurants.3brasseurs.com/fr/s/brasseurs/Blagnac/902"/>
    <hyperlink ref="P951" r:id="rId2403" display="Voir la carte"/>
    <hyperlink ref="Q951" r:id="rId2404" display="Ouvrir"/>
    <hyperlink ref="H952" r:id="rId2405" display="https://aloevega.fr"/>
    <hyperlink ref="P952" r:id="rId2406" display="Voir la carte"/>
    <hyperlink ref="Q952" r:id="rId2407" display="Ouvrir"/>
    <hyperlink ref="H953" r:id="rId2408" display="https://www.aubureau.fr/restaurant-brasserie/au-bureau-blagnac"/>
    <hyperlink ref="P953" r:id="rId2409" display="Voir la carte"/>
    <hyperlink ref="Q953" r:id="rId2410" display="Ouvrir"/>
    <hyperlink ref="P954" r:id="rId2411" display="Voir la carte"/>
    <hyperlink ref="Q954" r:id="rId2412" display="Ouvrir"/>
    <hyperlink ref="H955" r:id="rId2413" display="https://beyti1.wordpress.com/"/>
    <hyperlink ref="P955" r:id="rId2414" display="Voir la carte"/>
    <hyperlink ref="Q955" r:id="rId2415" display="Ouvrir"/>
    <hyperlink ref="P956" r:id="rId2416" display="Voir la carte"/>
    <hyperlink ref="Q956" r:id="rId2417" display="Ouvrir"/>
    <hyperlink ref="P957" r:id="rId2418" display="Voir la carte"/>
    <hyperlink ref="Q957" r:id="rId2419" display="Ouvrir"/>
    <hyperlink ref="P958" r:id="rId2420" display="Voir la carte"/>
    <hyperlink ref="Q958" r:id="rId2421" display="Ouvrir"/>
    <hyperlink ref="P959" r:id="rId2422" display="Voir la carte"/>
    <hyperlink ref="Q959" r:id="rId2423" display="Ouvrir"/>
    <hyperlink ref="P960" r:id="rId2424" display="Voir la carte"/>
    <hyperlink ref="Q960" r:id="rId2425" display="Ouvrir"/>
    <hyperlink ref="H961" r:id="rId2426" display="https://brunchandco.eatbu.com"/>
    <hyperlink ref="P961" r:id="rId2427" display="Voir la carte"/>
    <hyperlink ref="Q961" r:id="rId2428" display="Ouvrir"/>
    <hyperlink ref="P962" r:id="rId2429" display="Voir la carte"/>
    <hyperlink ref="Q962" r:id="rId2430" display="Ouvrir"/>
    <hyperlink ref="P963" r:id="rId2431" display="Voir la carte"/>
    <hyperlink ref="Q963" r:id="rId2432" display="Ouvrir"/>
    <hyperlink ref="P964" r:id="rId2433" display="Voir la carte"/>
    <hyperlink ref="Q964" r:id="rId2434" display="Ouvrir"/>
    <hyperlink ref="P965" r:id="rId2435" display="Voir la carte"/>
    <hyperlink ref="Q965" r:id="rId2436" display="Ouvrir"/>
    <hyperlink ref="P966" r:id="rId2437" display="Voir la carte"/>
    <hyperlink ref="Q966" r:id="rId2438" display="Ouvrir"/>
    <hyperlink ref="P967" r:id="rId2439" display="Voir la carte"/>
    <hyperlink ref="Q967" r:id="rId2440" display="Ouvrir"/>
    <hyperlink ref="H968" r:id="rId2441" display="https://www.courtepaille.com/restaurant/courtepaille-toulouse-aeroport/"/>
    <hyperlink ref="P968" r:id="rId2442" display="Voir la carte"/>
    <hyperlink ref="Q968" r:id="rId2443" display="Ouvrir"/>
    <hyperlink ref="H969" r:id="rId2444" display="https://restaurants.crepetouch.com/blagnac/"/>
    <hyperlink ref="P969" r:id="rId2445" display="Voir la carte"/>
    <hyperlink ref="Q969" r:id="rId2446" display="Ouvrir"/>
    <hyperlink ref="P970" r:id="rId2447" display="Voir la carte"/>
    <hyperlink ref="Q970" r:id="rId2448" display="Ouvrir"/>
    <hyperlink ref="H971" r:id="rId2449" display="https://www.la-brigade.fr/resto-toulouse-blagnac"/>
    <hyperlink ref="P971" r:id="rId2450" display="Voir la carte"/>
    <hyperlink ref="Q971" r:id="rId2451" display="Ouvrir"/>
    <hyperlink ref="H972" r:id="rId2452" display="https://www.hippopotamus.fr/nos-restaurants/hippopotamus-blagnac"/>
    <hyperlink ref="P972" r:id="rId2453" display="Voir la carte"/>
    <hyperlink ref="Q972" r:id="rId2454" display="Ouvrir"/>
    <hyperlink ref="H973" r:id="rId2455" display="https://www.ilristorante.fr/"/>
    <hyperlink ref="P973" r:id="rId2456" display="Voir la carte"/>
    <hyperlink ref="Q973" r:id="rId2457" display="Ouvrir"/>
    <hyperlink ref="H974" r:id="rId2458" display="https://pub-jacques.fr/blagnac/"/>
    <hyperlink ref="P974" r:id="rId2459" display="Voir la carte"/>
    <hyperlink ref="Q974" r:id="rId2460" display="Ouvrir"/>
    <hyperlink ref="H975" r:id="rId2461" display="http://www.jinjiresto.com/"/>
    <hyperlink ref="P975" r:id="rId2462" display="Voir la carte"/>
    <hyperlink ref="Q975" r:id="rId2463" display="Ouvrir"/>
    <hyperlink ref="P976" r:id="rId2464" display="Voir la carte"/>
    <hyperlink ref="Q976" r:id="rId2465" display="Ouvrir"/>
    <hyperlink ref="H977" r:id="rId2466" display="https://www.kumquat-blagnac.fr/"/>
    <hyperlink ref="P977" r:id="rId2467" display="Voir la carte"/>
    <hyperlink ref="Q977" r:id="rId2468" display="Ouvrir"/>
    <hyperlink ref="P978" r:id="rId2469" display="Voir la carte"/>
    <hyperlink ref="Q978" r:id="rId2470" display="Ouvrir"/>
    <hyperlink ref="H979" r:id="rId2471" display="https://www.pizzeria-olivade.com/"/>
    <hyperlink ref="P979" r:id="rId2472" display="Voir la carte"/>
    <hyperlink ref="Q979" r:id="rId2473" display="Ouvrir"/>
    <hyperlink ref="H980" r:id="rId2474" display="https://www.la-brigade.fr/resto-toulouse-blagnac"/>
    <hyperlink ref="P980" r:id="rId2475" display="Voir la carte"/>
    <hyperlink ref="Q980" r:id="rId2476" display="Ouvrir"/>
    <hyperlink ref="P981" r:id="rId2477" display="Voir la carte"/>
    <hyperlink ref="Q981" r:id="rId2478" display="Ouvrir"/>
    <hyperlink ref="H982" r:id="rId2479" display="http://pizzalatosca.fr/"/>
    <hyperlink ref="P982" r:id="rId2480" display="Voir la carte"/>
    <hyperlink ref="Q982" r:id="rId2481" display="Ouvrir"/>
    <hyperlink ref="P983" r:id="rId2482" display="Voir la carte"/>
    <hyperlink ref="Q983" r:id="rId2483" display="Ouvrir"/>
    <hyperlink ref="H984" r:id="rId2484" display="https://www.facebook.com/ignaetceline/"/>
    <hyperlink ref="P984" r:id="rId2485" display="Voir la carte"/>
    <hyperlink ref="Q984" r:id="rId2486" display="Ouvrir"/>
    <hyperlink ref="P985" r:id="rId2487" display="Voir la carte"/>
    <hyperlink ref="Q985" r:id="rId2488" display="Ouvrir"/>
    <hyperlink ref="P986" r:id="rId2489" display="Voir la carte"/>
    <hyperlink ref="Q986" r:id="rId2490" display="Ouvrir"/>
    <hyperlink ref="P987" r:id="rId2491" display="Voir la carte"/>
    <hyperlink ref="Q987" r:id="rId2492" display="Ouvrir"/>
    <hyperlink ref="P988" r:id="rId2493" display="Voir la carte"/>
    <hyperlink ref="Q988" r:id="rId2494" display="Ouvrir"/>
    <hyperlink ref="P989" r:id="rId2495" display="Voir la carte"/>
    <hyperlink ref="Q989" r:id="rId2496" display="Ouvrir"/>
    <hyperlink ref="H990" r:id="rId2497" display="https://www.aeroscopia.fr/restaurant"/>
    <hyperlink ref="P990" r:id="rId2498" display="Voir la carte"/>
    <hyperlink ref="Q990" r:id="rId2499" display="Ouvrir"/>
    <hyperlink ref="H991" r:id="rId2500" display="https://leribouldingue.fr/"/>
    <hyperlink ref="P991" r:id="rId2501" display="Voir la carte"/>
    <hyperlink ref="Q991" r:id="rId2502" display="Ouvrir"/>
    <hyperlink ref="H992" r:id="rId2503" display="https://letchap.fr/"/>
    <hyperlink ref="P992" r:id="rId2504" display="Voir la carte"/>
    <hyperlink ref="Q992" r:id="rId2505" display="Ouvrir"/>
    <hyperlink ref="H993" r:id="rId2506" display="https://www.les3dynasties.com/"/>
    <hyperlink ref="P993" r:id="rId2507" display="Voir la carte"/>
    <hyperlink ref="Q993" r:id="rId2508" display="Ouvrir"/>
    <hyperlink ref="H994" r:id="rId2509" display="https://www.ltmodernes.fr/"/>
    <hyperlink ref="P994" r:id="rId2510" display="Voir la carte"/>
    <hyperlink ref="Q994" r:id="rId2511" display="Ouvrir"/>
    <hyperlink ref="H995" r:id="rId2512" display="https://www.restaurantleon.fr/nos-restaurants/toulouse-blagnac"/>
    <hyperlink ref="P995" r:id="rId2513" display="Voir la carte"/>
    <hyperlink ref="Q995" r:id="rId2514" display="Ouvrir"/>
    <hyperlink ref="P996" r:id="rId2515" display="Voir la carte"/>
    <hyperlink ref="Q996" r:id="rId2516" display="Ouvrir"/>
    <hyperlink ref="H997" r:id="rId2517" display="https://maisondafrique-restaurant.fr"/>
    <hyperlink ref="P997" r:id="rId2518" display="Voir la carte"/>
    <hyperlink ref="Q997" r:id="rId2519" display="Ouvrir"/>
    <hyperlink ref="H998" r:id="rId2520" display="https://restaurants.memphis-restaurant.com/blagnac/"/>
    <hyperlink ref="P998" r:id="rId2521" display="Voir la carte"/>
    <hyperlink ref="Q998" r:id="rId2522" display="Ouvrir"/>
    <hyperlink ref="H999" r:id="rId2523" display="https://twitter.com/restaurantmima?lang=fr"/>
    <hyperlink ref="P999" r:id="rId2524" display="Voir la carte"/>
    <hyperlink ref="Q999" r:id="rId2525" display="Ouvrir"/>
    <hyperlink ref="H1000" r:id="rId2526" display="https://www.pizza-mongelli.com/pizzeria/blagnac/"/>
    <hyperlink ref="P1000" r:id="rId2527" display="Voir la carte"/>
    <hyperlink ref="Q1000" r:id="rId2528" display="Ouvrir"/>
    <hyperlink ref="H1001" r:id="rId2529" display="http://www.restaurant-pacific.fr/"/>
    <hyperlink ref="P1001" r:id="rId2530" display="Voir la carte"/>
    <hyperlink ref="Q1001" r:id="rId2531" display="Ouvrir"/>
    <hyperlink ref="H1002" r:id="rId2532" display="https://letchap.fr/"/>
    <hyperlink ref="P1002" r:id="rId2533" display="Voir la carte"/>
    <hyperlink ref="Q1002" r:id="rId2534" display="Ouvrir"/>
    <hyperlink ref="H1003" r:id="rId2535" display="https://restaurants.leparadisdufruit.fr/toulouse-blagnac/"/>
    <hyperlink ref="P1003" r:id="rId2536" display="Voir la carte"/>
    <hyperlink ref="Q1003" r:id="rId2537" display="Ouvrir"/>
    <hyperlink ref="H1004" r:id="rId2538" display="https://www.pizzapierre.fr/"/>
    <hyperlink ref="P1004" r:id="rId2539" display="Voir la carte"/>
    <hyperlink ref="Q1004" r:id="rId2540" display="Ouvrir"/>
    <hyperlink ref="P1005" r:id="rId2541" display="Voir la carte"/>
    <hyperlink ref="Q1005" r:id="rId2542" display="Ouvrir"/>
    <hyperlink ref="P1006" r:id="rId2543" display="Voir la carte"/>
    <hyperlink ref="Q1006" r:id="rId2544" display="Ouvrir"/>
    <hyperlink ref="P1007" r:id="rId2545" display="Voir la carte"/>
    <hyperlink ref="Q1007" r:id="rId2546" display="Ouvrir"/>
    <hyperlink ref="H1008" r:id="rId2547" display="https://rajpoot-restaurant-blagnac.eatbu.com/"/>
    <hyperlink ref="P1008" r:id="rId2548" display="Voir la carte"/>
    <hyperlink ref="Q1008" r:id="rId2549" display="Ouvrir"/>
    <hyperlink ref="P1009" r:id="rId2550" display="Voir la carte"/>
    <hyperlink ref="Q1009" r:id="rId2551" display="Ouvrir"/>
    <hyperlink ref="H1010" r:id="rId2552" display="https://www.sushi-bian.fr/"/>
    <hyperlink ref="P1010" r:id="rId2553" display="Voir la carte"/>
    <hyperlink ref="Q1010" r:id="rId2554" display="Ouvrir"/>
    <hyperlink ref="H1011" r:id="rId2555" display="https://www.delarte.fr/nos-restaurants/occitanie/haute-garonne/blagnac/pizzeria-toulouse-blagnac"/>
    <hyperlink ref="P1011" r:id="rId2556" display="Voir la carte"/>
    <hyperlink ref="Q1011" r:id="rId2557" display="Ouvrir"/>
    <hyperlink ref="P1012" r:id="rId2558" display="Voir la carte"/>
    <hyperlink ref="Q1012" r:id="rId2559" display="Ouvrir"/>
    <hyperlink ref="P1013" r:id="rId2560" display="Voir la carte"/>
    <hyperlink ref="Q1013" r:id="rId2561" display="Ouvrir"/>
    <hyperlink ref="P1014" r:id="rId2562" display="Voir la carte"/>
    <hyperlink ref="Q1014" r:id="rId2563" display="Ouvrir"/>
    <hyperlink ref="H1015" r:id="rId2564" display="https://tichayabistrot-thai.eatbu.com/"/>
    <hyperlink ref="P1015" r:id="rId2565" display="Voir la carte"/>
    <hyperlink ref="Q1015" r:id="rId2566" display="Ouvrir"/>
    <hyperlink ref="H1016" r:id="rId2567" display="https://tokami-blagnac.com/"/>
    <hyperlink ref="P1016" r:id="rId2568" display="Voir la carte"/>
    <hyperlink ref="Q1016" r:id="rId2569" display="Ouvrir"/>
    <hyperlink ref="H1017" r:id="rId2570" display="https://www.washokusushi.net/"/>
    <hyperlink ref="P1017" r:id="rId2571" display="Voir la carte"/>
    <hyperlink ref="Q1017" r:id="rId2572" display="Ouvrir"/>
    <hyperlink ref="H1018" r:id="rId2573" display="https://yammysushi.fr/"/>
    <hyperlink ref="P1018" r:id="rId2574" display="Voir la carte"/>
    <hyperlink ref="Q1018" r:id="rId2575" display="Ouvrir"/>
    <hyperlink ref="P1019" r:id="rId2576" display="Voir la carte"/>
    <hyperlink ref="Q1019" r:id="rId2577" display="Ouvrir"/>
    <hyperlink ref="P1020" r:id="rId2578" display="Voir la carte"/>
    <hyperlink ref="Q1020" r:id="rId2579" display="Ouvrir"/>
    <hyperlink ref="H1021" r:id="rId2580" display="https://www.facebook.com/pages/category/Restaurant/BRASSERIE-REPUBLIQUE-190223594388088/"/>
    <hyperlink ref="P1021" r:id="rId2581" display="Voir la carte"/>
    <hyperlink ref="Q1021" r:id="rId2582" display="Ouvrir"/>
    <hyperlink ref="H1022" r:id="rId2583" display="https://www.casa-vostra.fr/"/>
    <hyperlink ref="P1022" r:id="rId2584" display="Voir la carte"/>
    <hyperlink ref="Q1022" r:id="rId2585" display="Ouvrir"/>
    <hyperlink ref="P1023" r:id="rId2586" display="Voir la carte"/>
    <hyperlink ref="Q1023" r:id="rId2587" display="Ouvrir"/>
    <hyperlink ref="P1024" r:id="rId2588" display="Voir la carte"/>
    <hyperlink ref="Q1024" r:id="rId2589" display="Ouvrir"/>
    <hyperlink ref="P1025" r:id="rId2590" display="Voir la carte"/>
    <hyperlink ref="Q1025" r:id="rId2591" display="Ouvrir"/>
    <hyperlink ref="P1026" r:id="rId2592" display="Voir la carte"/>
    <hyperlink ref="Q1026" r:id="rId2593" display="Ouvrir"/>
    <hyperlink ref="P1027" r:id="rId2594" display="Voir la carte"/>
    <hyperlink ref="Q1027" r:id="rId2595" display="Ouvrir"/>
    <hyperlink ref="H1028" r:id="rId2596" display="https://fabric-restaurant.fr"/>
    <hyperlink ref="P1028" r:id="rId2597" display="Voir la carte"/>
    <hyperlink ref="Q1028" r:id="rId2598" display="Ouvrir"/>
    <hyperlink ref="P1029" r:id="rId2599" display="Voir la carte"/>
    <hyperlink ref="Q1029" r:id="rId2600" display="Ouvrir"/>
    <hyperlink ref="H1030" r:id="rId2601" display="https://icki-sushi-muret.ma-commande.fr/icki-sushi-muret/muret-centre/1327/0/12069/page.htm"/>
    <hyperlink ref="P1030" r:id="rId2602" display="Voir la carte"/>
    <hyperlink ref="Q1030" r:id="rId2603" display="Ouvrir"/>
    <hyperlink ref="H1031" r:id="rId2604" display="https://www.larcencielmuret.com/"/>
    <hyperlink ref="P1031" r:id="rId2605" display="Voir la carte"/>
    <hyperlink ref="Q1031" r:id="rId2606" display="Ouvrir"/>
    <hyperlink ref="H1032" r:id="rId2607" display="https://restaurant-opaline.fr/"/>
    <hyperlink ref="P1032" r:id="rId2608" display="Voir la carte"/>
    <hyperlink ref="Q1032" r:id="rId2609" display="Ouvrir"/>
    <hyperlink ref="P1033" r:id="rId2610" display="Voir la carte"/>
    <hyperlink ref="Q1033" r:id="rId2611" display="Ouvrir"/>
    <hyperlink ref="H1034" r:id="rId2612" display="https://www.la-boucherie.fr/"/>
    <hyperlink ref="P1034" r:id="rId2613" display="Voir la carte"/>
    <hyperlink ref="Q1034" r:id="rId2614" display="Ouvrir"/>
    <hyperlink ref="H1035" r:id="rId2615" display="https://www.lagrange31.fr/"/>
    <hyperlink ref="P1035" r:id="rId2616" display="Voir la carte"/>
    <hyperlink ref="Q1035" r:id="rId2617" display="Ouvrir"/>
    <hyperlink ref="P1036" r:id="rId2618" display="Voir la carte"/>
    <hyperlink ref="Q1036" r:id="rId2619" display="Ouvrir"/>
    <hyperlink ref="H1037" r:id="rId2620" display="https://lescenario-muret.fr"/>
    <hyperlink ref="P1037" r:id="rId2621" display="Voir la carte"/>
    <hyperlink ref="Q1037" r:id="rId2622" display="Ouvrir"/>
    <hyperlink ref="P1038" r:id="rId2623" display="Voir la carte"/>
    <hyperlink ref="Q1038" r:id="rId2624" display="Ouvrir"/>
    <hyperlink ref="P1039" r:id="rId2625" display="Voir la carte"/>
    <hyperlink ref="Q1039" r:id="rId2626" display="Ouvrir"/>
    <hyperlink ref="P1040" r:id="rId2627" display="Voir la carte"/>
    <hyperlink ref="Q1040" r:id="rId2628" display="Ouvrir"/>
    <hyperlink ref="P1041" r:id="rId2629" display="Voir la carte"/>
    <hyperlink ref="Q1041" r:id="rId2630" display="Ouvrir"/>
    <hyperlink ref="H1042" r:id="rId2631" display="https://www.restaurant-nagoya.fr/"/>
    <hyperlink ref="P1042" r:id="rId2632" display="Voir la carte"/>
    <hyperlink ref="Q1042" r:id="rId2633" display="Ouvrir"/>
    <hyperlink ref="P1043" r:id="rId2634" display="Voir la carte"/>
    <hyperlink ref="Q1043" r:id="rId2635" display="Ouvrir"/>
    <hyperlink ref="P1044" r:id="rId2636" display="Voir la carte"/>
    <hyperlink ref="Q1044" r:id="rId2637" display="Ouvrir"/>
    <hyperlink ref="H1045" r:id="rId2638" display="https://www.pizza-mongelli.com/"/>
    <hyperlink ref="P1045" r:id="rId2639" display="Voir la carte"/>
    <hyperlink ref="Q1045" r:id="rId2640" display="Ouvrir"/>
    <hyperlink ref="H1046" r:id="rId2641" display="https://pizzarello.fr/"/>
    <hyperlink ref="P1046" r:id="rId2642" display="Voir la carte"/>
    <hyperlink ref="Q1046" r:id="rId2643" display="Ouvrir"/>
    <hyperlink ref="H1047" r:id="rId2644" display="https://www.pizza-salvadora-muret.fr"/>
    <hyperlink ref="P1047" r:id="rId2645" display="Voir la carte"/>
    <hyperlink ref="Q1047" r:id="rId2646" display="Ouvrir"/>
    <hyperlink ref="P1048" r:id="rId2647" display="Voir la carte"/>
    <hyperlink ref="Q1048" r:id="rId2648" display="Ouvrir"/>
    <hyperlink ref="P1049" r:id="rId2649" display="Voir la carte"/>
    <hyperlink ref="Q1049" r:id="rId2650" display="Ouvrir"/>
    <hyperlink ref="P1050" r:id="rId2651" display="Voir la carte"/>
    <hyperlink ref="Q1050" r:id="rId2652" display="Ouvrir"/>
    <hyperlink ref="P1051" r:id="rId2653" display="Voir la carte"/>
    <hyperlink ref="Q1051" r:id="rId2654" display="Ouvrir"/>
    <hyperlink ref="H1052" r:id="rId2655" display="http://www.osaintchristophe.fr/"/>
    <hyperlink ref="P1052" r:id="rId2656" display="Voir la carte"/>
    <hyperlink ref="Q1052" r:id="rId2657" display="Ouvrir"/>
    <hyperlink ref="P1053" r:id="rId2658" display="Voir la carte"/>
    <hyperlink ref="Q1053" r:id="rId2659" display="Ouvrir"/>
    <hyperlink ref="H1054" r:id="rId2660" display="https://www.ciel-a-table.fr/fr/"/>
    <hyperlink ref="P1054" r:id="rId2661" display="Voir la carte"/>
    <hyperlink ref="Q1054" r:id="rId2662" display="Ouvrir"/>
    <hyperlink ref="P1055" r:id="rId2663" display="Voir la carte"/>
    <hyperlink ref="Q1055" r:id="rId2664" display="Ouvrir"/>
    <hyperlink ref="P1056" r:id="rId2665" display="Voir la carte"/>
    <hyperlink ref="Q1056" r:id="rId2666" display="Ouvrir"/>
    <hyperlink ref="P1057" r:id="rId2667" display="Voir la carte"/>
    <hyperlink ref="Q1057" r:id="rId2668" display="Ouvrir"/>
    <hyperlink ref="H1058" r:id="rId2669" display="https://www.las2pizz.fr/"/>
    <hyperlink ref="P1058" r:id="rId2670" display="Voir la carte"/>
    <hyperlink ref="Q1058" r:id="rId2671" display="Ouvrir"/>
    <hyperlink ref="H1059" r:id="rId2672" display="https://lescale-cugnaux.eatbu.com/"/>
    <hyperlink ref="P1059" r:id="rId2673" display="Voir la carte"/>
    <hyperlink ref="Q1059" r:id="rId2674" display="Ouvrir"/>
    <hyperlink ref="P1060" r:id="rId2675" display="Voir la carte"/>
    <hyperlink ref="Q1060" r:id="rId2676" display="Ouvrir"/>
    <hyperlink ref="P1061" r:id="rId2677" display="Voir la carte"/>
    <hyperlink ref="Q1061" r:id="rId2678" display="Ouvrir"/>
    <hyperlink ref="P1062" r:id="rId2679" display="Voir la carte"/>
    <hyperlink ref="Q1062" r:id="rId2680" display="Ouvrir"/>
    <hyperlink ref="P1063" r:id="rId2681" display="Voir la carte"/>
    <hyperlink ref="Q1063" r:id="rId2682" display="Ouvrir"/>
    <hyperlink ref="H1064" r:id="rId2683" display="https://www.restaurantlebillot.fr/restaurant-cugnaux"/>
    <hyperlink ref="P1064" r:id="rId2684" display="Voir la carte"/>
    <hyperlink ref="Q1064" r:id="rId2685" display="Ouvrir"/>
    <hyperlink ref="P1065" r:id="rId2686" display="Voir la carte"/>
    <hyperlink ref="Q1065" r:id="rId2687" display="Ouvrir"/>
    <hyperlink ref="P1066" r:id="rId2688" display="Voir la carte"/>
    <hyperlink ref="Q1066" r:id="rId2689" display="Ouvrir"/>
    <hyperlink ref="H1067" r:id="rId2690" display="https://levenitien-cugnaux.eatbu.com"/>
    <hyperlink ref="P1067" r:id="rId2691" display="Voir la carte"/>
    <hyperlink ref="Q1067" r:id="rId2692" display="Ouvrir"/>
    <hyperlink ref="P1068" r:id="rId2693" display="Voir la carte"/>
    <hyperlink ref="Q1068" r:id="rId2694" display="Ouvrir"/>
    <hyperlink ref="P1069" r:id="rId2695" display="Voir la carte"/>
    <hyperlink ref="Q1069" r:id="rId2696" display="Ouvrir"/>
    <hyperlink ref="P1070" r:id="rId2697" display="Voir la carte"/>
    <hyperlink ref="Q1070" r:id="rId2698" display="Ouvrir"/>
    <hyperlink ref="P1071" r:id="rId2699" display="Voir la carte"/>
    <hyperlink ref="Q1071" r:id="rId2700" display="Ouvrir"/>
    <hyperlink ref="P1072" r:id="rId2701" display="Voir la carte"/>
    <hyperlink ref="Q1072" r:id="rId2702" display="Ouvrir"/>
    <hyperlink ref="H1073" r:id="rId2703" display="https://www.instagram.com/mrdokebab"/>
    <hyperlink ref="P1073" r:id="rId2704" display="Voir la carte"/>
    <hyperlink ref="Q1073" r:id="rId2705" display="Ouvrir"/>
    <hyperlink ref="P1074" r:id="rId2706" display="Voir la carte"/>
    <hyperlink ref="Q1074" r:id="rId2707" display="Ouvrir"/>
    <hyperlink ref="P1075" r:id="rId2708" display="Voir la carte"/>
    <hyperlink ref="Q1075" r:id="rId2709" display="Ouvrir"/>
    <hyperlink ref="P1076" r:id="rId2710" display="Voir la carte"/>
    <hyperlink ref="Q1076" r:id="rId2711" display="Ouvrir"/>
    <hyperlink ref="P1077" r:id="rId2712" display="Voir la carte"/>
    <hyperlink ref="Q1077" r:id="rId2713" display="Ouvrir"/>
    <hyperlink ref="P1078" r:id="rId2714" display="Voir la carte"/>
    <hyperlink ref="Q1078" r:id="rId2715" display="Ouvrir"/>
    <hyperlink ref="P1079" r:id="rId2716" display="Voir la carte"/>
    <hyperlink ref="Q1079" r:id="rId2717" display="Ouvrir"/>
    <hyperlink ref="P1080" r:id="rId2718" display="Voir la carte"/>
    <hyperlink ref="Q1080" r:id="rId2719" display="Ouvrir"/>
    <hyperlink ref="P1081" r:id="rId2720" display="Voir la carte"/>
    <hyperlink ref="Q1081" r:id="rId2721" display="Ouvrir"/>
    <hyperlink ref="P1082" r:id="rId2722" display="Voir la carte"/>
    <hyperlink ref="Q1082" r:id="rId2723" display="Ouvrir"/>
    <hyperlink ref="P1083" r:id="rId2724" display="Voir la carte"/>
    <hyperlink ref="Q1083" r:id="rId2725" display="Ouvrir"/>
    <hyperlink ref="P1084" r:id="rId2726" display="Voir la carte"/>
    <hyperlink ref="Q1084" r:id="rId2727" display="Ouvrir"/>
    <hyperlink ref="P1085" r:id="rId2728" display="Voir la carte"/>
    <hyperlink ref="Q1085" r:id="rId2729" display="Ouvrir"/>
    <hyperlink ref="P1086" r:id="rId2730" display="Voir la carte"/>
    <hyperlink ref="Q1086" r:id="rId2731" display="Ouvrir"/>
    <hyperlink ref="P1087" r:id="rId2732" display="Voir la carte"/>
    <hyperlink ref="Q1087" r:id="rId2733" display="Ouvrir"/>
    <hyperlink ref="P1088" r:id="rId2734" display="Voir la carte"/>
    <hyperlink ref="Q1088" r:id="rId2735" display="Ouvrir"/>
    <hyperlink ref="H1089" r:id="rId2736" display="https://joyatoulouse.fr/"/>
    <hyperlink ref="P1089" r:id="rId2737" display="Voir la carte"/>
    <hyperlink ref="Q1089" r:id="rId2738" display="Ouvrir"/>
    <hyperlink ref="P1090" r:id="rId2739" display="Voir la carte"/>
    <hyperlink ref="Q1090" r:id="rId2740" display="Ouvrir"/>
    <hyperlink ref="H1091" r:id="rId2741" display="https://www.lacoteetlarete.fr/"/>
    <hyperlink ref="P1091" r:id="rId2742" display="Voir la carte"/>
    <hyperlink ref="Q1091" r:id="rId2743" display="Ouvrir"/>
    <hyperlink ref="P1092" r:id="rId2744" display="Voir la carte"/>
    <hyperlink ref="Q1092" r:id="rId2745" display="Ouvrir"/>
    <hyperlink ref="P1093" r:id="rId2746" display="Voir la carte"/>
    <hyperlink ref="Q1093" r:id="rId2747" display="Ouvrir"/>
    <hyperlink ref="P1094" r:id="rId2748" display="Voir la carte"/>
    <hyperlink ref="Q1094" r:id="rId2749" display="Ouvrir"/>
    <hyperlink ref="P1095" r:id="rId2750" display="Voir la carte"/>
    <hyperlink ref="Q1095" r:id="rId2751" display="Ouvrir"/>
    <hyperlink ref="H1096" r:id="rId2752" display="https://www.mademoiselle-soline.fr/"/>
    <hyperlink ref="P1096" r:id="rId2753" display="Voir la carte"/>
    <hyperlink ref="Q1096" r:id="rId2754" display="Ouvrir"/>
    <hyperlink ref="P1097" r:id="rId2755" display="Voir la carte"/>
    <hyperlink ref="Q1097" r:id="rId2756" display="Ouvrir"/>
    <hyperlink ref="H1098" r:id="rId2757" display="https://moya31830.fr"/>
    <hyperlink ref="P1098" r:id="rId2758" display="Voir la carte"/>
    <hyperlink ref="Q1098" r:id="rId2759" display="Ouvrir"/>
    <hyperlink ref="P1099" r:id="rId2760" display="Voir la carte"/>
    <hyperlink ref="Q1099" r:id="rId2761" display="Ouvrir"/>
    <hyperlink ref="P1100" r:id="rId2762" display="Voir la carte"/>
    <hyperlink ref="Q1100" r:id="rId2763" display="Ouvrir"/>
    <hyperlink ref="P1101" r:id="rId2764" display="Voir la carte"/>
    <hyperlink ref="Q1101" r:id="rId2765" display="Ouvrir"/>
    <hyperlink ref="P1102" r:id="rId2766" display="Voir la carte"/>
    <hyperlink ref="Q1102" r:id="rId2767" display="Ouvrir"/>
    <hyperlink ref="H1103" r:id="rId2768" display="https://www.amafolia.fr/"/>
    <hyperlink ref="P1103" r:id="rId2769" display="Voir la carte"/>
    <hyperlink ref="Q1103" r:id="rId2770" display="Ouvrir"/>
    <hyperlink ref="P1104" r:id="rId2771" display="Voir la carte"/>
    <hyperlink ref="Q1104" r:id="rId2772" display="Ouvrir"/>
    <hyperlink ref="P1105" r:id="rId2773" display="Voir la carte"/>
    <hyperlink ref="Q1105" r:id="rId2774" display="Ouvrir"/>
    <hyperlink ref="H1106" r:id="rId2775" display="https://www.restaurantflonflon.com/"/>
    <hyperlink ref="P1106" r:id="rId2776" display="Voir la carte"/>
    <hyperlink ref="Q1106" r:id="rId2777" display="Ouvrir"/>
    <hyperlink ref="H1107" r:id="rId2778" display="https://www.holocene-restaurant.fr/restaurant-balma"/>
    <hyperlink ref="P1107" r:id="rId2779" display="Voir la carte"/>
    <hyperlink ref="Q1107" r:id="rId2780" display="Ouvrir"/>
    <hyperlink ref="H1108" r:id="rId2781" display="https://pub-jacques.fr/"/>
    <hyperlink ref="P1108" r:id="rId2782" display="Voir la carte"/>
    <hyperlink ref="Q1108" r:id="rId2783" display="Ouvrir"/>
    <hyperlink ref="P1109" r:id="rId2784" display="Voir la carte"/>
    <hyperlink ref="Q1109" r:id="rId2785" display="Ouvrir"/>
    <hyperlink ref="P1110" r:id="rId2786" display="Voir la carte"/>
    <hyperlink ref="Q1110" r:id="rId2787" display="Ouvrir"/>
    <hyperlink ref="H1111" r:id="rId2788" display="https://villadavinci.fr/"/>
    <hyperlink ref="P1111" r:id="rId2789" display="Voir la carte"/>
    <hyperlink ref="Q1111" r:id="rId2790" display="Ouvrir"/>
    <hyperlink ref="P1112" r:id="rId2791" display="Voir la carte"/>
    <hyperlink ref="Q1112" r:id="rId2792" display="Ouvrir"/>
    <hyperlink ref="H1113" r:id="rId2793" display="https://www.lecarrousel-balma.fr/"/>
    <hyperlink ref="P1113" r:id="rId2794" display="Voir la carte"/>
    <hyperlink ref="Q1113" r:id="rId2795" display="Ouvrir"/>
    <hyperlink ref="P1114" r:id="rId2796" display="Voir la carte"/>
    <hyperlink ref="Q1114" r:id="rId2797" display="Ouvrir"/>
    <hyperlink ref="H1115" r:id="rId2798" display="https://www.lesfeuillantines.fr/"/>
    <hyperlink ref="P1115" r:id="rId2799" display="Voir la carte"/>
    <hyperlink ref="Q1115" r:id="rId2800" display="Ouvrir"/>
    <hyperlink ref="H1116" r:id="rId2801" display="https://www.www.restaurant-lequilibre.fr/"/>
    <hyperlink ref="P1116" r:id="rId2802" display="Voir la carte"/>
    <hyperlink ref="Q1116" r:id="rId2803" display="Ouvrir"/>
    <hyperlink ref="H1117" r:id="rId2804" display="https://www.pizza-mongelli.com/pizzeria/balma/"/>
    <hyperlink ref="P1117" r:id="rId2805" display="Voir la carte"/>
    <hyperlink ref="Q1117" r:id="rId2806" display="Ouvrir"/>
    <hyperlink ref="P1118" r:id="rId2807" display="Voir la carte"/>
    <hyperlink ref="Q1118" r:id="rId2808" display="Ouvrir"/>
    <hyperlink ref="P1119" r:id="rId2809" display="Voir la carte"/>
    <hyperlink ref="Q1119" r:id="rId2810" display="Ouvrir"/>
    <hyperlink ref="H1120" r:id="rId2811" display="https://www.pizzabonici.com/"/>
    <hyperlink ref="P1120" r:id="rId2812" display="Voir la carte"/>
    <hyperlink ref="Q1120" r:id="rId2813" display="Ouvrir"/>
    <hyperlink ref="H1121" r:id="rId2814" display="https://bufalinobalma.eatbu.com"/>
    <hyperlink ref="P1121" r:id="rId2815" display="Voir la carte"/>
    <hyperlink ref="Q1121" r:id="rId2816" display="Ouvrir"/>
    <hyperlink ref="P1122" r:id="rId2817" display="Voir la carte"/>
    <hyperlink ref="Q1122" r:id="rId2818" display="Ouvrir"/>
    <hyperlink ref="P1123" r:id="rId2819" display="Voir la carte"/>
    <hyperlink ref="Q1123" r:id="rId2820" display="Ouvrir"/>
    <hyperlink ref="P1124" r:id="rId2821" display="Voir la carte"/>
    <hyperlink ref="Q1124" r:id="rId2822" display="Ouvrir"/>
    <hyperlink ref="H1125" r:id="rId2823" display="https://apulian.fr"/>
    <hyperlink ref="P1125" r:id="rId2824" display="Voir la carte"/>
    <hyperlink ref="Q1125" r:id="rId2825" display="Ouvrir"/>
    <hyperlink ref="P1126" r:id="rId2826" display="Voir la carte"/>
    <hyperlink ref="Q1126" r:id="rId2827" display="Ouvrir"/>
    <hyperlink ref="H1127" r:id="rId2828" display="https://www.buffalo-grill.fr/nos-restaurants/toulouse-ramonville-saint-agne"/>
    <hyperlink ref="P1127" r:id="rId2829" display="Voir la carte"/>
    <hyperlink ref="Q1127" r:id="rId2830" display="Ouvrir"/>
    <hyperlink ref="P1128" r:id="rId2831" display="Voir la carte"/>
    <hyperlink ref="Q1128" r:id="rId2832" display="Ouvrir"/>
    <hyperlink ref="H1129" r:id="rId2833" display="https://restaurant-capland.fr"/>
    <hyperlink ref="P1129" r:id="rId2834" display="Voir la carte"/>
    <hyperlink ref="Q1129" r:id="rId2835" display="Ouvrir"/>
    <hyperlink ref="H1130" r:id="rId2836" display="https://www.chez-david-ramonville.fr/"/>
    <hyperlink ref="P1130" r:id="rId2837" display="Voir la carte"/>
    <hyperlink ref="Q1130" r:id="rId2838" display="Ouvrir"/>
    <hyperlink ref="H1131" r:id="rId2839" display="https://latabledelaurent.com/"/>
    <hyperlink ref="P1131" r:id="rId2840" display="Voir la carte"/>
    <hyperlink ref="Q1131" r:id="rId2841" display="Ouvrir"/>
    <hyperlink ref="H1132" r:id="rId2842" display="https://le103.eatbu.com/"/>
    <hyperlink ref="P1132" r:id="rId2843" display="Voir la carte"/>
    <hyperlink ref="Q1132" r:id="rId2844" display="Ouvrir"/>
    <hyperlink ref="H1133" r:id="rId2845" display="http://www.lebikini.com/"/>
    <hyperlink ref="P1133" r:id="rId2846" display="Voir la carte"/>
    <hyperlink ref="Q1133" r:id="rId2847" display="Ouvrir"/>
    <hyperlink ref="H1134" r:id="rId2848" display="http://www.ledomainedemontjoie.com/restaurant/"/>
    <hyperlink ref="P1134" r:id="rId2849" display="Voir la carte"/>
    <hyperlink ref="Q1134" r:id="rId2850" display="Ouvrir"/>
    <hyperlink ref="P1135" r:id="rId2851" display="Voir la carte"/>
    <hyperlink ref="Q1135" r:id="rId2852" display="Ouvrir"/>
    <hyperlink ref="P1136" r:id="rId2853" display="Voir la carte"/>
    <hyperlink ref="Q1136" r:id="rId2854" display="Ouvrir"/>
    <hyperlink ref="H1137" r:id="rId2855" display="https://pizzanicoramonville.fr"/>
    <hyperlink ref="P1137" r:id="rId2856" display="Voir la carte"/>
    <hyperlink ref="Q1137" r:id="rId2857" display="Ouvrir"/>
    <hyperlink ref="H1138" r:id="rId2858" display="https://www.pizza-mongelli.com/reservation-mongelli-ramonville/"/>
    <hyperlink ref="P1138" r:id="rId2859" display="Voir la carte"/>
    <hyperlink ref="Q1138" r:id="rId2860" display="Ouvrir"/>
    <hyperlink ref="P1139" r:id="rId2861" display="Voir la carte"/>
    <hyperlink ref="Q1139" r:id="rId2862" display="Ouvrir"/>
    <hyperlink ref="P1140" r:id="rId2863" display="Voir la carte"/>
    <hyperlink ref="Q1140" r:id="rId2864" display="Ouvrir"/>
    <hyperlink ref="P1141" r:id="rId2865" display="Voir la carte"/>
    <hyperlink ref="Q1141" r:id="rId2866" display="Ouvrir"/>
    <hyperlink ref="P1142" r:id="rId2867" display="Voir la carte"/>
    <hyperlink ref="Q1142" r:id="rId2868" display="Ouvrir"/>
    <hyperlink ref="H1143" r:id="rId2869" display="http://etape-d-asie.fr/"/>
    <hyperlink ref="P1143" r:id="rId2870" display="Voir la carte"/>
    <hyperlink ref="Q1143" r:id="rId2871" display="Ouvrir"/>
    <hyperlink ref="P1144" r:id="rId2872" display="Voir la carte"/>
    <hyperlink ref="Q1144" r:id="rId2873" display="Ouvrir"/>
    <hyperlink ref="H1145" r:id="rId2874" display="https://auxgoutsdailleurs.com/"/>
    <hyperlink ref="P1145" r:id="rId2875" display="Voir la carte"/>
    <hyperlink ref="Q1145" r:id="rId2876" display="Ouvrir"/>
    <hyperlink ref="H1146" r:id="rId2877" display="https://www.burgersetterroir.fr/"/>
    <hyperlink ref="P1146" r:id="rId2878" display="Voir la carte"/>
    <hyperlink ref="Q1146" r:id="rId2879" display="Ouvrir"/>
    <hyperlink ref="H1147" r:id="rId2880" display="http://candelu-pizza.fr/"/>
    <hyperlink ref="P1147" r:id="rId2881" display="Voir la carte"/>
    <hyperlink ref="Q1147" r:id="rId2882" display="Ouvrir"/>
    <hyperlink ref="P1148" r:id="rId2883" display="Voir la carte"/>
    <hyperlink ref="Q1148" r:id="rId2884" display="Ouvrir"/>
    <hyperlink ref="H1149" r:id="rId2885" display="https://m.facebook.com/lantidoteRL/"/>
    <hyperlink ref="P1149" r:id="rId2886" display="Voir la carte"/>
    <hyperlink ref="Q1149" r:id="rId2887" display="Ouvrir"/>
    <hyperlink ref="H1150" r:id="rId2888" display="https://www.lassiettevoyageuse31.fr/"/>
    <hyperlink ref="P1150" r:id="rId2889" display="Voir la carte"/>
    <hyperlink ref="Q1150" r:id="rId2890" display="Ouvrir"/>
    <hyperlink ref="H1151" r:id="rId2891" display="https://www.indochinecastanet.fr/"/>
    <hyperlink ref="P1151" r:id="rId2892" display="Voir la carte"/>
    <hyperlink ref="Q1151" r:id="rId2893" display="Ouvrir"/>
    <hyperlink ref="P1152" r:id="rId2894" display="Voir la carte"/>
    <hyperlink ref="Q1152" r:id="rId2895" display="Ouvrir"/>
    <hyperlink ref="P1153" r:id="rId2896" display="Voir la carte"/>
    <hyperlink ref="Q1153" r:id="rId2897" display="Ouvrir"/>
    <hyperlink ref="P1154" r:id="rId2898" display="Voir la carte"/>
    <hyperlink ref="Q1154" r:id="rId2899" display="Ouvrir"/>
    <hyperlink ref="P1155" r:id="rId2900" display="Voir la carte"/>
    <hyperlink ref="Q1155" r:id="rId2901" display="Ouvrir"/>
    <hyperlink ref="H1156" r:id="rId2902" display="https://lejardindelana.fr/"/>
    <hyperlink ref="P1156" r:id="rId2903" display="Voir la carte"/>
    <hyperlink ref="Q1156" r:id="rId2904" display="Ouvrir"/>
    <hyperlink ref="H1157" r:id="rId2905" display="https://pokoshi.fr"/>
    <hyperlink ref="P1157" r:id="rId2906" display="Voir la carte"/>
    <hyperlink ref="Q1157" r:id="rId2907" display="Ouvrir"/>
    <hyperlink ref="H1158" r:id="rId2908" display="https://www.stephie-romeo.fr"/>
    <hyperlink ref="P1158" r:id="rId2909" display="Voir la carte"/>
    <hyperlink ref="Q1158" r:id="rId2910" display="Ouvrir"/>
    <hyperlink ref="H1159" r:id="rId2911" display="https://traditionpizza.fr/"/>
    <hyperlink ref="P1159" r:id="rId2912" display="Voir la carte"/>
    <hyperlink ref="Q1159" r:id="rId2913" display="Ouvrir"/>
    <hyperlink ref="P1160" r:id="rId2914" display="Voir la carte"/>
    <hyperlink ref="Q1160" r:id="rId2915" display="Ouvrir"/>
    <hyperlink ref="P1161" r:id="rId2916" display="Voir la carte"/>
    <hyperlink ref="Q1161" r:id="rId2917" display="Ouvrir"/>
    <hyperlink ref="P1162" r:id="rId2918" display="Voir la carte"/>
    <hyperlink ref="Q1162" r:id="rId2919" display="Ouvrir"/>
    <hyperlink ref="H1163" r:id="rId2920" display="https://www.pitcholina.fr"/>
    <hyperlink ref="P1163" r:id="rId2921" display="Voir la carte"/>
    <hyperlink ref="Q1163" r:id="rId2922" display="Ouvrir"/>
    <hyperlink ref="H1164" r:id="rId2923" display="https://bistro-regent.fr/"/>
    <hyperlink ref="P1164" r:id="rId2924" display="Voir la carte"/>
    <hyperlink ref="Q1164" r:id="rId2925" display="Ouvrir"/>
    <hyperlink ref="P1165" r:id="rId2926" display="Voir la carte"/>
    <hyperlink ref="Q1165" r:id="rId2927" display="Ouvrir"/>
    <hyperlink ref="P1166" r:id="rId2928" display="Voir la carte"/>
    <hyperlink ref="Q1166" r:id="rId2929" display="Ouvrir"/>
    <hyperlink ref="P1167" r:id="rId2930" display="Voir la carte"/>
    <hyperlink ref="Q1167" r:id="rId2931" display="Ouvrir"/>
    <hyperlink ref="H1168" r:id="rId2932" display="https://www.delarte.fr/nos-restaurants/occitanie/haute-garonne/st-orens-de-gameville/pizzeria-toulouse-saint-orens"/>
    <hyperlink ref="P1168" r:id="rId2933" display="Voir la carte"/>
    <hyperlink ref="Q1168" r:id="rId2934" display="Ouvrir"/>
    <hyperlink ref="P1169" r:id="rId2935" display="Voir la carte"/>
    <hyperlink ref="Q1169" r:id="rId2936" display="Ouvrir"/>
    <hyperlink ref="P1170" r:id="rId2937" display="Voir la carte"/>
    <hyperlink ref="Q1170" r:id="rId2938" display="Ouvrir"/>
    <hyperlink ref="P1171" r:id="rId2939" display="Voir la carte"/>
    <hyperlink ref="Q1171" r:id="rId2940" display="Ouvrir"/>
    <hyperlink ref="P1172" r:id="rId2941" display="Voir la carte"/>
    <hyperlink ref="Q1172" r:id="rId2942" display="Ouvrir"/>
    <hyperlink ref="P1173" r:id="rId2943" display="Voir la carte"/>
    <hyperlink ref="Q1173" r:id="rId2944" display="Ouvrir"/>
    <hyperlink ref="P1174" r:id="rId2945" display="Voir la carte"/>
    <hyperlink ref="Q1174" r:id="rId2946" display="Ouvrir"/>
    <hyperlink ref="P1175" r:id="rId2947" display="Voir la carte"/>
    <hyperlink ref="Q1175" r:id="rId2948" display="Ouvrir"/>
    <hyperlink ref="H1176" r:id="rId2949" display="https://www.restaurant-asiansaveurs.fr"/>
    <hyperlink ref="P1176" r:id="rId2950" display="Voir la carte"/>
    <hyperlink ref="Q1176" r:id="rId2951" display="Ouvrir"/>
    <hyperlink ref="P1177" r:id="rId2952" display="Voir la carte"/>
    <hyperlink ref="Q1177" r:id="rId2953" display="Ouvrir"/>
    <hyperlink ref="H1178" r:id="rId2954" display="https://www.holdem-cafe.fr/"/>
    <hyperlink ref="P1178" r:id="rId2955" display="Voir la carte"/>
    <hyperlink ref="Q1178" r:id="rId2956" display="Ouvrir"/>
    <hyperlink ref="P1179" r:id="rId2957" display="Voir la carte"/>
    <hyperlink ref="Q1179" r:id="rId2958" display="Ouvrir"/>
    <hyperlink ref="P1180" r:id="rId2959" display="Voir la carte"/>
    <hyperlink ref="Q1180" r:id="rId2960" display="Ouvrir"/>
    <hyperlink ref="P1181" r:id="rId2961" display="Voir la carte"/>
    <hyperlink ref="Q1181" r:id="rId2962" display="Ouvrir"/>
    <hyperlink ref="P1182" r:id="rId2963" display="Voir la carte"/>
    <hyperlink ref="Q1182" r:id="rId2964" display="Ouvrir"/>
    <hyperlink ref="H1183" r:id="rId2965" display="https://www.restaurantlabambouseraie.com/"/>
    <hyperlink ref="P1183" r:id="rId2966" display="Voir la carte"/>
    <hyperlink ref="Q1183" r:id="rId2967" display="Ouvrir"/>
    <hyperlink ref="H1184" r:id="rId2968" display="https://www.bonneauberge31.fr/"/>
    <hyperlink ref="P1184" r:id="rId2969" display="Voir la carte"/>
    <hyperlink ref="Q1184" r:id="rId2970" display="Ouvrir"/>
    <hyperlink ref="P1185" r:id="rId2971" display="Voir la carte"/>
    <hyperlink ref="Q1185" r:id="rId2972" display="Ouvrir"/>
    <hyperlink ref="P1186" r:id="rId2973" display="Voir la carte"/>
    <hyperlink ref="Q1186" r:id="rId2974" display="Ouvrir"/>
    <hyperlink ref="P1187" r:id="rId2975" display="Voir la carte"/>
    <hyperlink ref="Q1187" r:id="rId2976" display="Ouvrir"/>
    <hyperlink ref="H1188" r:id="rId2977" display="http://www.les9dragons.fr/"/>
    <hyperlink ref="P1188" r:id="rId2978" display="Voir la carte"/>
    <hyperlink ref="Q1188" r:id="rId2979" display="Ouvrir"/>
    <hyperlink ref="H1189" r:id="rId2980" display="http://lesmetsenmelee.com/"/>
    <hyperlink ref="P1189" r:id="rId2981" display="Voir la carte"/>
    <hyperlink ref="Q1189" r:id="rId2982" display="Ouvrir"/>
    <hyperlink ref="P1190" r:id="rId2983" display="Voir la carte"/>
    <hyperlink ref="Q1190" r:id="rId2984" display="Ouvrir"/>
    <hyperlink ref="P1191" r:id="rId2985" display="Voir la carte"/>
    <hyperlink ref="Q1191" r:id="rId2986" display="Ouvrir"/>
    <hyperlink ref="P1192" r:id="rId2987" display="Voir la carte"/>
    <hyperlink ref="Q1192" r:id="rId2988" display="Ouvrir"/>
    <hyperlink ref="H1193" r:id="rId2989" display="https://www.pizzapapa.fr/"/>
    <hyperlink ref="P1193" r:id="rId2990" display="Voir la carte"/>
    <hyperlink ref="Q1193" r:id="rId2991" display="Ouvrir"/>
    <hyperlink ref="H1194" r:id="rId2992" display="https://pokewok31.fr/"/>
    <hyperlink ref="P1194" r:id="rId2993" display="Voir la carte"/>
    <hyperlink ref="Q1194" r:id="rId2994" display="Ouvrir"/>
    <hyperlink ref="H1195" r:id="rId2995" display="https://www.rougecomptoir.fr/"/>
    <hyperlink ref="P1195" r:id="rId2996" display="Voir la carte"/>
    <hyperlink ref="Q1195" r:id="rId2997" display="Ouvrir"/>
    <hyperlink ref="P1196" r:id="rId2998" display="Voir la carte"/>
    <hyperlink ref="Q1196" r:id="rId2999" display="Ouvrir"/>
    <hyperlink ref="P1197" r:id="rId3000" display="Voir la carte"/>
    <hyperlink ref="Q1197" r:id="rId3001" display="Ouvrir"/>
    <hyperlink ref="P1198" r:id="rId3002" display="Voir la carte"/>
    <hyperlink ref="Q1198" r:id="rId3003" display="Ouvrir"/>
    <hyperlink ref="H1199" r:id="rId3004" display="https://oki-uchi.eatbu.com"/>
    <hyperlink ref="P1199" r:id="rId3005" display="Voir la carte"/>
    <hyperlink ref="Q1199" r:id="rId3006" display="Ouvrir"/>
    <hyperlink ref="P1200" r:id="rId3007" display="Voir la carte"/>
    <hyperlink ref="Q1200" r:id="rId3008" display="Ouvrir"/>
    <hyperlink ref="P1201" r:id="rId3009" display="Voir la carte"/>
    <hyperlink ref="Q1201" r:id="rId3010" display="Ouvrir"/>
    <hyperlink ref="P1202" r:id="rId3011" display="Voir la carte"/>
    <hyperlink ref="Q1202" r:id="rId3012" display="Ouvrir"/>
    <hyperlink ref="H1203" r:id="rId3013" display="https://escaledasie.eatbu.com/?lang=fr"/>
    <hyperlink ref="P1203" r:id="rId3014" display="Voir la carte"/>
    <hyperlink ref="Q1203" r:id="rId3015" display="Ouvrir"/>
    <hyperlink ref="H1204" r:id="rId3016" display="https://www.creperie-espritlibre.fr"/>
    <hyperlink ref="P1204" r:id="rId3017" display="Voir la carte"/>
    <hyperlink ref="Q1204" r:id="rId3018" display="Ouvrir"/>
    <hyperlink ref="P1205" r:id="rId3019" display="Voir la carte"/>
    <hyperlink ref="Q1205" r:id="rId3020" display="Ouvrir"/>
    <hyperlink ref="P1206" r:id="rId3021" display="Voir la carte"/>
    <hyperlink ref="Q1206" r:id="rId3022" display="Ouvrir"/>
    <hyperlink ref="P1207" r:id="rId3023" display="Voir la carte"/>
    <hyperlink ref="Q1207" r:id="rId3024" display="Ouvrir"/>
    <hyperlink ref="P1208" r:id="rId3025" display="Voir la carte"/>
    <hyperlink ref="Q1208" r:id="rId3026" display="Ouvrir"/>
    <hyperlink ref="P1209" r:id="rId3027" display="Voir la carte"/>
    <hyperlink ref="Q1209" r:id="rId3028" display="Ouvrir"/>
    <hyperlink ref="P1210" r:id="rId3029" display="Voir la carte"/>
    <hyperlink ref="Q1210" r:id="rId3030" display="Ouvrir"/>
    <hyperlink ref="H1211" r:id="rId3031" display="https://garonne.restaurantfujin.com/fr/"/>
    <hyperlink ref="P1211" r:id="rId3032" display="Voir la carte"/>
    <hyperlink ref="Q1211" r:id="rId3033" display="Ouvrir"/>
    <hyperlink ref="P1212" r:id="rId3034" display="Voir la carte"/>
    <hyperlink ref="Q1212" r:id="rId3035" display="Ouvrir"/>
    <hyperlink ref="P1213" r:id="rId3036" display="Voir la carte"/>
    <hyperlink ref="Q1213" r:id="rId3037" display="Ouvrir"/>
    <hyperlink ref="P1214" r:id="rId3038" display="Voir la carte"/>
    <hyperlink ref="Q1214" r:id="rId3039" display="Ouvrir"/>
    <hyperlink ref="P1215" r:id="rId3040" display="Voir la carte"/>
    <hyperlink ref="Q1215" r:id="rId3041" display="Ouvrir"/>
    <hyperlink ref="P1216" r:id="rId3042" display="Voir la carte"/>
    <hyperlink ref="Q1216" r:id="rId3043" display="Ouvrir"/>
    <hyperlink ref="H1217" r:id="rId3044" display="http://www.lesjardinsdelenclos.fr/"/>
    <hyperlink ref="P1217" r:id="rId3045" display="Voir la carte"/>
    <hyperlink ref="Q1217" r:id="rId3046" display="Ouvrir"/>
    <hyperlink ref="H1218" r:id="rId3047" display="https://www.delarte.fr/restaurant-italien-pizzeria-toulouse-portet-sur-garonne.html"/>
    <hyperlink ref="P1218" r:id="rId3048" display="Voir la carte"/>
    <hyperlink ref="Q1218" r:id="rId3049" display="Ouvrir"/>
    <hyperlink ref="H1219" r:id="rId3050" display="https://lepetitfrou.fr/"/>
    <hyperlink ref="P1219" r:id="rId3051" display="Voir la carte"/>
    <hyperlink ref="Q1219" r:id="rId3052" display="Ouvrir"/>
    <hyperlink ref="P1220" r:id="rId3053" display="Voir la carte"/>
    <hyperlink ref="Q1220" r:id="rId3054" display="Ouvrir"/>
    <hyperlink ref="H1221" r:id="rId3055" display="https://le-brasier.eatbu.com/"/>
    <hyperlink ref="P1221" r:id="rId3056" display="Voir la carte"/>
    <hyperlink ref="Q1221" r:id="rId3057" display="Ouvrir"/>
    <hyperlink ref="P1222" r:id="rId3058" display="Voir la carte"/>
    <hyperlink ref="Q1222" r:id="rId3059" display="Ouvrir"/>
    <hyperlink ref="P1223" r:id="rId3060" display="Voir la carte"/>
    <hyperlink ref="Q1223" r:id="rId3061" display="Ouvrir"/>
    <hyperlink ref="P1224" r:id="rId3062" display="Voir la carte"/>
    <hyperlink ref="Q1224" r:id="rId3063" display="Ouvrir"/>
    <hyperlink ref="H1225" r:id="rId3064" display="http://www.restaurant-kory.fr/"/>
    <hyperlink ref="P1225" r:id="rId3065" display="Voir la carte"/>
    <hyperlink ref="Q1225" r:id="rId3066" display="Ouvrir"/>
    <hyperlink ref="P1226" r:id="rId3067" display="Voir la carte"/>
    <hyperlink ref="Q1226" r:id="rId3068" display="Ouvrir"/>
    <hyperlink ref="H1227" r:id="rId3069" display="https://www.lacoteetlarete.fr/"/>
    <hyperlink ref="P1227" r:id="rId3070" display="Voir la carte"/>
    <hyperlink ref="Q1227" r:id="rId3071" display="Ouvrir"/>
    <hyperlink ref="H1228" r:id="rId3072" display="https://lejardincreole.eatbu.com"/>
    <hyperlink ref="P1228" r:id="rId3073" display="Voir la carte"/>
    <hyperlink ref="Q1228" r:id="rId3074" display="Ouvrir"/>
    <hyperlink ref="H1229" r:id="rId3075" display="https://www.lelieutrattoria.com/?lang=fr"/>
    <hyperlink ref="P1229" r:id="rId3076" display="Voir la carte"/>
    <hyperlink ref="Q1229" r:id="rId3077" display="Ouvrir"/>
    <hyperlink ref="P1230" r:id="rId3078" display="Voir la carte"/>
    <hyperlink ref="Q1230" r:id="rId3079" display="Ouvrir"/>
    <hyperlink ref="H1231" r:id="rId3080" display="https://www.alardoise-restaurant.fr/"/>
    <hyperlink ref="P1231" r:id="rId3081" display="Voir la carte"/>
    <hyperlink ref="Q1231" r:id="rId3082" display="Ouvrir"/>
    <hyperlink ref="P1232" r:id="rId3083" display="Voir la carte"/>
    <hyperlink ref="Q1232" r:id="rId3084" display="Ouvrir"/>
    <hyperlink ref="P1233" r:id="rId3085" display="Voir la carte"/>
    <hyperlink ref="Q1233" r:id="rId3086" display="Ouvrir"/>
    <hyperlink ref="P1234" r:id="rId3087" display="Voir la carte"/>
    <hyperlink ref="Q1234" r:id="rId3088" display="Ouvrir"/>
    <hyperlink ref="P1235" r:id="rId3089" display="Voir la carte"/>
    <hyperlink ref="Q1235" r:id="rId3090" display="Ouvrir"/>
    <hyperlink ref="P1236" r:id="rId3091" display="Voir la carte"/>
    <hyperlink ref="Q1236" r:id="rId3092" display="Ouvrir"/>
    <hyperlink ref="H1237" r:id="rId3093" display="https://www.winefood.fr/"/>
    <hyperlink ref="P1237" r:id="rId3094" display="Voir la carte"/>
    <hyperlink ref="Q1237" r:id="rId3095" display="Ouvrir"/>
    <hyperlink ref="P1238" r:id="rId3096" display="Voir la carte"/>
    <hyperlink ref="Q1238" r:id="rId3097" display="Ouvrir"/>
    <hyperlink ref="H1239" r:id="rId3098" display="https://www.facebook.com/casadicarlottapizza/"/>
    <hyperlink ref="P1239" r:id="rId3099" display="Voir la carte"/>
    <hyperlink ref="Q1239" r:id="rId3100" display="Ouvrir"/>
    <hyperlink ref="H1240" r:id="rId3101" display="https://www.restaurantle11.fr/"/>
    <hyperlink ref="P1240" r:id="rId3102" display="Voir la carte"/>
    <hyperlink ref="Q1240" r:id="rId3103" display="Ouvrir"/>
    <hyperlink ref="P1241" r:id="rId3104" display="Voir la carte"/>
    <hyperlink ref="Q1241" r:id="rId3105" display="Ouvrir"/>
    <hyperlink ref="P1242" r:id="rId3106" display="Voir la carte"/>
    <hyperlink ref="Q1242" r:id="rId3107" display="Ouvrir"/>
    <hyperlink ref="P1243" r:id="rId3108" display="Voir la carte"/>
    <hyperlink ref="Q1243" r:id="rId3109" display="Ouvrir"/>
    <hyperlink ref="P1244" r:id="rId3110" display="Voir la carte"/>
    <hyperlink ref="Q1244" r:id="rId3111" display="Ouvrir"/>
    <hyperlink ref="P1245" r:id="rId3112" display="Voir la carte"/>
    <hyperlink ref="Q1245" r:id="rId3113" display="Ouvrir"/>
    <hyperlink ref="P1246" r:id="rId3114" display="Voir la carte"/>
    <hyperlink ref="Q1246" r:id="rId3115" display="Ouvrir"/>
    <hyperlink ref="P1247" r:id="rId3116" display="Voir la carte"/>
    <hyperlink ref="Q1247" r:id="rId3117" display="Ouvrir"/>
    <hyperlink ref="H1248" r:id="rId3118" display="https://restaurantlanimal.fr"/>
    <hyperlink ref="P1248" r:id="rId3119" display="Voir la carte"/>
    <hyperlink ref="Q1248" r:id="rId3120" display="Ouvrir"/>
    <hyperlink ref="P1249" r:id="rId3121" display="Voir la carte"/>
    <hyperlink ref="Q1249" r:id="rId3122" display="Ouvrir"/>
    <hyperlink ref="H1250" r:id="rId3123" display="https://la-cantine-des-canailles.eatbu.com/"/>
    <hyperlink ref="P1250" r:id="rId3124" display="Voir la carte"/>
    <hyperlink ref="Q1250" r:id="rId3125" display="Ouvrir"/>
    <hyperlink ref="P1251" r:id="rId3126" display="Voir la carte"/>
    <hyperlink ref="Q1251" r:id="rId3127" display="Ouvrir"/>
    <hyperlink ref="P1252" r:id="rId3128" display="Voir la carte"/>
    <hyperlink ref="Q1252" r:id="rId3129" display="Ouvrir"/>
    <hyperlink ref="P1253" r:id="rId3130" display="Voir la carte"/>
    <hyperlink ref="Q1253" r:id="rId3131" display="Ouvrir"/>
    <hyperlink ref="P1254" r:id="rId3132" display="Voir la carte"/>
    <hyperlink ref="Q1254" r:id="rId3133" display="Ouvrir"/>
    <hyperlink ref="H1255" r:id="rId3134" display="https://les-soeurs-veg.fr"/>
    <hyperlink ref="P1255" r:id="rId3135" display="Voir la carte"/>
    <hyperlink ref="Q1255" r:id="rId3136" display="Ouvrir"/>
    <hyperlink ref="P1256" r:id="rId3137" display="Voir la carte"/>
    <hyperlink ref="Q1256" r:id="rId3138" display="Ouvrir"/>
    <hyperlink ref="P1257" r:id="rId3139" display="Voir la carte"/>
    <hyperlink ref="Q1257" r:id="rId3140" display="Ouvrir"/>
    <hyperlink ref="P1258" r:id="rId3141" display="Voir la carte"/>
    <hyperlink ref="Q1258" r:id="rId3142" display="Ouvrir"/>
    <hyperlink ref="P1259" r:id="rId3143" display="Voir la carte"/>
    <hyperlink ref="Q1259" r:id="rId3144" display="Ouvrir"/>
    <hyperlink ref="P1260" r:id="rId3145" display="Voir la carte"/>
    <hyperlink ref="Q1260" r:id="rId3146" display="Ouvrir"/>
    <hyperlink ref="P1261" r:id="rId3147" display="Voir la carte"/>
    <hyperlink ref="Q1261" r:id="rId3148" display="Ouvrir"/>
    <hyperlink ref="P1262" r:id="rId3149" display="Voir la carte"/>
    <hyperlink ref="Q1262" r:id="rId3150" display="Ouvrir"/>
    <hyperlink ref="P1263" r:id="rId3151" display="Voir la carte"/>
    <hyperlink ref="Q1263" r:id="rId3152" display="Ouvrir"/>
    <hyperlink ref="H1264" r:id="rId3153" display="https://botna.fr/botna-beauzelle/"/>
    <hyperlink ref="P1264" r:id="rId3154" display="Voir la carte"/>
    <hyperlink ref="Q1264" r:id="rId3155" display="Ouvrir"/>
    <hyperlink ref="H1265" r:id="rId3156" display="https://freshcooking.fr/"/>
    <hyperlink ref="P1265" r:id="rId3157" display="Voir la carte"/>
    <hyperlink ref="Q1265" r:id="rId3158" display="Ouvrir"/>
    <hyperlink ref="H1266" r:id="rId3159" display="https://lardoisebeauzelle.sitew.fr/"/>
    <hyperlink ref="P1266" r:id="rId3160" display="Voir la carte"/>
    <hyperlink ref="Q1266" r:id="rId3161" display="Ouvrir"/>
    <hyperlink ref="H1267" r:id="rId3162" display="https://www.aubergedebeauzelle.fr/"/>
    <hyperlink ref="P1267" r:id="rId3163" display="Voir la carte"/>
    <hyperlink ref="Q1267" r:id="rId3164" display="Ouvrir"/>
    <hyperlink ref="H1268" r:id="rId3165" display="https://lecarredessports.fr/"/>
    <hyperlink ref="P1268" r:id="rId3166" display="Voir la carte"/>
    <hyperlink ref="Q1268" r:id="rId3167" display="Ouvrir"/>
    <hyperlink ref="H1269" r:id="rId3168" display="https://jeromecourtois1.wixsite.com/legarossosbarrestaur"/>
    <hyperlink ref="P1269" r:id="rId3169" display="Voir la carte"/>
    <hyperlink ref="Q1269" r:id="rId3170" display="Ouvrir"/>
    <hyperlink ref="H1270" r:id="rId3171" display="https://lepicerierestaurant.fr/"/>
    <hyperlink ref="P1270" r:id="rId3172" display="Voir la carte"/>
    <hyperlink ref="Q1270" r:id="rId3173" display="Ouvrir"/>
    <hyperlink ref="P1271" r:id="rId3174" display="Voir la carte"/>
    <hyperlink ref="Q1271" r:id="rId3175" display="Ouvrir"/>
    <hyperlink ref="H1272" r:id="rId3176" display="https://www.laloukapizzeria.fr/carte-1"/>
    <hyperlink ref="P1272" r:id="rId3177" display="Voir la carte"/>
    <hyperlink ref="Q1272" r:id="rId3178" display="Ouvrir"/>
    <hyperlink ref="H1273" r:id="rId3179" display="https://www.la-table-des-oliviers.com/"/>
    <hyperlink ref="P1273" r:id="rId3180" display="Voir la carte"/>
    <hyperlink ref="Q1273" r:id="rId3181" display="Ouvrir"/>
    <hyperlink ref="H1274" r:id="rId3182" display="https://www.ledomainedulac.com/"/>
    <hyperlink ref="P1274" r:id="rId3183" display="Voir la carte"/>
    <hyperlink ref="Q1274" r:id="rId3184" display="Ouvrir"/>
    <hyperlink ref="P1275" r:id="rId3185" display="Voir la carte"/>
    <hyperlink ref="Q1275" r:id="rId3186" display="Ouvrir"/>
    <hyperlink ref="H1276" r:id="rId3187" display="https://www.montini-pizza.com/fr/la-carte"/>
    <hyperlink ref="P1276" r:id="rId3188" display="Voir la carte"/>
    <hyperlink ref="Q1276" r:id="rId3189" display="Ouvrir"/>
    <hyperlink ref="P1277" r:id="rId3190" display="Voir la carte"/>
    <hyperlink ref="Q1277" r:id="rId3191" display="Ouvrir"/>
    <hyperlink ref="P1278" r:id="rId3192" display="Voir la carte"/>
    <hyperlink ref="Q1278" r:id="rId3193" display="Ouvrir"/>
    <hyperlink ref="P1279" r:id="rId3194" display="Voir la carte"/>
    <hyperlink ref="Q1279" r:id="rId3195" display="Ouvrir"/>
    <hyperlink ref="P1280" r:id="rId3196" display="Voir la carte"/>
    <hyperlink ref="Q1280" r:id="rId3197" display="Ouvrir"/>
    <hyperlink ref="P1281" r:id="rId3198" display="Voir la carte"/>
    <hyperlink ref="Q1281" r:id="rId3199" display="Ouvrir"/>
    <hyperlink ref="P1282" r:id="rId3200" display="Voir la carte"/>
    <hyperlink ref="Q1282" r:id="rId3201" display="Ouvrir"/>
    <hyperlink ref="P1283" r:id="rId3202" display="Voir la carte"/>
    <hyperlink ref="Q1283" r:id="rId3203" display="Ouvrir"/>
    <hyperlink ref="P1284" r:id="rId3204" display="Voir la carte"/>
    <hyperlink ref="Q1284" r:id="rId3205" display="Ouvrir"/>
    <hyperlink ref="P1285" r:id="rId3206" display="Voir la carte"/>
    <hyperlink ref="Q1285" r:id="rId3207" display="Ouvrir"/>
    <hyperlink ref="P1286" r:id="rId3208" display="Voir la carte"/>
    <hyperlink ref="Q1286" r:id="rId3209" display="Ouvrir"/>
    <hyperlink ref="H1287" r:id="rId3210" display="http://www.mast.fr/"/>
    <hyperlink ref="P1287" r:id="rId3211" display="Voir la carte"/>
    <hyperlink ref="Q1287" r:id="rId3212" display="Ouvrir"/>
    <hyperlink ref="H1288" r:id="rId3213" display="https://www.pizzapapadistelo.com/"/>
    <hyperlink ref="P1288" r:id="rId3214" display="Voir la carte"/>
    <hyperlink ref="Q1288" r:id="rId3215" display="Ouvrir"/>
    <hyperlink ref="H1289" r:id="rId3216" display="https://www.pizzaval.com/"/>
    <hyperlink ref="P1289" r:id="rId3217" display="Voir la carte"/>
    <hyperlink ref="Q1289" r:id="rId3218" display="Ouvrir"/>
    <hyperlink ref="P1290" r:id="rId3219" display="Voir la carte"/>
    <hyperlink ref="Q1290" r:id="rId3220" display="Ouvrir"/>
    <hyperlink ref="H1291" r:id="rId3221" display="https://www.facebook.com/PizzeriaBellagioOfficiel"/>
    <hyperlink ref="P1291" r:id="rId3222" display="Voir la carte"/>
    <hyperlink ref="Q1291" r:id="rId3223" display="Ouvrir"/>
    <hyperlink ref="H1292" r:id="rId3224" display="http://www.litalienne.fr/"/>
    <hyperlink ref="P1292" r:id="rId3225" display="Voir la carte"/>
    <hyperlink ref="Q1292" r:id="rId3226" display="Ouvrir"/>
    <hyperlink ref="P1293" r:id="rId3227" display="Voir la carte"/>
    <hyperlink ref="Q1293" r:id="rId3228" display="Ouvrir"/>
    <hyperlink ref="P1294" r:id="rId3229" display="Voir la carte"/>
    <hyperlink ref="Q1294" r:id="rId3230" display="Ouvrir"/>
    <hyperlink ref="P1295" r:id="rId3231" display="Voir la carte"/>
    <hyperlink ref="Q1295" r:id="rId3232" display="Ouvrir"/>
    <hyperlink ref="P1296" r:id="rId3233" display="Voir la carte"/>
    <hyperlink ref="Q1296" r:id="rId3234" display="Ouvrir"/>
    <hyperlink ref="H1297" r:id="rId3235" display="https://www.en-pleine-nature.com/"/>
    <hyperlink ref="P1297" r:id="rId3236" display="Voir la carte"/>
    <hyperlink ref="Q1297" r:id="rId3237" display="Ouvrir"/>
    <hyperlink ref="H1298" r:id="rId3238" display="https://restaurantgalabar.fr/"/>
    <hyperlink ref="P1298" r:id="rId3239" display="Voir la carte"/>
    <hyperlink ref="Q1298" r:id="rId3240" display="Ouvrir"/>
    <hyperlink ref="H1299" r:id="rId3241" display="https://www.lebistrodescopains.com"/>
    <hyperlink ref="P1299" r:id="rId3242" display="Voir la carte"/>
    <hyperlink ref="Q1299" r:id="rId3243" display="Ouvrir"/>
    <hyperlink ref="H1300" r:id="rId3244" display="https://www.les-caprices.fr/"/>
    <hyperlink ref="P1300" r:id="rId3245" display="Voir la carte"/>
    <hyperlink ref="Q1300" r:id="rId3246" display="Ouvrir"/>
    <hyperlink ref="H1301" r:id="rId3247" display="https://www.pizza-mongelli.com/"/>
    <hyperlink ref="P1301" r:id="rId3248" display="Voir la carte"/>
    <hyperlink ref="Q1301" r:id="rId3249" display="Ouvrir"/>
    <hyperlink ref="H1302" r:id="rId3250" display="https://suke-sushi-quint-fonsegrives.eatbu.com/"/>
    <hyperlink ref="P1302" r:id="rId3251" display="Voir la carte"/>
    <hyperlink ref="Q1302" r:id="rId3252" display="Ouvrir"/>
    <hyperlink ref="P1303" r:id="rId3253" display="Voir la carte"/>
    <hyperlink ref="Q1303" r:id="rId3254" display="Ouvrir"/>
    <hyperlink ref="H1304" r:id="rId3255" display="https://zenquint.fr"/>
    <hyperlink ref="P1304" r:id="rId3256" display="Voir la carte"/>
    <hyperlink ref="Q1304" r:id="rId3257" display="Ouvrir"/>
    <hyperlink ref="H1305" r:id="rId3258" display="https://www.facebook.com/Decofeine/"/>
    <hyperlink ref="P1305" r:id="rId3259" display="Voir la carte"/>
    <hyperlink ref="Q1305" r:id="rId3260" display="Ouvrir"/>
    <hyperlink ref="H1306" r:id="rId3261" display="https://le-quarre.fr/restaurant"/>
    <hyperlink ref="P1306" r:id="rId3262" display="Voir la carte"/>
    <hyperlink ref="Q1306" r:id="rId3263" display="Ouvrir"/>
    <hyperlink ref="H1307" r:id="rId3264" display="https://lacassineduburger.com/"/>
    <hyperlink ref="P1307" r:id="rId3265" display="Voir la carte"/>
    <hyperlink ref="Q1307" r:id="rId3266" display="Ouvrir"/>
    <hyperlink ref="H1308" r:id="rId3267" display="https://www.le-galichon-restaurant-bruguieres.fr/"/>
    <hyperlink ref="P1308" r:id="rId3268" display="Voir la carte"/>
    <hyperlink ref="Q1308" r:id="rId3269" display="Ouvrir"/>
    <hyperlink ref="H1309" r:id="rId3270" display="https://www.baraviande-lesoiessauvages.com/"/>
    <hyperlink ref="P1309" r:id="rId3271" display="Voir la carte"/>
    <hyperlink ref="Q1309" r:id="rId3272" display="Ouvrir"/>
    <hyperlink ref="P1310" r:id="rId3273" display="Voir la carte"/>
    <hyperlink ref="Q1310" r:id="rId3274" display="Ouvrir"/>
    <hyperlink ref="H1311" r:id="rId3275" display="http://popi-pizza.fr/"/>
    <hyperlink ref="P1311" r:id="rId3276" display="Voir la carte"/>
    <hyperlink ref="Q1311" r:id="rId3277" display="Ouvrir"/>
    <hyperlink ref="H1312" r:id="rId3278" display="https://www.sendosushi.fr/"/>
    <hyperlink ref="P1312" r:id="rId3279" display="Voir la carte"/>
    <hyperlink ref="Q1312" r:id="rId3280" display="Ouvrir"/>
    <hyperlink ref="H1313" r:id="rId3281" display="https://o-restaurant-de-la-place-bruguieres.eatbu.com/"/>
    <hyperlink ref="P1313" r:id="rId3282" display="Voir la carte"/>
    <hyperlink ref="Q1313" r:id="rId3283" display="Ouvrir"/>
    <hyperlink ref="H1314" r:id="rId3284" display="https://www.aubureau.fr/restaurant-brasserie/au-bureau-fenouillet"/>
    <hyperlink ref="P1314" r:id="rId3285" display="Voir la carte"/>
    <hyperlink ref="Q1314" r:id="rId3286" display="Ouvrir"/>
    <hyperlink ref="P1315" r:id="rId3287" display="Voir la carte"/>
    <hyperlink ref="Q1315" r:id="rId3288" display="Ouvrir"/>
    <hyperlink ref="H1316" r:id="rId3289" display="https://www.hippopotamus.fr/nos-restaurants/hippopotamus-toulouse-fenouillet"/>
    <hyperlink ref="P1316" r:id="rId3290" display="Voir la carte"/>
    <hyperlink ref="Q1316" r:id="rId3291" display="Ouvrir"/>
    <hyperlink ref="P1317" r:id="rId3292" display="Voir la carte"/>
    <hyperlink ref="Q1317" r:id="rId3293" display="Ouvrir"/>
    <hyperlink ref="P1318" r:id="rId3294" display="Voir la carte"/>
    <hyperlink ref="Q1318" r:id="rId3295" display="Ouvrir"/>
    <hyperlink ref="H1319" r:id="rId3296" display="https://laguinguette-enlair.fr/"/>
    <hyperlink ref="P1319" r:id="rId3297" display="Voir la carte"/>
    <hyperlink ref="Q1319" r:id="rId3298" display="Ouvrir"/>
    <hyperlink ref="P1320" r:id="rId3299" display="Voir la carte"/>
    <hyperlink ref="Q1320" r:id="rId3300" display="Ouvrir"/>
    <hyperlink ref="P1321" r:id="rId3301" display="Voir la carte"/>
    <hyperlink ref="Q1321" r:id="rId3302" display="Ouvrir"/>
    <hyperlink ref="H1322" r:id="rId3303" display="https://www.aubureau.fr/restaurant-brasserie/au-bureau-roques"/>
    <hyperlink ref="P1322" r:id="rId3304" display="Voir la carte"/>
    <hyperlink ref="Q1322" r:id="rId3305" display="Ouvrir"/>
    <hyperlink ref="H1323" r:id="rId3306" display="https://www.buffalo-grill.fr/nos-restaurants/toulouse-roques-sur-garonne"/>
    <hyperlink ref="P1323" r:id="rId3307" display="Voir la carte"/>
    <hyperlink ref="Q1323" r:id="rId3308" display="Ouvrir"/>
    <hyperlink ref="H1324" r:id="rId3309" display="https://www.flunch.fr/restaurant/roques-sur-garonne/flunch-toulouse-roques/"/>
    <hyperlink ref="P1324" r:id="rId3310" display="Voir la carte"/>
    <hyperlink ref="Q1324" r:id="rId3311" display="Ouvrir"/>
    <hyperlink ref="H1325" r:id="rId3312" display="https://restaurants.hippopotamus.fr/france/occitanie/haute-garonne/roques/toulouse-roques"/>
    <hyperlink ref="P1325" r:id="rId3313" display="Voir la carte"/>
    <hyperlink ref="Q1325" r:id="rId3314" display="Ouvrir"/>
    <hyperlink ref="P1326" r:id="rId3315" display="Voir la carte"/>
    <hyperlink ref="Q1326" r:id="rId3316" display="Ouvrir"/>
    <hyperlink ref="H1327" r:id="rId3317" display="https://www.delarte.fr/nos-restaurants/occitanie/haute-garonne/roques/pizzeria-toulouse-roques-sur-garonne"/>
    <hyperlink ref="P1327" r:id="rId3318" display="Voir la carte"/>
    <hyperlink ref="Q1327" r:id="rId3319" display="Ouvrir"/>
    <hyperlink ref="P1328" r:id="rId3320" display="Voir la carte"/>
    <hyperlink ref="Q1328" r:id="rId3321" display="Ouvrir"/>
    <hyperlink ref="P1329" r:id="rId3322" display="Voir la carte"/>
    <hyperlink ref="Q1329" r:id="rId3323" display="Ouvrir"/>
    <hyperlink ref="P1330" r:id="rId3324" display="Voir la carte"/>
    <hyperlink ref="Q1330" r:id="rId3325" display="Ouvrir"/>
    <hyperlink ref="P1331" r:id="rId3326" display="Voir la carte"/>
    <hyperlink ref="Q1331" r:id="rId3327" display="Ouvrir"/>
    <hyperlink ref="P1332" r:id="rId3328" display="Voir la carte"/>
    <hyperlink ref="Q1332" r:id="rId3329" display="Ouvrir"/>
    <hyperlink ref="P1333" r:id="rId3330" display="Voir la carte"/>
    <hyperlink ref="Q1333" r:id="rId3331" display="Ouvrir"/>
    <hyperlink ref="H1334" r:id="rId3332" display="https://ankka.fr/"/>
    <hyperlink ref="P1334" r:id="rId3333" display="Voir la carte"/>
    <hyperlink ref="Q1334" r:id="rId3334" display="Ouvrir"/>
    <hyperlink ref="H1335" r:id="rId3335" display="https://www.aubureau.fr/restaurant-brasserie/au-bureau-labege"/>
    <hyperlink ref="P1335" r:id="rId3336" display="Voir la carte"/>
    <hyperlink ref="Q1335" r:id="rId3337" display="Ouvrir"/>
    <hyperlink ref="H1336" r:id="rId3338" display="https://www.autangourmand.com/"/>
    <hyperlink ref="P1336" r:id="rId3339" display="Voir la carte"/>
    <hyperlink ref="Q1336" r:id="rId3340" display="Ouvrir"/>
    <hyperlink ref="H1337" r:id="rId3341" display="https://tobobun.com/"/>
    <hyperlink ref="P1337" r:id="rId3342" display="Voir la carte"/>
    <hyperlink ref="Q1337" r:id="rId3343" display="Ouvrir"/>
    <hyperlink ref="H1338" r:id="rId3344" display="https://bouillonlabege.com/"/>
    <hyperlink ref="P1338" r:id="rId3345" display="Voir la carte"/>
    <hyperlink ref="Q1338" r:id="rId3346" display="Ouvrir"/>
    <hyperlink ref="H1339" r:id="rId3347" display="https://restaurants.crepetouch.com/toulouse-labege-2/"/>
    <hyperlink ref="P1339" r:id="rId3348" display="Voir la carte"/>
    <hyperlink ref="Q1339" r:id="rId3349" display="Ouvrir"/>
    <hyperlink ref="H1340" r:id="rId3350" display="http://www.lejardingourmand-lunch.com"/>
    <hyperlink ref="P1340" r:id="rId3351" display="Voir la carte"/>
    <hyperlink ref="Q1340" r:id="rId3352" display="Ouvrir"/>
    <hyperlink ref="H1341" r:id="rId3353" display="https://restaurant.flunch.fr/labege/flunch-toulouse-labege/"/>
    <hyperlink ref="P1341" r:id="rId3354" display="Voir la carte"/>
    <hyperlink ref="Q1341" r:id="rId3355" display="Ouvrir"/>
    <hyperlink ref="P1342" r:id="rId3356" display="Voir la carte"/>
    <hyperlink ref="Q1342" r:id="rId3357" display="Ouvrir"/>
    <hyperlink ref="H1343" r:id="rId3358" display="https://www.hippopotamus.fr/nos-restaurants/hippopotamus-labege"/>
    <hyperlink ref="P1343" r:id="rId3359" display="Voir la carte"/>
    <hyperlink ref="Q1343" r:id="rId3360" display="Ouvrir"/>
    <hyperlink ref="H1344" r:id="rId3361" display="https://ilpopolo.fr"/>
    <hyperlink ref="P1344" r:id="rId3362" display="Voir la carte"/>
    <hyperlink ref="Q1344" r:id="rId3363" display="Ouvrir"/>
    <hyperlink ref="H1345" r:id="rId3364" display="https://kobe-sushi-labege.eatbu.com"/>
    <hyperlink ref="P1345" r:id="rId3365" display="Voir la carte"/>
    <hyperlink ref="Q1345" r:id="rId3366" display="Ouvrir"/>
    <hyperlink ref="H1346" r:id="rId3367" display="https://kumquat-cantine-vietnamienne.fr/labege"/>
    <hyperlink ref="P1346" r:id="rId3368" display="Voir la carte"/>
    <hyperlink ref="Q1346" r:id="rId3369" display="Ouvrir"/>
    <hyperlink ref="H1347" r:id="rId3370" display="https://www.laleatable.com"/>
    <hyperlink ref="P1347" r:id="rId3371" display="Voir la carte"/>
    <hyperlink ref="Q1347" r:id="rId3372" display="Ouvrir"/>
    <hyperlink ref="H1348" r:id="rId3373" display="https://www.la-boucherie.fr/Restaurant/la-boucherie-toulouse-labege-31/"/>
    <hyperlink ref="P1348" r:id="rId3374" display="Voir la carte"/>
    <hyperlink ref="Q1348" r:id="rId3375" display="Ouvrir"/>
    <hyperlink ref="H1349" r:id="rId3376" display="https://www.lacoteetlarete.fr/"/>
    <hyperlink ref="P1349" r:id="rId3377" display="Voir la carte"/>
    <hyperlink ref="Q1349" r:id="rId3378" display="Ouvrir"/>
    <hyperlink ref="H1350" r:id="rId3379" display="http://www.lafaimdesharicots.fr"/>
    <hyperlink ref="P1350" r:id="rId3380" display="Voir la carte"/>
    <hyperlink ref="Q1350" r:id="rId3381" display="Ouvrir"/>
    <hyperlink ref="H1351" r:id="rId3382" display="https://www.facebook.com/profile.php?id=61554667815484"/>
    <hyperlink ref="P1351" r:id="rId3383" display="Voir la carte"/>
    <hyperlink ref="Q1351" r:id="rId3384" display="Ouvrir"/>
    <hyperlink ref="H1352" r:id="rId3385" display="https://www.bistro-regent.fr/ou-trouver-les-bistros/toulouse-labege/"/>
    <hyperlink ref="P1352" r:id="rId3386" display="Voir la carte"/>
    <hyperlink ref="Q1352" r:id="rId3387" display="Ouvrir"/>
    <hyperlink ref="H1353" r:id="rId3388" display="https://legrandmechantgout.com"/>
    <hyperlink ref="P1353" r:id="rId3389" display="Voir la carte"/>
    <hyperlink ref="Q1353" r:id="rId3390" display="Ouvrir"/>
    <hyperlink ref="H1354" r:id="rId3391" display="https://www.3brasseurs.com"/>
    <hyperlink ref="P1354" r:id="rId3392" display="Voir la carte"/>
    <hyperlink ref="Q1354" r:id="rId3393" display="Ouvrir"/>
    <hyperlink ref="H1355" r:id="rId3394" display="http://www.lesasiatides.com/"/>
    <hyperlink ref="P1355" r:id="rId3395" display="Voir la carte"/>
    <hyperlink ref="Q1355" r:id="rId3396" display="Ouvrir"/>
    <hyperlink ref="H1356" r:id="rId3397" display="https://lesbouillonstoulousains.fr/"/>
    <hyperlink ref="P1356" r:id="rId3398" display="Voir la carte"/>
    <hyperlink ref="Q1356" r:id="rId3399" display="Ouvrir"/>
    <hyperlink ref="H1357" r:id="rId3400" display="https://lestontonsviandards.fr"/>
    <hyperlink ref="P1357" r:id="rId3401" display="Voir la carte"/>
    <hyperlink ref="Q1357" r:id="rId3402" display="Ouvrir"/>
    <hyperlink ref="P1358" r:id="rId3403" display="Voir la carte"/>
    <hyperlink ref="Q1358" r:id="rId3404" display="Ouvrir"/>
    <hyperlink ref="P1359" r:id="rId3405" display="Voir la carte"/>
    <hyperlink ref="Q1359" r:id="rId3406" display="Ouvrir"/>
    <hyperlink ref="H1360" r:id="rId3407" display="https://www.pizza-mongelli.com/reservation-mongelli-labege/"/>
    <hyperlink ref="P1360" r:id="rId3408" display="Voir la carte"/>
    <hyperlink ref="Q1360" r:id="rId3409" display="Ouvrir"/>
    <hyperlink ref="P1361" r:id="rId3410" display="Voir la carte"/>
    <hyperlink ref="Q1361" r:id="rId3411" display="Ouvrir"/>
    <hyperlink ref="H1362" r:id="rId3412" display="https://restaurants.spok.fr/toulouse-labege/"/>
    <hyperlink ref="P1362" r:id="rId3413" display="Voir la carte"/>
    <hyperlink ref="Q1362" r:id="rId3414" display="Ouvrir"/>
    <hyperlink ref="P1363" r:id="rId3415" display="Voir la carte"/>
    <hyperlink ref="Q1363" r:id="rId3416" display="Ouvrir"/>
    <hyperlink ref="H1364" r:id="rId3417" display="https://www.delarte.fr/restaurant-italien-pizzeria-toulouse-labege.html"/>
    <hyperlink ref="P1364" r:id="rId3418" display="Voir la carte"/>
    <hyperlink ref="Q1364" r:id="rId3419" display="Ouvrir"/>
    <hyperlink ref="P1365" r:id="rId3420" display="Voir la carte"/>
    <hyperlink ref="Q1365" r:id="rId3421" display="Ouvrir"/>
    <hyperlink ref="H1366" r:id="rId3422" display="http://www.sakesushi.fr/"/>
    <hyperlink ref="P1366" r:id="rId3423" display="Voir la carte"/>
    <hyperlink ref="Q1366" r:id="rId3424" display="Ouvrir"/>
    <hyperlink ref="H1367" r:id="rId3425" display="https://supper-moment.fr/"/>
    <hyperlink ref="P1367" r:id="rId3426" display="Voir la carte"/>
    <hyperlink ref="Q1367" r:id="rId3427" display="Ouvrir"/>
    <hyperlink ref="P1368" r:id="rId3428" display="Voir la carte"/>
    <hyperlink ref="Q1368" r:id="rId3429" display="Ouvrir"/>
    <hyperlink ref="H1369" r:id="rId3430" display="https://terre-et-mer-labege.com"/>
    <hyperlink ref="P1369" r:id="rId3431" display="Voir la carte"/>
    <hyperlink ref="Q1369" r:id="rId3432" display="Ouvrir"/>
    <hyperlink ref="H1370" r:id="rId3433" display="https://tokami-labege.com"/>
    <hyperlink ref="P1370" r:id="rId3434" display="Voir la carte"/>
    <hyperlink ref="Q1370" r:id="rId3435" display="Ouvrir"/>
    <hyperlink ref="H1371" r:id="rId3436" display="https://www.tommys-cafe.com/news-labege/"/>
    <hyperlink ref="P1371" r:id="rId3437" display="Voir la carte"/>
    <hyperlink ref="Q1371" r:id="rId3438" display="Ouvrir"/>
    <hyperlink ref="P1372" r:id="rId3439" display="Voir la carte"/>
    <hyperlink ref="Q1372" r:id="rId3440" display="Ouvrir"/>
    <hyperlink ref="H1373" r:id="rId3441" display="https://www.urbangardencafe.fr"/>
    <hyperlink ref="P1373" r:id="rId3442" display="Voir la carte"/>
    <hyperlink ref="Q1373" r:id="rId3443" display="Ouvrir"/>
    <hyperlink ref="H1374" r:id="rId3444" display="http://www.yankeegrill.com/"/>
    <hyperlink ref="P1374" r:id="rId3445" display="Voir la carte"/>
    <hyperlink ref="Q1374" r:id="rId3446" display="Ouvrir"/>
    <hyperlink ref="H1375" r:id="rId3447" display="https://www.opaisible.fr"/>
    <hyperlink ref="P1375" r:id="rId3448" display="Voir la carte"/>
    <hyperlink ref="Q1375" r:id="rId3449" display="Ouvrir"/>
    <hyperlink ref="P1376" r:id="rId3450" display="Voir la carte"/>
    <hyperlink ref="Q1376" r:id="rId3451" display="Ouvrir"/>
    <hyperlink ref="P1377" r:id="rId3452" display="Voir la carte"/>
    <hyperlink ref="Q1377" r:id="rId3453" display="Ouvrir"/>
    <hyperlink ref="H1378" r:id="rId3454" display="http://www.la-table-dauzeville.fr/"/>
    <hyperlink ref="P1378" r:id="rId3455" display="Voir la carte"/>
    <hyperlink ref="Q1378" r:id="rId3456" display="Ouvrir"/>
    <hyperlink ref="H1379" r:id="rId3457" display="https://www.crous-toulouse.fr/restaurant/resto-u-ensat/"/>
    <hyperlink ref="P1379" r:id="rId3458" display="Voir la carte"/>
    <hyperlink ref="Q1379" r:id="rId3459" display="Ouvrir"/>
    <hyperlink ref="P1380" r:id="rId3460" display="Voir la carte"/>
    <hyperlink ref="Q1380" r:id="rId3461" display="Ouvrir"/>
    <hyperlink ref="P1381" r:id="rId3462" display="Voir la carte"/>
    <hyperlink ref="Q1381" r:id="rId3463" display="Ouvrir"/>
    <hyperlink ref="H1382" r:id="rId3464" display="https://restaurant-linstant.fr/"/>
    <hyperlink ref="P1382" r:id="rId3465" display="Voir la carte"/>
    <hyperlink ref="Q1382" r:id="rId3466" display="Ouvrir"/>
    <hyperlink ref="P1383" r:id="rId3467" display="Voir la carte"/>
    <hyperlink ref="Q1383" r:id="rId3468" display="Ouvrir"/>
    <hyperlink ref="P1384" r:id="rId3469" display="Voir la carte"/>
    <hyperlink ref="Q1384" r:id="rId3470" display="Ouvrir"/>
    <hyperlink ref="H1385" r:id="rId3471" display="https://beyrouth.eatbu.com"/>
    <hyperlink ref="P1385" r:id="rId3472" display="Voir la carte"/>
    <hyperlink ref="Q1385" r:id="rId3473" display="Ouvrir"/>
    <hyperlink ref="P1386" r:id="rId3474" display="Voir la carte"/>
    <hyperlink ref="Q1386" r:id="rId3475" display="Ouvrir"/>
    <hyperlink ref="P1387" r:id="rId3476" display="Voir la carte"/>
    <hyperlink ref="Q1387" r:id="rId3477" display="Ouvrir"/>
    <hyperlink ref="P1388" r:id="rId3478" display="Voir la carte"/>
    <hyperlink ref="Q1388" r:id="rId3479" display="Ouvrir"/>
    <hyperlink ref="P1389" r:id="rId3480" display="Voir la carte"/>
    <hyperlink ref="Q1389" r:id="rId3481" display="Ouvrir"/>
    <hyperlink ref="P1390" r:id="rId3482" display="Voir la carte"/>
    <hyperlink ref="Q1390" r:id="rId3483" display="Ouvrir"/>
    <hyperlink ref="P1391" r:id="rId3484" display="Voir la carte"/>
    <hyperlink ref="Q1391" r:id="rId3485" display="Ouvrir"/>
    <hyperlink ref="P1392" r:id="rId3486" display="Voir la carte"/>
    <hyperlink ref="Q1392" r:id="rId3487" display="Ouvrir"/>
    <hyperlink ref="P1393" r:id="rId3488" display="Voir la carte"/>
    <hyperlink ref="Q1393" r:id="rId3489" display="Ouvrir"/>
    <hyperlink ref="P1394" r:id="rId3490" display="Voir la carte"/>
    <hyperlink ref="Q1394" r:id="rId3491" display="Ouvrir"/>
    <hyperlink ref="P1395" r:id="rId3492" display="Voir la carte"/>
    <hyperlink ref="Q1395" r:id="rId3493" display="Ouvrir"/>
    <hyperlink ref="P1396" r:id="rId3494" display="Voir la carte"/>
    <hyperlink ref="Q1396" r:id="rId3495" display="Ouvrir"/>
    <hyperlink ref="P1397" r:id="rId3496" display="Voir la carte"/>
    <hyperlink ref="Q1397" r:id="rId3497" display="Ouvrir"/>
    <hyperlink ref="P1398" r:id="rId3498" display="Voir la carte"/>
    <hyperlink ref="Q1398" r:id="rId3499" display="Ouvrir"/>
    <hyperlink ref="P1399" r:id="rId3500" display="Voir la carte"/>
    <hyperlink ref="Q1399" r:id="rId3501" display="Ouvrir"/>
    <hyperlink ref="P1400" r:id="rId3502" display="Voir la carte"/>
    <hyperlink ref="Q1400" r:id="rId3503" display="Ouvrir"/>
    <hyperlink ref="P1401" r:id="rId3504" display="Voir la carte"/>
    <hyperlink ref="Q1401" r:id="rId3505" display="Ouvrir"/>
    <hyperlink ref="P1402" r:id="rId3506" display="Voir la carte"/>
    <hyperlink ref="Q1402" r:id="rId3507" display="Ouvrir"/>
    <hyperlink ref="H1403" r:id="rId3508" display="https://pizzeria-beau-soleil.netlify.app/"/>
    <hyperlink ref="P1403" r:id="rId3509" display="Voir la carte"/>
    <hyperlink ref="Q1403" r:id="rId3510" display="Ouvrir"/>
    <hyperlink ref="H1404" r:id="rId3511" display="https://www.lacuisinededany.fr"/>
    <hyperlink ref="P1404" r:id="rId3512" display="Voir la carte"/>
    <hyperlink ref="Q1404" r:id="rId3513" display="Ouvrir"/>
    <hyperlink ref="H1405" r:id="rId3514" display="https://www.restaurant-le-paille-en-queue.fr/"/>
    <hyperlink ref="P1405" r:id="rId3515" display="Voir la carte"/>
    <hyperlink ref="Q1405" r:id="rId3516" display="Ouvrir"/>
    <hyperlink ref="P1406" r:id="rId3517" display="Voir la carte"/>
    <hyperlink ref="Q1406" r:id="rId3518" display="Ouvrir"/>
    <hyperlink ref="P1407" r:id="rId3519" display="Voir la carte"/>
    <hyperlink ref="Q1407" r:id="rId3520" display="Ouvrir"/>
    <hyperlink ref="P1408" r:id="rId3521" display="Voir la carte"/>
    <hyperlink ref="Q1408" r:id="rId3522" display="Ouvrir"/>
    <hyperlink ref="P1409" r:id="rId3523" display="Voir la carte"/>
    <hyperlink ref="Q1409" r:id="rId3524" display="Ouvrir"/>
    <hyperlink ref="P1410" r:id="rId3525" display="Voir la carte"/>
    <hyperlink ref="Q1410" r:id="rId3526" display="Ouvrir"/>
    <hyperlink ref="H1411" r:id="rId3527" display="https://www.lekabestan.fr"/>
    <hyperlink ref="P1411" r:id="rId3528" display="Voir la carte"/>
    <hyperlink ref="Q1411" r:id="rId3529" display="Ouvrir"/>
    <hyperlink ref="H1412" r:id="rId3530" display="https://restaurant-lebellevue.com"/>
    <hyperlink ref="P1412" r:id="rId3531" display="Voir la carte"/>
    <hyperlink ref="Q1412" r:id="rId3532" display="Ouvrir"/>
    <hyperlink ref="P1413" r:id="rId3533" display="Voir la carte"/>
    <hyperlink ref="Q1413" r:id="rId3534" display="Ouvrir"/>
    <hyperlink ref="P1414" r:id="rId3535" display="Voir la carte"/>
    <hyperlink ref="Q1414" r:id="rId3536" display="Ouvrir"/>
    <hyperlink ref="P1415" r:id="rId3537" display="Voir la carte"/>
    <hyperlink ref="Q1415" r:id="rId3538" display="Ouvrir"/>
    <hyperlink ref="H1416" r:id="rId3539" display="https://o-saveurs.com/"/>
    <hyperlink ref="P1416" r:id="rId3540" display="Voir la carte"/>
    <hyperlink ref="Q1416" r:id="rId3541" display="Ouvrir"/>
    <hyperlink ref="H1417" r:id="rId3542" display="https://www.leclubchampetre.com/"/>
    <hyperlink ref="P1417" r:id="rId3543" display="Voir la carte"/>
    <hyperlink ref="Q1417" r:id="rId3544" display="Ouvrir"/>
    <hyperlink ref="H1418" r:id="rId3545" display="https://www.lesbarrologues.fr/"/>
    <hyperlink ref="P1418" r:id="rId3546" display="Voir la carte"/>
    <hyperlink ref="Q1418" r:id="rId3547" display="Ouvrir"/>
    <hyperlink ref="P1419" r:id="rId3548" display="Voir la carte"/>
    <hyperlink ref="Q1419" r:id="rId3549" display="Ouvrir"/>
    <hyperlink ref="H1420" r:id="rId3550" display="https://www.restaurantaugoutdesautres.fr/"/>
    <hyperlink ref="P1420" r:id="rId3551" display="Voir la carte"/>
    <hyperlink ref="Q1420" r:id="rId3552" display="Ouvrir"/>
    <hyperlink ref="H1421" r:id="rId3553" display="https://www.le-mas-restaurant-toulouse.com"/>
    <hyperlink ref="P1421" r:id="rId3554" display="Voir la carte"/>
    <hyperlink ref="Q1421" r:id="rId3555" display="Ouvrir"/>
    <hyperlink ref="P1422" r:id="rId3556" display="Voir la carte"/>
    <hyperlink ref="Q1422" r:id="rId3557" display="Ouvrir"/>
    <hyperlink ref="P1423" r:id="rId3558" display="Voir la carte"/>
    <hyperlink ref="Q1423" r:id="rId3559" display="Ouvrir"/>
    <hyperlink ref="P1424" r:id="rId3560" display="Voir la carte"/>
    <hyperlink ref="Q1424" r:id="rId3561" display="Ouvrir"/>
    <hyperlink ref="P1425" r:id="rId3562" display="Voir la carte"/>
    <hyperlink ref="Q1425" r:id="rId3563" display="Ouvrir"/>
    <hyperlink ref="H1426" r:id="rId3564" display="www.lemasymas.com"/>
    <hyperlink ref="P1426" r:id="rId3565" display="Voir la carte"/>
    <hyperlink ref="Q1426" r:id="rId3566" display="Ouvrir"/>
    <hyperlink ref="P1427" r:id="rId3567" display="Voir la carte"/>
    <hyperlink ref="Q1427" r:id="rId3568" display="Ouvrir"/>
    <hyperlink ref="P1428" r:id="rId3569" display="Voir la carte"/>
    <hyperlink ref="Q1428" r:id="rId3570" display="Ouvrir"/>
    <hyperlink ref="P1429" r:id="rId3571" display="Voir la carte"/>
    <hyperlink ref="Q1429" r:id="rId3572" display="Ouvrir"/>
    <hyperlink ref="H1430" r:id="rId3573" display="https://laubergedelaforge.com/"/>
    <hyperlink ref="P1430" r:id="rId3574" display="Voir la carte"/>
    <hyperlink ref="Q1430" r:id="rId3575" display="Ouvrir"/>
    <hyperlink ref="P1431" r:id="rId3576" display="Voir la carte"/>
    <hyperlink ref="Q1431" r:id="rId3577" display="Ouv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57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9" t="s">
        <v>4387</v>
      </c>
    </row>
    <row r="2" customFormat="false" ht="15" hidden="false" customHeight="false" outlineLevel="0" collapsed="false">
      <c r="A2" s="10" t="s">
        <v>4388</v>
      </c>
    </row>
    <row r="4" customFormat="false" ht="15" hidden="false" customHeight="false" outlineLevel="0" collapsed="false">
      <c r="A4" s="1" t="s">
        <v>9</v>
      </c>
      <c r="B4" s="1" t="s">
        <v>4389</v>
      </c>
      <c r="C4" s="1" t="s">
        <v>4390</v>
      </c>
    </row>
    <row r="5" customFormat="false" ht="15" hidden="false" customHeight="false" outlineLevel="0" collapsed="false">
      <c r="A5" s="11" t="s">
        <v>20</v>
      </c>
      <c r="B5" s="11" t="n">
        <f aca="false">COUNTIF(Prospection!$J$2:$J$1431,A5)</f>
        <v>1430</v>
      </c>
      <c r="C5" s="12" t="n">
        <f aca="false">IF($B$12=0,0,B5/$B$12)</f>
        <v>1</v>
      </c>
    </row>
    <row r="6" customFormat="false" ht="15" hidden="false" customHeight="false" outlineLevel="0" collapsed="false">
      <c r="A6" s="11" t="s">
        <v>4391</v>
      </c>
      <c r="B6" s="11" t="n">
        <f aca="false">COUNTIF(Prospection!$J$2:$J$1431,A6)</f>
        <v>0</v>
      </c>
      <c r="C6" s="12" t="n">
        <f aca="false">IF($B$12=0,0,B6/$B$12)</f>
        <v>0</v>
      </c>
    </row>
    <row r="7" customFormat="false" ht="15" hidden="false" customHeight="false" outlineLevel="0" collapsed="false">
      <c r="A7" s="11" t="s">
        <v>4392</v>
      </c>
      <c r="B7" s="11" t="n">
        <f aca="false">COUNTIF(Prospection!$J$2:$J$1431,A7)</f>
        <v>0</v>
      </c>
      <c r="C7" s="12" t="n">
        <f aca="false">IF($B$12=0,0,B7/$B$12)</f>
        <v>0</v>
      </c>
    </row>
    <row r="8" customFormat="false" ht="15" hidden="false" customHeight="false" outlineLevel="0" collapsed="false">
      <c r="A8" s="11" t="s">
        <v>4393</v>
      </c>
      <c r="B8" s="11" t="n">
        <f aca="false">COUNTIF(Prospection!$J$2:$J$1431,A8)</f>
        <v>0</v>
      </c>
      <c r="C8" s="12" t="n">
        <f aca="false">IF($B$12=0,0,B8/$B$12)</f>
        <v>0</v>
      </c>
    </row>
    <row r="9" customFormat="false" ht="15" hidden="false" customHeight="false" outlineLevel="0" collapsed="false">
      <c r="A9" s="11" t="s">
        <v>4394</v>
      </c>
      <c r="B9" s="11" t="n">
        <f aca="false">COUNTIF(Prospection!$J$2:$J$1431,A9)</f>
        <v>0</v>
      </c>
      <c r="C9" s="12" t="n">
        <f aca="false">IF($B$12=0,0,B9/$B$12)</f>
        <v>0</v>
      </c>
    </row>
    <row r="10" customFormat="false" ht="15" hidden="false" customHeight="false" outlineLevel="0" collapsed="false">
      <c r="A10" s="11" t="s">
        <v>4395</v>
      </c>
      <c r="B10" s="11" t="n">
        <f aca="false">COUNTIF(Prospection!$J$2:$J$1431,A10)</f>
        <v>0</v>
      </c>
      <c r="C10" s="12" t="n">
        <f aca="false">IF($B$12=0,0,B10/$B$12)</f>
        <v>0</v>
      </c>
    </row>
    <row r="11" customFormat="false" ht="15" hidden="false" customHeight="false" outlineLevel="0" collapsed="false">
      <c r="A11" s="11" t="s">
        <v>4396</v>
      </c>
      <c r="B11" s="11" t="n">
        <f aca="false">COUNTIF(Prospection!$J$2:$J$1431,A11)</f>
        <v>0</v>
      </c>
      <c r="C11" s="12" t="n">
        <f aca="false">IF($B$12=0,0,B11/$B$12)</f>
        <v>0</v>
      </c>
    </row>
    <row r="12" customFormat="false" ht="15" hidden="false" customHeight="false" outlineLevel="0" collapsed="false">
      <c r="A12" s="13" t="s">
        <v>4397</v>
      </c>
      <c r="B12" s="13" t="n">
        <f aca="false">SUM(B5:B11)</f>
        <v>1430</v>
      </c>
      <c r="C12" s="14" t="n">
        <f aca="false">IF($B$12=0,0,B12/$B$12)</f>
        <v>1</v>
      </c>
    </row>
    <row r="14" customFormat="false" ht="15" hidden="false" customHeight="false" outlineLevel="0" collapsed="false">
      <c r="A14" s="15" t="s">
        <v>4398</v>
      </c>
      <c r="B14" s="16" t="n">
        <f aca="false">B12-B5</f>
        <v>0</v>
      </c>
    </row>
    <row r="15" customFormat="false" ht="15" hidden="false" customHeight="false" outlineLevel="0" collapsed="false">
      <c r="A15" s="15" t="s">
        <v>4399</v>
      </c>
      <c r="B15" s="17" t="n">
        <f aca="false">IF(B14=0,0,B9/B14)</f>
        <v>0</v>
      </c>
    </row>
    <row r="16" customFormat="false" ht="15" hidden="false" customHeight="false" outlineLevel="0" collapsed="false">
      <c r="A16" s="15" t="s">
        <v>4400</v>
      </c>
      <c r="B16" s="16" t="n">
        <f aca="false">B7+B8+B11</f>
        <v>0</v>
      </c>
    </row>
    <row r="18" customFormat="false" ht="15" hidden="false" customHeight="false" outlineLevel="0" collapsed="false">
      <c r="A18" s="1" t="s">
        <v>4401</v>
      </c>
      <c r="B18" s="1" t="s">
        <v>4389</v>
      </c>
      <c r="C18" s="1" t="s">
        <v>4390</v>
      </c>
    </row>
    <row r="19" customFormat="false" ht="15" hidden="false" customHeight="false" outlineLevel="0" collapsed="false">
      <c r="A19" s="11" t="s">
        <v>4402</v>
      </c>
      <c r="B19" s="11" t="n">
        <f aca="false">COUNTA(Prospection!$G$2:$G$1431)</f>
        <v>782</v>
      </c>
      <c r="C19" s="12" t="n">
        <f aca="false">IF($B$12=0,0,B19/$B$12)</f>
        <v>0.546853146853147</v>
      </c>
    </row>
    <row r="20" customFormat="false" ht="15" hidden="false" customHeight="false" outlineLevel="0" collapsed="false">
      <c r="A20" s="11" t="s">
        <v>4403</v>
      </c>
      <c r="B20" s="11" t="n">
        <f aca="false">COUNTA(Prospection!$D$2:$D$1431)</f>
        <v>454</v>
      </c>
      <c r="C20" s="12" t="n">
        <f aca="false">IF($B$12=0,0,B20/$B$12)</f>
        <v>0.317482517482518</v>
      </c>
    </row>
    <row r="21" customFormat="false" ht="15" hidden="false" customHeight="false" outlineLevel="0" collapsed="false">
      <c r="A21" s="11" t="s">
        <v>4404</v>
      </c>
      <c r="B21" s="11" t="n">
        <f aca="false">COUNTA(Prospection!$H$2:$H$1431)</f>
        <v>718</v>
      </c>
      <c r="C21" s="12" t="n">
        <f aca="false">IF($B$12=0,0,B21/$B$12)</f>
        <v>0.502097902097902</v>
      </c>
    </row>
    <row r="22" customFormat="false" ht="15" hidden="false" customHeight="false" outlineLevel="0" collapsed="false">
      <c r="A22" s="11" t="s">
        <v>4405</v>
      </c>
      <c r="B22" s="11" t="n">
        <f aca="false">COUNTA(Prospection!$I$2:$I$1431)</f>
        <v>842</v>
      </c>
      <c r="C22" s="12" t="n">
        <f aca="false">IF($B$12=0,0,B22/$B$12)</f>
        <v>0.588811188811189</v>
      </c>
    </row>
    <row r="23" customFormat="false" ht="15" hidden="false" customHeight="false" outlineLevel="0" collapsed="false">
      <c r="A23" s="11" t="s">
        <v>4406</v>
      </c>
      <c r="B23" s="11" t="n">
        <f aca="false">COUNTA(Prospection!$C$2:$C$1431)</f>
        <v>955</v>
      </c>
      <c r="C23" s="12" t="n">
        <f aca="false">IF($B$12=0,0,B23/$B$12)</f>
        <v>0.667832167832168</v>
      </c>
    </row>
    <row r="26" customFormat="false" ht="15" hidden="false" customHeight="false" outlineLevel="0" collapsed="false">
      <c r="A26" s="1" t="s">
        <v>5</v>
      </c>
      <c r="B26" s="1" t="s">
        <v>4407</v>
      </c>
      <c r="C26" s="1" t="s">
        <v>4390</v>
      </c>
      <c r="D26" s="1" t="s">
        <v>4408</v>
      </c>
      <c r="E26" s="1" t="s">
        <v>4409</v>
      </c>
    </row>
    <row r="27" customFormat="false" ht="15" hidden="false" customHeight="false" outlineLevel="0" collapsed="false">
      <c r="A27" s="11" t="s">
        <v>19</v>
      </c>
      <c r="B27" s="11" t="n">
        <f aca="false">COUNTIF(Prospection!$F$2:$F$1431,A27)</f>
        <v>884</v>
      </c>
      <c r="C27" s="12" t="n">
        <f aca="false">IF($B$12=0,0,B27/$B$12)</f>
        <v>0.618181818181818</v>
      </c>
      <c r="D27" s="11" t="n">
        <f aca="false">B27-COUNTIFS(Prospection!$F$2:$F$1431,A27,Prospection!$J$2:$J$1431,"À contacter")</f>
        <v>0</v>
      </c>
      <c r="E27" s="11" t="n">
        <f aca="false">COUNTIFS(Prospection!$F$2:$F$1431,A27,Prospection!$J$2:$J$1431,"Client")</f>
        <v>0</v>
      </c>
    </row>
    <row r="28" customFormat="false" ht="15" hidden="false" customHeight="false" outlineLevel="0" collapsed="false">
      <c r="A28" s="11" t="s">
        <v>2869</v>
      </c>
      <c r="B28" s="11" t="n">
        <f aca="false">COUNTIF(Prospection!$F$2:$F$1431,A28)</f>
        <v>39</v>
      </c>
      <c r="C28" s="12" t="n">
        <f aca="false">IF($B$12=0,0,B28/$B$12)</f>
        <v>0.0272727272727273</v>
      </c>
      <c r="D28" s="11" t="n">
        <f aca="false">B28-COUNTIFS(Prospection!$F$2:$F$1431,A28,Prospection!$J$2:$J$1431,"À contacter")</f>
        <v>0</v>
      </c>
      <c r="E28" s="11" t="n">
        <f aca="false">COUNTIFS(Prospection!$F$2:$F$1431,A28,Prospection!$J$2:$J$1431,"Client")</f>
        <v>0</v>
      </c>
    </row>
    <row r="29" customFormat="false" ht="15" hidden="false" customHeight="false" outlineLevel="0" collapsed="false">
      <c r="A29" s="11" t="s">
        <v>2970</v>
      </c>
      <c r="B29" s="11" t="n">
        <f aca="false">COUNTIF(Prospection!$F$2:$F$1431,A29)</f>
        <v>26</v>
      </c>
      <c r="C29" s="12" t="n">
        <f aca="false">IF($B$12=0,0,B29/$B$12)</f>
        <v>0.0181818181818182</v>
      </c>
      <c r="D29" s="11" t="n">
        <f aca="false">B29-COUNTIFS(Prospection!$F$2:$F$1431,A29,Prospection!$J$2:$J$1431,"À contacter")</f>
        <v>0</v>
      </c>
      <c r="E29" s="11" t="n">
        <f aca="false">COUNTIFS(Prospection!$F$2:$F$1431,A29,Prospection!$J$2:$J$1431,"Client")</f>
        <v>0</v>
      </c>
    </row>
    <row r="30" customFormat="false" ht="15" hidden="false" customHeight="false" outlineLevel="0" collapsed="false">
      <c r="A30" s="11" t="s">
        <v>3055</v>
      </c>
      <c r="B30" s="11" t="n">
        <f aca="false">COUNTIF(Prospection!$F$2:$F$1431,A30)</f>
        <v>68</v>
      </c>
      <c r="C30" s="12" t="n">
        <f aca="false">IF($B$12=0,0,B30/$B$12)</f>
        <v>0.0475524475524476</v>
      </c>
      <c r="D30" s="11" t="n">
        <f aca="false">B30-COUNTIFS(Prospection!$F$2:$F$1431,A30,Prospection!$J$2:$J$1431,"À contacter")</f>
        <v>0</v>
      </c>
      <c r="E30" s="11" t="n">
        <f aca="false">COUNTIFS(Prospection!$F$2:$F$1431,A30,Prospection!$J$2:$J$1431,"Client")</f>
        <v>0</v>
      </c>
    </row>
    <row r="31" customFormat="false" ht="15" hidden="false" customHeight="false" outlineLevel="0" collapsed="false">
      <c r="A31" s="11" t="s">
        <v>3255</v>
      </c>
      <c r="B31" s="11" t="n">
        <f aca="false">COUNTIF(Prospection!$F$2:$F$1431,A31)</f>
        <v>34</v>
      </c>
      <c r="C31" s="12" t="n">
        <f aca="false">IF($B$12=0,0,B31/$B$12)</f>
        <v>0.0237762237762238</v>
      </c>
      <c r="D31" s="11" t="n">
        <f aca="false">B31-COUNTIFS(Prospection!$F$2:$F$1431,A31,Prospection!$J$2:$J$1431,"À contacter")</f>
        <v>0</v>
      </c>
      <c r="E31" s="11" t="n">
        <f aca="false">COUNTIFS(Prospection!$F$2:$F$1431,A31,Prospection!$J$2:$J$1431,"Client")</f>
        <v>0</v>
      </c>
    </row>
    <row r="32" customFormat="false" ht="15" hidden="false" customHeight="false" outlineLevel="0" collapsed="false">
      <c r="A32" s="11" t="s">
        <v>3337</v>
      </c>
      <c r="B32" s="11" t="n">
        <f aca="false">COUNTIF(Prospection!$F$2:$F$1431,A32)</f>
        <v>30</v>
      </c>
      <c r="C32" s="12" t="n">
        <f aca="false">IF($B$12=0,0,B32/$B$12)</f>
        <v>0.020979020979021</v>
      </c>
      <c r="D32" s="11" t="n">
        <f aca="false">B32-COUNTIFS(Prospection!$F$2:$F$1431,A32,Prospection!$J$2:$J$1431,"À contacter")</f>
        <v>0</v>
      </c>
      <c r="E32" s="11" t="n">
        <f aca="false">COUNTIFS(Prospection!$F$2:$F$1431,A32,Prospection!$J$2:$J$1431,"Client")</f>
        <v>0</v>
      </c>
    </row>
    <row r="33" customFormat="false" ht="15" hidden="false" customHeight="false" outlineLevel="0" collapsed="false">
      <c r="A33" s="11" t="s">
        <v>3400</v>
      </c>
      <c r="B33" s="11" t="n">
        <f aca="false">COUNTIF(Prospection!$F$2:$F$1431,A33)</f>
        <v>20</v>
      </c>
      <c r="C33" s="12" t="n">
        <f aca="false">IF($B$12=0,0,B33/$B$12)</f>
        <v>0.013986013986014</v>
      </c>
      <c r="D33" s="11" t="n">
        <f aca="false">B33-COUNTIFS(Prospection!$F$2:$F$1431,A33,Prospection!$J$2:$J$1431,"À contacter")</f>
        <v>0</v>
      </c>
      <c r="E33" s="11" t="n">
        <f aca="false">COUNTIFS(Prospection!$F$2:$F$1431,A33,Prospection!$J$2:$J$1431,"Client")</f>
        <v>0</v>
      </c>
    </row>
    <row r="34" customFormat="false" ht="15" hidden="false" customHeight="false" outlineLevel="0" collapsed="false">
      <c r="A34" s="11" t="s">
        <v>3435</v>
      </c>
      <c r="B34" s="11" t="n">
        <f aca="false">COUNTIF(Prospection!$F$2:$F$1431,A34)</f>
        <v>22</v>
      </c>
      <c r="C34" s="12" t="n">
        <f aca="false">IF($B$12=0,0,B34/$B$12)</f>
        <v>0.0153846153846154</v>
      </c>
      <c r="D34" s="11" t="n">
        <f aca="false">B34-COUNTIFS(Prospection!$F$2:$F$1431,A34,Prospection!$J$2:$J$1431,"À contacter")</f>
        <v>0</v>
      </c>
      <c r="E34" s="11" t="n">
        <f aca="false">COUNTIFS(Prospection!$F$2:$F$1431,A34,Prospection!$J$2:$J$1431,"Client")</f>
        <v>0</v>
      </c>
    </row>
    <row r="35" customFormat="false" ht="15" hidden="false" customHeight="false" outlineLevel="0" collapsed="false">
      <c r="A35" s="11" t="s">
        <v>3485</v>
      </c>
      <c r="B35" s="11" t="n">
        <f aca="false">COUNTIF(Prospection!$F$2:$F$1431,A35)</f>
        <v>19</v>
      </c>
      <c r="C35" s="12" t="n">
        <f aca="false">IF($B$12=0,0,B35/$B$12)</f>
        <v>0.0132867132867133</v>
      </c>
      <c r="D35" s="11" t="n">
        <f aca="false">B35-COUNTIFS(Prospection!$F$2:$F$1431,A35,Prospection!$J$2:$J$1431,"À contacter")</f>
        <v>0</v>
      </c>
      <c r="E35" s="11" t="n">
        <f aca="false">COUNTIFS(Prospection!$F$2:$F$1431,A35,Prospection!$J$2:$J$1431,"Client")</f>
        <v>0</v>
      </c>
    </row>
    <row r="36" customFormat="false" ht="15" hidden="false" customHeight="false" outlineLevel="0" collapsed="false">
      <c r="A36" s="11" t="s">
        <v>3548</v>
      </c>
      <c r="B36" s="11" t="n">
        <f aca="false">COUNTIF(Prospection!$F$2:$F$1431,A36)</f>
        <v>16</v>
      </c>
      <c r="C36" s="12" t="n">
        <f aca="false">IF($B$12=0,0,B36/$B$12)</f>
        <v>0.0111888111888112</v>
      </c>
      <c r="D36" s="11" t="n">
        <f aca="false">B36-COUNTIFS(Prospection!$F$2:$F$1431,A36,Prospection!$J$2:$J$1431,"À contacter")</f>
        <v>0</v>
      </c>
      <c r="E36" s="11" t="n">
        <f aca="false">COUNTIFS(Prospection!$F$2:$F$1431,A36,Prospection!$J$2:$J$1431,"Client")</f>
        <v>0</v>
      </c>
    </row>
    <row r="37" customFormat="false" ht="15" hidden="false" customHeight="false" outlineLevel="0" collapsed="false">
      <c r="A37" s="11" t="s">
        <v>3603</v>
      </c>
      <c r="B37" s="11" t="n">
        <f aca="false">COUNTIF(Prospection!$F$2:$F$1431,A37)</f>
        <v>12</v>
      </c>
      <c r="C37" s="12" t="n">
        <f aca="false">IF($B$12=0,0,B37/$B$12)</f>
        <v>0.00839160839160839</v>
      </c>
      <c r="D37" s="11" t="n">
        <f aca="false">B37-COUNTIFS(Prospection!$F$2:$F$1431,A37,Prospection!$J$2:$J$1431,"À contacter")</f>
        <v>0</v>
      </c>
      <c r="E37" s="11" t="n">
        <f aca="false">COUNTIFS(Prospection!$F$2:$F$1431,A37,Prospection!$J$2:$J$1431,"Client")</f>
        <v>0</v>
      </c>
    </row>
    <row r="38" customFormat="false" ht="15" hidden="false" customHeight="false" outlineLevel="0" collapsed="false">
      <c r="A38" s="11" t="s">
        <v>3629</v>
      </c>
      <c r="B38" s="11" t="n">
        <f aca="false">COUNTIF(Prospection!$F$2:$F$1431,A38)</f>
        <v>3</v>
      </c>
      <c r="C38" s="12" t="n">
        <f aca="false">IF($B$12=0,0,B38/$B$12)</f>
        <v>0.0020979020979021</v>
      </c>
      <c r="D38" s="11" t="n">
        <f aca="false">B38-COUNTIFS(Prospection!$F$2:$F$1431,A38,Prospection!$J$2:$J$1431,"À contacter")</f>
        <v>0</v>
      </c>
      <c r="E38" s="11" t="n">
        <f aca="false">COUNTIFS(Prospection!$F$2:$F$1431,A38,Prospection!$J$2:$J$1431,"Client")</f>
        <v>0</v>
      </c>
    </row>
    <row r="39" customFormat="false" ht="15" hidden="false" customHeight="false" outlineLevel="0" collapsed="false">
      <c r="A39" s="11" t="s">
        <v>3633</v>
      </c>
      <c r="B39" s="11" t="n">
        <f aca="false">COUNTIF(Prospection!$F$2:$F$1431,A39)</f>
        <v>25</v>
      </c>
      <c r="C39" s="12" t="n">
        <f aca="false">IF($B$12=0,0,B39/$B$12)</f>
        <v>0.0174825174825175</v>
      </c>
      <c r="D39" s="11" t="n">
        <f aca="false">B39-COUNTIFS(Prospection!$F$2:$F$1431,A39,Prospection!$J$2:$J$1431,"À contacter")</f>
        <v>0</v>
      </c>
      <c r="E39" s="11" t="n">
        <f aca="false">COUNTIFS(Prospection!$F$2:$F$1431,A39,Prospection!$J$2:$J$1431,"Client")</f>
        <v>0</v>
      </c>
    </row>
    <row r="40" customFormat="false" ht="15" hidden="false" customHeight="false" outlineLevel="0" collapsed="false">
      <c r="A40" s="11" t="s">
        <v>3705</v>
      </c>
      <c r="B40" s="11" t="n">
        <f aca="false">COUNTIF(Prospection!$F$2:$F$1431,A40)</f>
        <v>1</v>
      </c>
      <c r="C40" s="12" t="n">
        <f aca="false">IF($B$12=0,0,B40/$B$12)</f>
        <v>0.000699300699300699</v>
      </c>
      <c r="D40" s="11" t="n">
        <f aca="false">B40-COUNTIFS(Prospection!$F$2:$F$1431,A40,Prospection!$J$2:$J$1431,"À contacter")</f>
        <v>0</v>
      </c>
      <c r="E40" s="11" t="n">
        <f aca="false">COUNTIFS(Prospection!$F$2:$F$1431,A40,Prospection!$J$2:$J$1431,"Client")</f>
        <v>0</v>
      </c>
    </row>
    <row r="41" customFormat="false" ht="15" hidden="false" customHeight="false" outlineLevel="0" collapsed="false">
      <c r="A41" s="11" t="s">
        <v>3708</v>
      </c>
      <c r="B41" s="11" t="n">
        <f aca="false">COUNTIF(Prospection!$F$2:$F$1431,A41)</f>
        <v>6</v>
      </c>
      <c r="C41" s="12" t="n">
        <f aca="false">IF($B$12=0,0,B41/$B$12)</f>
        <v>0.0041958041958042</v>
      </c>
      <c r="D41" s="11" t="n">
        <f aca="false">B41-COUNTIFS(Prospection!$F$2:$F$1431,A41,Prospection!$J$2:$J$1431,"À contacter")</f>
        <v>0</v>
      </c>
      <c r="E41" s="11" t="n">
        <f aca="false">COUNTIFS(Prospection!$F$2:$F$1431,A41,Prospection!$J$2:$J$1431,"Client")</f>
        <v>0</v>
      </c>
    </row>
    <row r="42" customFormat="false" ht="15" hidden="false" customHeight="false" outlineLevel="0" collapsed="false">
      <c r="A42" s="11" t="s">
        <v>3726</v>
      </c>
      <c r="B42" s="11" t="n">
        <f aca="false">COUNTIF(Prospection!$F$2:$F$1431,A42)</f>
        <v>12</v>
      </c>
      <c r="C42" s="12" t="n">
        <f aca="false">IF($B$12=0,0,B42/$B$12)</f>
        <v>0.00839160839160839</v>
      </c>
      <c r="D42" s="11" t="n">
        <f aca="false">B42-COUNTIFS(Prospection!$F$2:$F$1431,A42,Prospection!$J$2:$J$1431,"À contacter")</f>
        <v>0</v>
      </c>
      <c r="E42" s="11" t="n">
        <f aca="false">COUNTIFS(Prospection!$F$2:$F$1431,A42,Prospection!$J$2:$J$1431,"Client")</f>
        <v>0</v>
      </c>
    </row>
    <row r="43" customFormat="false" ht="15" hidden="false" customHeight="false" outlineLevel="0" collapsed="false">
      <c r="A43" s="11" t="s">
        <v>3754</v>
      </c>
      <c r="B43" s="11" t="n">
        <f aca="false">COUNTIF(Prospection!$F$2:$F$1431,A43)</f>
        <v>5</v>
      </c>
      <c r="C43" s="12" t="n">
        <f aca="false">IF($B$12=0,0,B43/$B$12)</f>
        <v>0.0034965034965035</v>
      </c>
      <c r="D43" s="11" t="n">
        <f aca="false">B43-COUNTIFS(Prospection!$F$2:$F$1431,A43,Prospection!$J$2:$J$1431,"À contacter")</f>
        <v>0</v>
      </c>
      <c r="E43" s="11" t="n">
        <f aca="false">COUNTIFS(Prospection!$F$2:$F$1431,A43,Prospection!$J$2:$J$1431,"Client")</f>
        <v>0</v>
      </c>
    </row>
    <row r="44" customFormat="false" ht="15" hidden="false" customHeight="false" outlineLevel="0" collapsed="false">
      <c r="A44" s="11" t="s">
        <v>3770</v>
      </c>
      <c r="B44" s="11" t="n">
        <f aca="false">COUNTIF(Prospection!$F$2:$F$1431,A44)</f>
        <v>8</v>
      </c>
      <c r="C44" s="12" t="n">
        <f aca="false">IF($B$12=0,0,B44/$B$12)</f>
        <v>0.00559440559440559</v>
      </c>
      <c r="D44" s="11" t="n">
        <f aca="false">B44-COUNTIFS(Prospection!$F$2:$F$1431,A44,Prospection!$J$2:$J$1431,"À contacter")</f>
        <v>0</v>
      </c>
      <c r="E44" s="11" t="n">
        <f aca="false">COUNTIFS(Prospection!$F$2:$F$1431,A44,Prospection!$J$2:$J$1431,"Client")</f>
        <v>0</v>
      </c>
    </row>
    <row r="45" customFormat="false" ht="15" hidden="false" customHeight="false" outlineLevel="0" collapsed="false">
      <c r="A45" s="11" t="s">
        <v>3797</v>
      </c>
      <c r="B45" s="11" t="n">
        <f aca="false">COUNTIF(Prospection!$F$2:$F$1431,A45)</f>
        <v>2</v>
      </c>
      <c r="C45" s="12" t="n">
        <f aca="false">IF($B$12=0,0,B45/$B$12)</f>
        <v>0.0013986013986014</v>
      </c>
      <c r="D45" s="11" t="n">
        <f aca="false">B45-COUNTIFS(Prospection!$F$2:$F$1431,A45,Prospection!$J$2:$J$1431,"À contacter")</f>
        <v>0</v>
      </c>
      <c r="E45" s="11" t="n">
        <f aca="false">COUNTIFS(Prospection!$F$2:$F$1431,A45,Prospection!$J$2:$J$1431,"Client")</f>
        <v>0</v>
      </c>
    </row>
    <row r="46" customFormat="false" ht="15" hidden="false" customHeight="false" outlineLevel="0" collapsed="false">
      <c r="A46" s="11" t="s">
        <v>3800</v>
      </c>
      <c r="B46" s="11" t="n">
        <f aca="false">COUNTIF(Prospection!$F$2:$F$1431,A46)</f>
        <v>4</v>
      </c>
      <c r="C46" s="12" t="n">
        <f aca="false">IF($B$12=0,0,B46/$B$12)</f>
        <v>0.0027972027972028</v>
      </c>
      <c r="D46" s="11" t="n">
        <f aca="false">B46-COUNTIFS(Prospection!$F$2:$F$1431,A46,Prospection!$J$2:$J$1431,"À contacter")</f>
        <v>0</v>
      </c>
      <c r="E46" s="11" t="n">
        <f aca="false">COUNTIFS(Prospection!$F$2:$F$1431,A46,Prospection!$J$2:$J$1431,"Client")</f>
        <v>0</v>
      </c>
    </row>
    <row r="47" customFormat="false" ht="15" hidden="false" customHeight="false" outlineLevel="0" collapsed="false">
      <c r="A47" s="11" t="s">
        <v>3810</v>
      </c>
      <c r="B47" s="11" t="n">
        <f aca="false">COUNTIF(Prospection!$F$2:$F$1431,A47)</f>
        <v>4</v>
      </c>
      <c r="C47" s="12" t="n">
        <f aca="false">IF($B$12=0,0,B47/$B$12)</f>
        <v>0.0027972027972028</v>
      </c>
      <c r="D47" s="11" t="n">
        <f aca="false">B47-COUNTIFS(Prospection!$F$2:$F$1431,A47,Prospection!$J$2:$J$1431,"À contacter")</f>
        <v>0</v>
      </c>
      <c r="E47" s="11" t="n">
        <f aca="false">COUNTIFS(Prospection!$F$2:$F$1431,A47,Prospection!$J$2:$J$1431,"Client")</f>
        <v>0</v>
      </c>
    </row>
    <row r="48" customFormat="false" ht="15" hidden="false" customHeight="false" outlineLevel="0" collapsed="false">
      <c r="A48" s="11" t="s">
        <v>3824</v>
      </c>
      <c r="B48" s="11" t="n">
        <f aca="false">COUNTIF(Prospection!$F$2:$F$1431,A48)</f>
        <v>21</v>
      </c>
      <c r="C48" s="12" t="n">
        <f aca="false">IF($B$12=0,0,B48/$B$12)</f>
        <v>0.0146853146853147</v>
      </c>
      <c r="D48" s="11" t="n">
        <f aca="false">B48-COUNTIFS(Prospection!$F$2:$F$1431,A48,Prospection!$J$2:$J$1431,"À contacter")</f>
        <v>0</v>
      </c>
      <c r="E48" s="11" t="n">
        <f aca="false">COUNTIFS(Prospection!$F$2:$F$1431,A48,Prospection!$J$2:$J$1431,"Client")</f>
        <v>0</v>
      </c>
    </row>
    <row r="49" customFormat="false" ht="15" hidden="false" customHeight="false" outlineLevel="0" collapsed="false">
      <c r="A49" s="11" t="s">
        <v>3869</v>
      </c>
      <c r="B49" s="11" t="n">
        <f aca="false">COUNTIF(Prospection!$F$2:$F$1431,A49)</f>
        <v>7</v>
      </c>
      <c r="C49" s="12" t="n">
        <f aca="false">IF($B$12=0,0,B49/$B$12)</f>
        <v>0.0048951048951049</v>
      </c>
      <c r="D49" s="11" t="n">
        <f aca="false">B49-COUNTIFS(Prospection!$F$2:$F$1431,A49,Prospection!$J$2:$J$1431,"À contacter")</f>
        <v>0</v>
      </c>
      <c r="E49" s="11" t="n">
        <f aca="false">COUNTIFS(Prospection!$F$2:$F$1431,A49,Prospection!$J$2:$J$1431,"Client")</f>
        <v>0</v>
      </c>
    </row>
    <row r="50" customFormat="false" ht="15" hidden="false" customHeight="false" outlineLevel="0" collapsed="false">
      <c r="A50" s="11" t="s">
        <v>3899</v>
      </c>
      <c r="B50" s="11" t="n">
        <f aca="false">COUNTIF(Prospection!$F$2:$F$1431,A50)</f>
        <v>9</v>
      </c>
      <c r="C50" s="12" t="n">
        <f aca="false">IF($B$12=0,0,B50/$B$12)</f>
        <v>0.00629370629370629</v>
      </c>
      <c r="D50" s="11" t="n">
        <f aca="false">B50-COUNTIFS(Prospection!$F$2:$F$1431,A50,Prospection!$J$2:$J$1431,"À contacter")</f>
        <v>0</v>
      </c>
      <c r="E50" s="11" t="n">
        <f aca="false">COUNTIFS(Prospection!$F$2:$F$1431,A50,Prospection!$J$2:$J$1431,"Client")</f>
        <v>0</v>
      </c>
    </row>
    <row r="51" customFormat="false" ht="15" hidden="false" customHeight="false" outlineLevel="0" collapsed="false">
      <c r="A51" s="11" t="s">
        <v>3920</v>
      </c>
      <c r="B51" s="11" t="n">
        <f aca="false">COUNTIF(Prospection!$F$2:$F$1431,A51)</f>
        <v>2</v>
      </c>
      <c r="C51" s="12" t="n">
        <f aca="false">IF($B$12=0,0,B51/$B$12)</f>
        <v>0.0013986013986014</v>
      </c>
      <c r="D51" s="11" t="n">
        <f aca="false">B51-COUNTIFS(Prospection!$F$2:$F$1431,A51,Prospection!$J$2:$J$1431,"À contacter")</f>
        <v>0</v>
      </c>
      <c r="E51" s="11" t="n">
        <f aca="false">COUNTIFS(Prospection!$F$2:$F$1431,A51,Prospection!$J$2:$J$1431,"Client")</f>
        <v>0</v>
      </c>
    </row>
    <row r="52" customFormat="false" ht="15" hidden="false" customHeight="false" outlineLevel="0" collapsed="false">
      <c r="A52" s="11" t="s">
        <v>3926</v>
      </c>
      <c r="B52" s="11" t="n">
        <f aca="false">COUNTIF(Prospection!$F$2:$F$1431,A52)</f>
        <v>10</v>
      </c>
      <c r="C52" s="12" t="n">
        <f aca="false">IF($B$12=0,0,B52/$B$12)</f>
        <v>0.00699300699300699</v>
      </c>
      <c r="D52" s="11" t="n">
        <f aca="false">B52-COUNTIFS(Prospection!$F$2:$F$1431,A52,Prospection!$J$2:$J$1431,"À contacter")</f>
        <v>0</v>
      </c>
      <c r="E52" s="11" t="n">
        <f aca="false">COUNTIFS(Prospection!$F$2:$F$1431,A52,Prospection!$J$2:$J$1431,"Client")</f>
        <v>0</v>
      </c>
    </row>
    <row r="53" customFormat="false" ht="15" hidden="false" customHeight="false" outlineLevel="0" collapsed="false">
      <c r="A53" s="11" t="s">
        <v>3954</v>
      </c>
      <c r="B53" s="11" t="n">
        <f aca="false">COUNTIF(Prospection!$F$2:$F$1431,A53)</f>
        <v>5</v>
      </c>
      <c r="C53" s="12" t="n">
        <f aca="false">IF($B$12=0,0,B53/$B$12)</f>
        <v>0.0034965034965035</v>
      </c>
      <c r="D53" s="11" t="n">
        <f aca="false">B53-COUNTIFS(Prospection!$F$2:$F$1431,A53,Prospection!$J$2:$J$1431,"À contacter")</f>
        <v>0</v>
      </c>
      <c r="E53" s="11" t="n">
        <f aca="false">COUNTIFS(Prospection!$F$2:$F$1431,A53,Prospection!$J$2:$J$1431,"Client")</f>
        <v>0</v>
      </c>
    </row>
    <row r="54" customFormat="false" ht="15" hidden="false" customHeight="false" outlineLevel="0" collapsed="false">
      <c r="A54" s="11" t="s">
        <v>3972</v>
      </c>
      <c r="B54" s="11" t="n">
        <f aca="false">COUNTIF(Prospection!$F$2:$F$1431,A54)</f>
        <v>1</v>
      </c>
      <c r="C54" s="12" t="n">
        <f aca="false">IF($B$12=0,0,B54/$B$12)</f>
        <v>0.000699300699300699</v>
      </c>
      <c r="D54" s="11" t="n">
        <f aca="false">B54-COUNTIFS(Prospection!$F$2:$F$1431,A54,Prospection!$J$2:$J$1431,"À contacter")</f>
        <v>0</v>
      </c>
      <c r="E54" s="11" t="n">
        <f aca="false">COUNTIFS(Prospection!$F$2:$F$1431,A54,Prospection!$J$2:$J$1431,"Client")</f>
        <v>0</v>
      </c>
    </row>
    <row r="55" customFormat="false" ht="15" hidden="false" customHeight="false" outlineLevel="0" collapsed="false">
      <c r="A55" s="11" t="s">
        <v>3977</v>
      </c>
      <c r="B55" s="11" t="n">
        <f aca="false">COUNTIF(Prospection!$F$2:$F$1431,A55)</f>
        <v>8</v>
      </c>
      <c r="C55" s="12" t="n">
        <f aca="false">IF($B$12=0,0,B55/$B$12)</f>
        <v>0.00559440559440559</v>
      </c>
      <c r="D55" s="11" t="n">
        <f aca="false">B55-COUNTIFS(Prospection!$F$2:$F$1431,A55,Prospection!$J$2:$J$1431,"À contacter")</f>
        <v>0</v>
      </c>
      <c r="E55" s="11" t="n">
        <f aca="false">COUNTIFS(Prospection!$F$2:$F$1431,A55,Prospection!$J$2:$J$1431,"Client")</f>
        <v>0</v>
      </c>
    </row>
    <row r="56" customFormat="false" ht="15" hidden="false" customHeight="false" outlineLevel="0" collapsed="false">
      <c r="A56" s="11" t="s">
        <v>4016</v>
      </c>
      <c r="B56" s="11" t="n">
        <f aca="false">COUNTIF(Prospection!$F$2:$F$1431,A56)</f>
        <v>9</v>
      </c>
      <c r="C56" s="12" t="n">
        <f aca="false">IF($B$12=0,0,B56/$B$12)</f>
        <v>0.00629370629370629</v>
      </c>
      <c r="D56" s="11" t="n">
        <f aca="false">B56-COUNTIFS(Prospection!$F$2:$F$1431,A56,Prospection!$J$2:$J$1431,"À contacter")</f>
        <v>0</v>
      </c>
      <c r="E56" s="11" t="n">
        <f aca="false">COUNTIFS(Prospection!$F$2:$F$1431,A56,Prospection!$J$2:$J$1431,"Client")</f>
        <v>0</v>
      </c>
    </row>
    <row r="57" customFormat="false" ht="15" hidden="false" customHeight="false" outlineLevel="0" collapsed="false">
      <c r="A57" s="11" t="s">
        <v>4052</v>
      </c>
      <c r="B57" s="11" t="n">
        <f aca="false">COUNTIF(Prospection!$F$2:$F$1431,A57)</f>
        <v>8</v>
      </c>
      <c r="C57" s="12" t="n">
        <f aca="false">IF($B$12=0,0,B57/$B$12)</f>
        <v>0.00559440559440559</v>
      </c>
      <c r="D57" s="11" t="n">
        <f aca="false">B57-COUNTIFS(Prospection!$F$2:$F$1431,A57,Prospection!$J$2:$J$1431,"À contacter")</f>
        <v>0</v>
      </c>
      <c r="E57" s="11" t="n">
        <f aca="false">COUNTIFS(Prospection!$F$2:$F$1431,A57,Prospection!$J$2:$J$1431,"Client")</f>
        <v>0</v>
      </c>
    </row>
    <row r="58" customFormat="false" ht="15" hidden="false" customHeight="false" outlineLevel="0" collapsed="false">
      <c r="A58" s="11" t="s">
        <v>4069</v>
      </c>
      <c r="B58" s="11" t="n">
        <f aca="false">COUNTIF(Prospection!$F$2:$F$1431,A58)</f>
        <v>6</v>
      </c>
      <c r="C58" s="12" t="n">
        <f aca="false">IF($B$12=0,0,B58/$B$12)</f>
        <v>0.0041958041958042</v>
      </c>
      <c r="D58" s="11" t="n">
        <f aca="false">B58-COUNTIFS(Prospection!$F$2:$F$1431,A58,Prospection!$J$2:$J$1431,"À contacter")</f>
        <v>0</v>
      </c>
      <c r="E58" s="11" t="n">
        <f aca="false">COUNTIFS(Prospection!$F$2:$F$1431,A58,Prospection!$J$2:$J$1431,"Client")</f>
        <v>0</v>
      </c>
    </row>
    <row r="59" customFormat="false" ht="15" hidden="false" customHeight="false" outlineLevel="0" collapsed="false">
      <c r="A59" s="11" t="s">
        <v>4087</v>
      </c>
      <c r="B59" s="11" t="n">
        <f aca="false">COUNTIF(Prospection!$F$2:$F$1431,A59)</f>
        <v>5</v>
      </c>
      <c r="C59" s="12" t="n">
        <f aca="false">IF($B$12=0,0,B59/$B$12)</f>
        <v>0.0034965034965035</v>
      </c>
      <c r="D59" s="11" t="n">
        <f aca="false">B59-COUNTIFS(Prospection!$F$2:$F$1431,A59,Prospection!$J$2:$J$1431,"À contacter")</f>
        <v>0</v>
      </c>
      <c r="E59" s="11" t="n">
        <f aca="false">COUNTIFS(Prospection!$F$2:$F$1431,A59,Prospection!$J$2:$J$1431,"Client")</f>
        <v>0</v>
      </c>
    </row>
    <row r="60" customFormat="false" ht="15" hidden="false" customHeight="false" outlineLevel="0" collapsed="false">
      <c r="A60" s="11" t="s">
        <v>4096</v>
      </c>
      <c r="B60" s="11" t="n">
        <f aca="false">COUNTIF(Prospection!$F$2:$F$1431,A60)</f>
        <v>1</v>
      </c>
      <c r="C60" s="12" t="n">
        <f aca="false">IF($B$12=0,0,B60/$B$12)</f>
        <v>0.000699300699300699</v>
      </c>
      <c r="D60" s="11" t="n">
        <f aca="false">B60-COUNTIFS(Prospection!$F$2:$F$1431,A60,Prospection!$J$2:$J$1431,"À contacter")</f>
        <v>0</v>
      </c>
      <c r="E60" s="11" t="n">
        <f aca="false">COUNTIFS(Prospection!$F$2:$F$1431,A60,Prospection!$J$2:$J$1431,"Client")</f>
        <v>0</v>
      </c>
    </row>
    <row r="61" customFormat="false" ht="15" hidden="false" customHeight="false" outlineLevel="0" collapsed="false">
      <c r="A61" s="11" t="s">
        <v>4099</v>
      </c>
      <c r="B61" s="11" t="n">
        <f aca="false">COUNTIF(Prospection!$F$2:$F$1431,A61)</f>
        <v>42</v>
      </c>
      <c r="C61" s="12" t="n">
        <f aca="false">IF($B$12=0,0,B61/$B$12)</f>
        <v>0.0293706293706294</v>
      </c>
      <c r="D61" s="11" t="n">
        <f aca="false">B61-COUNTIFS(Prospection!$F$2:$F$1431,A61,Prospection!$J$2:$J$1431,"À contacter")</f>
        <v>0</v>
      </c>
      <c r="E61" s="11" t="n">
        <f aca="false">COUNTIFS(Prospection!$F$2:$F$1431,A61,Prospection!$J$2:$J$1431,"Client")</f>
        <v>0</v>
      </c>
    </row>
    <row r="62" customFormat="false" ht="15" hidden="false" customHeight="false" outlineLevel="0" collapsed="false">
      <c r="A62" s="11" t="s">
        <v>4242</v>
      </c>
      <c r="B62" s="11" t="n">
        <f aca="false">COUNTIF(Prospection!$F$2:$F$1431,A62)</f>
        <v>4</v>
      </c>
      <c r="C62" s="12" t="n">
        <f aca="false">IF($B$12=0,0,B62/$B$12)</f>
        <v>0.0027972027972028</v>
      </c>
      <c r="D62" s="11" t="n">
        <f aca="false">B62-COUNTIFS(Prospection!$F$2:$F$1431,A62,Prospection!$J$2:$J$1431,"À contacter")</f>
        <v>0</v>
      </c>
      <c r="E62" s="11" t="n">
        <f aca="false">COUNTIFS(Prospection!$F$2:$F$1431,A62,Prospection!$J$2:$J$1431,"Client")</f>
        <v>0</v>
      </c>
    </row>
    <row r="63" customFormat="false" ht="15" hidden="false" customHeight="false" outlineLevel="0" collapsed="false">
      <c r="A63" s="11" t="s">
        <v>4253</v>
      </c>
      <c r="B63" s="11" t="n">
        <f aca="false">COUNTIF(Prospection!$F$2:$F$1431,A63)</f>
        <v>3</v>
      </c>
      <c r="C63" s="12" t="n">
        <f aca="false">IF($B$12=0,0,B63/$B$12)</f>
        <v>0.0020979020979021</v>
      </c>
      <c r="D63" s="11" t="n">
        <f aca="false">B63-COUNTIFS(Prospection!$F$2:$F$1431,A63,Prospection!$J$2:$J$1431,"À contacter")</f>
        <v>0</v>
      </c>
      <c r="E63" s="11" t="n">
        <f aca="false">COUNTIFS(Prospection!$F$2:$F$1431,A63,Prospection!$J$2:$J$1431,"Client")</f>
        <v>0</v>
      </c>
    </row>
    <row r="64" customFormat="false" ht="15" hidden="false" customHeight="false" outlineLevel="0" collapsed="false">
      <c r="A64" s="11" t="s">
        <v>4261</v>
      </c>
      <c r="B64" s="11" t="n">
        <f aca="false">COUNTIF(Prospection!$F$2:$F$1431,A64)</f>
        <v>2</v>
      </c>
      <c r="C64" s="12" t="n">
        <f aca="false">IF($B$12=0,0,B64/$B$12)</f>
        <v>0.0013986013986014</v>
      </c>
      <c r="D64" s="11" t="n">
        <f aca="false">B64-COUNTIFS(Prospection!$F$2:$F$1431,A64,Prospection!$J$2:$J$1431,"À contacter")</f>
        <v>0</v>
      </c>
      <c r="E64" s="11" t="n">
        <f aca="false">COUNTIFS(Prospection!$F$2:$F$1431,A64,Prospection!$J$2:$J$1431,"Client")</f>
        <v>0</v>
      </c>
    </row>
    <row r="65" customFormat="false" ht="15" hidden="false" customHeight="false" outlineLevel="0" collapsed="false">
      <c r="A65" s="11" t="s">
        <v>4266</v>
      </c>
      <c r="B65" s="11" t="n">
        <f aca="false">COUNTIF(Prospection!$F$2:$F$1431,A65)</f>
        <v>6</v>
      </c>
      <c r="C65" s="12" t="n">
        <f aca="false">IF($B$12=0,0,B65/$B$12)</f>
        <v>0.0041958041958042</v>
      </c>
      <c r="D65" s="11" t="n">
        <f aca="false">B65-COUNTIFS(Prospection!$F$2:$F$1431,A65,Prospection!$J$2:$J$1431,"À contacter")</f>
        <v>0</v>
      </c>
      <c r="E65" s="11" t="n">
        <f aca="false">COUNTIFS(Prospection!$F$2:$F$1431,A65,Prospection!$J$2:$J$1431,"Client")</f>
        <v>0</v>
      </c>
    </row>
    <row r="66" customFormat="false" ht="15" hidden="false" customHeight="false" outlineLevel="0" collapsed="false">
      <c r="A66" s="11" t="s">
        <v>4276</v>
      </c>
      <c r="B66" s="11" t="n">
        <f aca="false">COUNTIF(Prospection!$F$2:$F$1431,A66)</f>
        <v>1</v>
      </c>
      <c r="C66" s="12" t="n">
        <f aca="false">IF($B$12=0,0,B66/$B$12)</f>
        <v>0.000699300699300699</v>
      </c>
      <c r="D66" s="11" t="n">
        <f aca="false">B66-COUNTIFS(Prospection!$F$2:$F$1431,A66,Prospection!$J$2:$J$1431,"À contacter")</f>
        <v>0</v>
      </c>
      <c r="E66" s="11" t="n">
        <f aca="false">COUNTIFS(Prospection!$F$2:$F$1431,A66,Prospection!$J$2:$J$1431,"Client")</f>
        <v>0</v>
      </c>
    </row>
    <row r="67" customFormat="false" ht="15" hidden="false" customHeight="false" outlineLevel="0" collapsed="false">
      <c r="A67" s="11" t="s">
        <v>4278</v>
      </c>
      <c r="B67" s="11" t="n">
        <f aca="false">COUNTIF(Prospection!$F$2:$F$1431,A67)</f>
        <v>1</v>
      </c>
      <c r="C67" s="12" t="n">
        <f aca="false">IF($B$12=0,0,B67/$B$12)</f>
        <v>0.000699300699300699</v>
      </c>
      <c r="D67" s="11" t="n">
        <f aca="false">B67-COUNTIFS(Prospection!$F$2:$F$1431,A67,Prospection!$J$2:$J$1431,"À contacter")</f>
        <v>0</v>
      </c>
      <c r="E67" s="11" t="n">
        <f aca="false">COUNTIFS(Prospection!$F$2:$F$1431,A67,Prospection!$J$2:$J$1431,"Client")</f>
        <v>0</v>
      </c>
    </row>
    <row r="68" customFormat="false" ht="15" hidden="false" customHeight="false" outlineLevel="0" collapsed="false">
      <c r="A68" s="11" t="s">
        <v>4282</v>
      </c>
      <c r="B68" s="11" t="n">
        <f aca="false">COUNTIF(Prospection!$F$2:$F$1431,A68)</f>
        <v>8</v>
      </c>
      <c r="C68" s="12" t="n">
        <f aca="false">IF($B$12=0,0,B68/$B$12)</f>
        <v>0.00559440559440559</v>
      </c>
      <c r="D68" s="11" t="n">
        <f aca="false">B68-COUNTIFS(Prospection!$F$2:$F$1431,A68,Prospection!$J$2:$J$1431,"À contacter")</f>
        <v>0</v>
      </c>
      <c r="E68" s="11" t="n">
        <f aca="false">COUNTIFS(Prospection!$F$2:$F$1431,A68,Prospection!$J$2:$J$1431,"Client")</f>
        <v>0</v>
      </c>
    </row>
    <row r="69" customFormat="false" ht="15" hidden="false" customHeight="false" outlineLevel="0" collapsed="false">
      <c r="A69" s="11" t="s">
        <v>4295</v>
      </c>
      <c r="B69" s="11" t="n">
        <f aca="false">COUNTIF(Prospection!$F$2:$F$1431,A69)</f>
        <v>1</v>
      </c>
      <c r="C69" s="12" t="n">
        <f aca="false">IF($B$12=0,0,B69/$B$12)</f>
        <v>0.000699300699300699</v>
      </c>
      <c r="D69" s="11" t="n">
        <f aca="false">B69-COUNTIFS(Prospection!$F$2:$F$1431,A69,Prospection!$J$2:$J$1431,"À contacter")</f>
        <v>0</v>
      </c>
      <c r="E69" s="11" t="n">
        <f aca="false">COUNTIFS(Prospection!$F$2:$F$1431,A69,Prospection!$J$2:$J$1431,"Client")</f>
        <v>0</v>
      </c>
    </row>
    <row r="70" customFormat="false" ht="15" hidden="false" customHeight="false" outlineLevel="0" collapsed="false">
      <c r="A70" s="11" t="s">
        <v>4299</v>
      </c>
      <c r="B70" s="11" t="n">
        <f aca="false">COUNTIF(Prospection!$F$2:$F$1431,A70)</f>
        <v>2</v>
      </c>
      <c r="C70" s="12" t="n">
        <f aca="false">IF($B$12=0,0,B70/$B$12)</f>
        <v>0.0013986013986014</v>
      </c>
      <c r="D70" s="11" t="n">
        <f aca="false">B70-COUNTIFS(Prospection!$F$2:$F$1431,A70,Prospection!$J$2:$J$1431,"À contacter")</f>
        <v>0</v>
      </c>
      <c r="E70" s="11" t="n">
        <f aca="false">COUNTIFS(Prospection!$F$2:$F$1431,A70,Prospection!$J$2:$J$1431,"Client")</f>
        <v>0</v>
      </c>
    </row>
    <row r="71" customFormat="false" ht="15" hidden="false" customHeight="false" outlineLevel="0" collapsed="false">
      <c r="A71" s="11" t="s">
        <v>4310</v>
      </c>
      <c r="B71" s="11" t="n">
        <f aca="false">COUNTIF(Prospection!$F$2:$F$1431,A71)</f>
        <v>2</v>
      </c>
      <c r="C71" s="12" t="n">
        <f aca="false">IF($B$12=0,0,B71/$B$12)</f>
        <v>0.0013986013986014</v>
      </c>
      <c r="D71" s="11" t="n">
        <f aca="false">B71-COUNTIFS(Prospection!$F$2:$F$1431,A71,Prospection!$J$2:$J$1431,"À contacter")</f>
        <v>0</v>
      </c>
      <c r="E71" s="11" t="n">
        <f aca="false">COUNTIFS(Prospection!$F$2:$F$1431,A71,Prospection!$J$2:$J$1431,"Client")</f>
        <v>0</v>
      </c>
    </row>
    <row r="72" customFormat="false" ht="15" hidden="false" customHeight="false" outlineLevel="0" collapsed="false">
      <c r="A72" s="11" t="s">
        <v>4321</v>
      </c>
      <c r="B72" s="11" t="n">
        <f aca="false">COUNTIF(Prospection!$F$2:$F$1431,A72)</f>
        <v>1</v>
      </c>
      <c r="C72" s="12" t="n">
        <f aca="false">IF($B$12=0,0,B72/$B$12)</f>
        <v>0.000699300699300699</v>
      </c>
      <c r="D72" s="11" t="n">
        <f aca="false">B72-COUNTIFS(Prospection!$F$2:$F$1431,A72,Prospection!$J$2:$J$1431,"À contacter")</f>
        <v>0</v>
      </c>
      <c r="E72" s="11" t="n">
        <f aca="false">COUNTIFS(Prospection!$F$2:$F$1431,A72,Prospection!$J$2:$J$1431,"Client")</f>
        <v>0</v>
      </c>
    </row>
    <row r="73" customFormat="false" ht="15" hidden="false" customHeight="false" outlineLevel="0" collapsed="false">
      <c r="A73" s="11" t="s">
        <v>4323</v>
      </c>
      <c r="B73" s="11" t="n">
        <f aca="false">COUNTIF(Prospection!$F$2:$F$1431,A73)</f>
        <v>2</v>
      </c>
      <c r="C73" s="12" t="n">
        <f aca="false">IF($B$12=0,0,B73/$B$12)</f>
        <v>0.0013986013986014</v>
      </c>
      <c r="D73" s="11" t="n">
        <f aca="false">B73-COUNTIFS(Prospection!$F$2:$F$1431,A73,Prospection!$J$2:$J$1431,"À contacter")</f>
        <v>0</v>
      </c>
      <c r="E73" s="11" t="n">
        <f aca="false">COUNTIFS(Prospection!$F$2:$F$1431,A73,Prospection!$J$2:$J$1431,"Client")</f>
        <v>0</v>
      </c>
    </row>
    <row r="74" customFormat="false" ht="15" hidden="false" customHeight="false" outlineLevel="0" collapsed="false">
      <c r="A74" s="11" t="s">
        <v>4326</v>
      </c>
      <c r="B74" s="11" t="n">
        <f aca="false">COUNTIF(Prospection!$F$2:$F$1431,A74)</f>
        <v>2</v>
      </c>
      <c r="C74" s="12" t="n">
        <f aca="false">IF($B$12=0,0,B74/$B$12)</f>
        <v>0.0013986013986014</v>
      </c>
      <c r="D74" s="11" t="n">
        <f aca="false">B74-COUNTIFS(Prospection!$F$2:$F$1431,A74,Prospection!$J$2:$J$1431,"À contacter")</f>
        <v>0</v>
      </c>
      <c r="E74" s="11" t="n">
        <f aca="false">COUNTIFS(Prospection!$F$2:$F$1431,A74,Prospection!$J$2:$J$1431,"Client")</f>
        <v>0</v>
      </c>
    </row>
    <row r="75" customFormat="false" ht="15" hidden="false" customHeight="false" outlineLevel="0" collapsed="false">
      <c r="A75" s="11" t="s">
        <v>4329</v>
      </c>
      <c r="B75" s="11" t="n">
        <f aca="false">COUNTIF(Prospection!$F$2:$F$1431,A75)</f>
        <v>1</v>
      </c>
      <c r="C75" s="12" t="n">
        <f aca="false">IF($B$12=0,0,B75/$B$12)</f>
        <v>0.000699300699300699</v>
      </c>
      <c r="D75" s="11" t="n">
        <f aca="false">B75-COUNTIFS(Prospection!$F$2:$F$1431,A75,Prospection!$J$2:$J$1431,"À contacter")</f>
        <v>0</v>
      </c>
      <c r="E75" s="11" t="n">
        <f aca="false">COUNTIFS(Prospection!$F$2:$F$1431,A75,Prospection!$J$2:$J$1431,"Client")</f>
        <v>0</v>
      </c>
    </row>
    <row r="76" customFormat="false" ht="15" hidden="false" customHeight="false" outlineLevel="0" collapsed="false">
      <c r="A76" s="11" t="s">
        <v>4332</v>
      </c>
      <c r="B76" s="11" t="n">
        <f aca="false">COUNTIF(Prospection!$F$2:$F$1431,A76)</f>
        <v>3</v>
      </c>
      <c r="C76" s="12" t="n">
        <f aca="false">IF($B$12=0,0,B76/$B$12)</f>
        <v>0.0020979020979021</v>
      </c>
      <c r="D76" s="11" t="n">
        <f aca="false">B76-COUNTIFS(Prospection!$F$2:$F$1431,A76,Prospection!$J$2:$J$1431,"À contacter")</f>
        <v>0</v>
      </c>
      <c r="E76" s="11" t="n">
        <f aca="false">COUNTIFS(Prospection!$F$2:$F$1431,A76,Prospection!$J$2:$J$1431,"Client")</f>
        <v>0</v>
      </c>
    </row>
    <row r="77" customFormat="false" ht="15" hidden="false" customHeight="false" outlineLevel="0" collapsed="false">
      <c r="A77" s="11" t="s">
        <v>4339</v>
      </c>
      <c r="B77" s="11" t="n">
        <f aca="false">COUNTIF(Prospection!$F$2:$F$1431,A77)</f>
        <v>2</v>
      </c>
      <c r="C77" s="12" t="n">
        <f aca="false">IF($B$12=0,0,B77/$B$12)</f>
        <v>0.0013986013986014</v>
      </c>
      <c r="D77" s="11" t="n">
        <f aca="false">B77-COUNTIFS(Prospection!$F$2:$F$1431,A77,Prospection!$J$2:$J$1431,"À contacter")</f>
        <v>0</v>
      </c>
      <c r="E77" s="11" t="n">
        <f aca="false">COUNTIFS(Prospection!$F$2:$F$1431,A77,Prospection!$J$2:$J$1431,"Client")</f>
        <v>0</v>
      </c>
    </row>
    <row r="78" customFormat="false" ht="15" hidden="false" customHeight="false" outlineLevel="0" collapsed="false">
      <c r="A78" s="11" t="s">
        <v>4346</v>
      </c>
      <c r="B78" s="11" t="n">
        <f aca="false">COUNTIF(Prospection!$F$2:$F$1431,A78)</f>
        <v>1</v>
      </c>
      <c r="C78" s="12" t="n">
        <f aca="false">IF($B$12=0,0,B78/$B$12)</f>
        <v>0.000699300699300699</v>
      </c>
      <c r="D78" s="11" t="n">
        <f aca="false">B78-COUNTIFS(Prospection!$F$2:$F$1431,A78,Prospection!$J$2:$J$1431,"À contacter")</f>
        <v>0</v>
      </c>
      <c r="E78" s="11" t="n">
        <f aca="false">COUNTIFS(Prospection!$F$2:$F$1431,A78,Prospection!$J$2:$J$1431,"Client")</f>
        <v>0</v>
      </c>
    </row>
    <row r="79" customFormat="false" ht="15" hidden="false" customHeight="false" outlineLevel="0" collapsed="false">
      <c r="A79" s="11" t="s">
        <v>4354</v>
      </c>
      <c r="B79" s="11" t="n">
        <f aca="false">COUNTIF(Prospection!$F$2:$F$1431,A79)</f>
        <v>1</v>
      </c>
      <c r="C79" s="12" t="n">
        <f aca="false">IF($B$12=0,0,B79/$B$12)</f>
        <v>0.000699300699300699</v>
      </c>
      <c r="D79" s="11" t="n">
        <f aca="false">B79-COUNTIFS(Prospection!$F$2:$F$1431,A79,Prospection!$J$2:$J$1431,"À contacter")</f>
        <v>0</v>
      </c>
      <c r="E79" s="11" t="n">
        <f aca="false">COUNTIFS(Prospection!$F$2:$F$1431,A79,Prospection!$J$2:$J$1431,"Client")</f>
        <v>0</v>
      </c>
    </row>
    <row r="80" customFormat="false" ht="15" hidden="false" customHeight="false" outlineLevel="0" collapsed="false">
      <c r="A80" s="11" t="s">
        <v>4359</v>
      </c>
      <c r="B80" s="11" t="n">
        <f aca="false">COUNTIF(Prospection!$F$2:$F$1431,A80)</f>
        <v>1</v>
      </c>
      <c r="C80" s="12" t="n">
        <f aca="false">IF($B$12=0,0,B80/$B$12)</f>
        <v>0.000699300699300699</v>
      </c>
      <c r="D80" s="11" t="n">
        <f aca="false">B80-COUNTIFS(Prospection!$F$2:$F$1431,A80,Prospection!$J$2:$J$1431,"À contacter")</f>
        <v>0</v>
      </c>
      <c r="E80" s="11" t="n">
        <f aca="false">COUNTIFS(Prospection!$F$2:$F$1431,A80,Prospection!$J$2:$J$1431,"Client")</f>
        <v>0</v>
      </c>
    </row>
    <row r="81" customFormat="false" ht="15" hidden="false" customHeight="false" outlineLevel="0" collapsed="false">
      <c r="A81" s="11" t="s">
        <v>4364</v>
      </c>
      <c r="B81" s="11" t="n">
        <f aca="false">COUNTIF(Prospection!$F$2:$F$1431,A81)</f>
        <v>2</v>
      </c>
      <c r="C81" s="12" t="n">
        <f aca="false">IF($B$12=0,0,B81/$B$12)</f>
        <v>0.0013986013986014</v>
      </c>
      <c r="D81" s="11" t="n">
        <f aca="false">B81-COUNTIFS(Prospection!$F$2:$F$1431,A81,Prospection!$J$2:$J$1431,"À contacter")</f>
        <v>0</v>
      </c>
      <c r="E81" s="11" t="n">
        <f aca="false">COUNTIFS(Prospection!$F$2:$F$1431,A81,Prospection!$J$2:$J$1431,"Client")</f>
        <v>0</v>
      </c>
    </row>
    <row r="82" customFormat="false" ht="15" hidden="false" customHeight="false" outlineLevel="0" collapsed="false">
      <c r="A82" s="11" t="s">
        <v>4372</v>
      </c>
      <c r="B82" s="11" t="n">
        <f aca="false">COUNTIF(Prospection!$F$2:$F$1431,A82)</f>
        <v>7</v>
      </c>
      <c r="C82" s="12" t="n">
        <f aca="false">IF($B$12=0,0,B82/$B$12)</f>
        <v>0.0048951048951049</v>
      </c>
      <c r="D82" s="11" t="n">
        <f aca="false">B82-COUNTIFS(Prospection!$F$2:$F$1431,A82,Prospection!$J$2:$J$1431,"À contacter")</f>
        <v>0</v>
      </c>
      <c r="E82" s="11" t="n">
        <f aca="false">COUNTIFS(Prospection!$F$2:$F$1431,A82,Prospection!$J$2:$J$1431,"Client")</f>
        <v>0</v>
      </c>
    </row>
    <row r="83" customFormat="false" ht="15" hidden="false" customHeight="false" outlineLevel="0" collapsed="false">
      <c r="A83" s="11" t="s">
        <v>4379</v>
      </c>
      <c r="B83" s="11" t="n">
        <f aca="false">COUNTIF(Prospection!$F$2:$F$1431,A83)</f>
        <v>1</v>
      </c>
      <c r="C83" s="12" t="n">
        <f aca="false">IF($B$12=0,0,B83/$B$12)</f>
        <v>0.000699300699300699</v>
      </c>
      <c r="D83" s="11" t="n">
        <f aca="false">B83-COUNTIFS(Prospection!$F$2:$F$1431,A83,Prospection!$J$2:$J$1431,"À contacter")</f>
        <v>0</v>
      </c>
      <c r="E83" s="11" t="n">
        <f aca="false">COUNTIFS(Prospection!$F$2:$F$1431,A83,Prospection!$J$2:$J$1431,"Client")</f>
        <v>0</v>
      </c>
    </row>
    <row r="84" customFormat="false" ht="15" hidden="false" customHeight="false" outlineLevel="0" collapsed="false">
      <c r="A84" s="11" t="s">
        <v>4381</v>
      </c>
      <c r="B84" s="11" t="n">
        <f aca="false">COUNTIF(Prospection!$F$2:$F$1431,A84)</f>
        <v>1</v>
      </c>
      <c r="C84" s="12" t="n">
        <f aca="false">IF($B$12=0,0,B84/$B$12)</f>
        <v>0.000699300699300699</v>
      </c>
      <c r="D84" s="11" t="n">
        <f aca="false">B84-COUNTIFS(Prospection!$F$2:$F$1431,A84,Prospection!$J$2:$J$1431,"À contacter")</f>
        <v>0</v>
      </c>
      <c r="E84" s="11" t="n">
        <f aca="false">COUNTIFS(Prospection!$F$2:$F$1431,A84,Prospection!$J$2:$J$1431,"Client")</f>
        <v>0</v>
      </c>
    </row>
    <row r="85" customFormat="false" ht="15" hidden="false" customHeight="false" outlineLevel="0" collapsed="false">
      <c r="A85" s="11" t="s">
        <v>4385</v>
      </c>
      <c r="B85" s="11" t="n">
        <f aca="false">COUNTIF(Prospection!$F$2:$F$1431,A85)</f>
        <v>1</v>
      </c>
      <c r="C85" s="12" t="n">
        <f aca="false">IF($B$12=0,0,B85/$B$12)</f>
        <v>0.000699300699300699</v>
      </c>
      <c r="D85" s="11" t="n">
        <f aca="false">B85-COUNTIFS(Prospection!$F$2:$F$1431,A85,Prospection!$J$2:$J$1431,"À contacter")</f>
        <v>0</v>
      </c>
      <c r="E85" s="11" t="n">
        <f aca="false">COUNTIFS(Prospection!$F$2:$F$1431,A85,Prospection!$J$2:$J$1431,"Client")</f>
        <v>0</v>
      </c>
    </row>
    <row r="86" customFormat="false" ht="15" hidden="false" customHeight="false" outlineLevel="0" collapsed="false">
      <c r="A86" s="13" t="s">
        <v>4410</v>
      </c>
      <c r="B86" s="13" t="n">
        <f aca="false">SUM(B27:B85)</f>
        <v>1430</v>
      </c>
      <c r="C86" s="18"/>
      <c r="D86" s="13" t="n">
        <f aca="false">SUM(D27:D85)</f>
        <v>0</v>
      </c>
      <c r="E86" s="13" t="n">
        <f aca="false">SUM(E27:E85)</f>
        <v>0</v>
      </c>
    </row>
    <row r="89" customFormat="false" ht="15" hidden="false" customHeight="false" outlineLevel="0" collapsed="false">
      <c r="A89" s="1" t="s">
        <v>4411</v>
      </c>
      <c r="B89" s="1" t="s">
        <v>4407</v>
      </c>
      <c r="C89" s="1" t="s">
        <v>4390</v>
      </c>
    </row>
    <row r="90" customFormat="false" ht="15" hidden="false" customHeight="false" outlineLevel="0" collapsed="false">
      <c r="A90" s="11" t="s">
        <v>120</v>
      </c>
      <c r="B90" s="11" t="n">
        <f aca="false">COUNTIF(Prospection!$C$2:$C$1431,"*"&amp;A90&amp;"*")</f>
        <v>199</v>
      </c>
      <c r="C90" s="12" t="n">
        <f aca="false">IF($B$12=0,0,B90/$B$12)</f>
        <v>0.139160839160839</v>
      </c>
    </row>
    <row r="91" customFormat="false" ht="15" hidden="false" customHeight="false" outlineLevel="0" collapsed="false">
      <c r="A91" s="11" t="s">
        <v>24</v>
      </c>
      <c r="B91" s="11" t="n">
        <f aca="false">COUNTIF(Prospection!$C$2:$C$1431,"*"&amp;A91&amp;"*")</f>
        <v>162</v>
      </c>
      <c r="C91" s="12" t="n">
        <f aca="false">IF($B$12=0,0,B91/$B$12)</f>
        <v>0.113286713286713</v>
      </c>
    </row>
    <row r="92" customFormat="false" ht="15" hidden="false" customHeight="false" outlineLevel="0" collapsed="false">
      <c r="A92" s="11" t="s">
        <v>116</v>
      </c>
      <c r="B92" s="11" t="n">
        <f aca="false">COUNTIF(Prospection!$C$2:$C$1431,"*"&amp;A92&amp;"*")</f>
        <v>79</v>
      </c>
      <c r="C92" s="12" t="n">
        <f aca="false">IF($B$12=0,0,B92/$B$12)</f>
        <v>0.0552447552447552</v>
      </c>
    </row>
    <row r="93" customFormat="false" ht="15" hidden="false" customHeight="false" outlineLevel="0" collapsed="false">
      <c r="A93" s="11" t="s">
        <v>91</v>
      </c>
      <c r="B93" s="11" t="n">
        <f aca="false">COUNTIF(Prospection!$C$2:$C$1431,"*"&amp;A93&amp;"*")</f>
        <v>78</v>
      </c>
      <c r="C93" s="12" t="n">
        <f aca="false">IF($B$12=0,0,B93/$B$12)</f>
        <v>0.0545454545454545</v>
      </c>
    </row>
    <row r="94" customFormat="false" ht="15" hidden="false" customHeight="false" outlineLevel="0" collapsed="false">
      <c r="A94" s="11" t="s">
        <v>71</v>
      </c>
      <c r="B94" s="11" t="n">
        <f aca="false">COUNTIF(Prospection!$C$2:$C$1431,"*"&amp;A94&amp;"*")</f>
        <v>77</v>
      </c>
      <c r="C94" s="12" t="n">
        <f aca="false">IF($B$12=0,0,B94/$B$12)</f>
        <v>0.0538461538461539</v>
      </c>
    </row>
    <row r="95" customFormat="false" ht="15" hidden="false" customHeight="false" outlineLevel="0" collapsed="false">
      <c r="A95" s="11" t="s">
        <v>126</v>
      </c>
      <c r="B95" s="11" t="n">
        <f aca="false">COUNTIF(Prospection!$C$2:$C$1431,"*"&amp;A95&amp;"*")</f>
        <v>60</v>
      </c>
      <c r="C95" s="12" t="n">
        <f aca="false">IF($B$12=0,0,B95/$B$12)</f>
        <v>0.041958041958042</v>
      </c>
    </row>
    <row r="96" customFormat="false" ht="15" hidden="false" customHeight="false" outlineLevel="0" collapsed="false">
      <c r="A96" s="11" t="s">
        <v>153</v>
      </c>
      <c r="B96" s="11" t="n">
        <f aca="false">COUNTIF(Prospection!$C$2:$C$1431,"*"&amp;A96&amp;"*")</f>
        <v>41</v>
      </c>
      <c r="C96" s="12" t="n">
        <f aca="false">IF($B$12=0,0,B96/$B$12)</f>
        <v>0.0286713286713287</v>
      </c>
    </row>
    <row r="97" customFormat="false" ht="15" hidden="false" customHeight="false" outlineLevel="0" collapsed="false">
      <c r="A97" s="11" t="s">
        <v>89</v>
      </c>
      <c r="B97" s="11" t="n">
        <f aca="false">COUNTIF(Prospection!$C$2:$C$1431,"*"&amp;A97&amp;"*")</f>
        <v>40</v>
      </c>
      <c r="C97" s="12" t="n">
        <f aca="false">IF($B$12=0,0,B97/$B$12)</f>
        <v>0.027972027972028</v>
      </c>
    </row>
    <row r="98" customFormat="false" ht="15" hidden="false" customHeight="false" outlineLevel="0" collapsed="false">
      <c r="A98" s="11" t="s">
        <v>234</v>
      </c>
      <c r="B98" s="11" t="n">
        <f aca="false">COUNTIF(Prospection!$C$2:$C$1431,"*"&amp;A98&amp;"*")</f>
        <v>32</v>
      </c>
      <c r="C98" s="12" t="n">
        <f aca="false">IF($B$12=0,0,B98/$B$12)</f>
        <v>0.0223776223776224</v>
      </c>
    </row>
    <row r="99" customFormat="false" ht="15" hidden="false" customHeight="false" outlineLevel="0" collapsed="false">
      <c r="A99" s="11" t="s">
        <v>711</v>
      </c>
      <c r="B99" s="11" t="n">
        <f aca="false">COUNTIF(Prospection!$C$2:$C$1431,"*"&amp;A99&amp;"*")</f>
        <v>31</v>
      </c>
      <c r="C99" s="12" t="n">
        <f aca="false">IF($B$12=0,0,B99/$B$12)</f>
        <v>0.0216783216783217</v>
      </c>
    </row>
    <row r="100" customFormat="false" ht="15" hidden="false" customHeight="false" outlineLevel="0" collapsed="false">
      <c r="A100" s="11" t="s">
        <v>326</v>
      </c>
      <c r="B100" s="11" t="n">
        <f aca="false">COUNTIF(Prospection!$C$2:$C$1431,"*"&amp;A100&amp;"*")</f>
        <v>31</v>
      </c>
      <c r="C100" s="12" t="n">
        <f aca="false">IF($B$12=0,0,B100/$B$12)</f>
        <v>0.0216783216783217</v>
      </c>
    </row>
    <row r="101" customFormat="false" ht="15" hidden="false" customHeight="false" outlineLevel="0" collapsed="false">
      <c r="A101" s="11" t="s">
        <v>601</v>
      </c>
      <c r="B101" s="11" t="n">
        <f aca="false">COUNTIF(Prospection!$C$2:$C$1431,"*"&amp;A101&amp;"*")</f>
        <v>30</v>
      </c>
      <c r="C101" s="12" t="n">
        <f aca="false">IF($B$12=0,0,B101/$B$12)</f>
        <v>0.020979020979021</v>
      </c>
    </row>
    <row r="102" customFormat="false" ht="15" hidden="false" customHeight="false" outlineLevel="0" collapsed="false">
      <c r="A102" s="11" t="s">
        <v>109</v>
      </c>
      <c r="B102" s="11" t="n">
        <f aca="false">COUNTIF(Prospection!$C$2:$C$1431,"*"&amp;A102&amp;"*")</f>
        <v>24</v>
      </c>
      <c r="C102" s="12" t="n">
        <f aca="false">IF($B$12=0,0,B102/$B$12)</f>
        <v>0.0167832167832168</v>
      </c>
    </row>
    <row r="103" customFormat="false" ht="15" hidden="false" customHeight="false" outlineLevel="0" collapsed="false">
      <c r="A103" s="11" t="s">
        <v>34</v>
      </c>
      <c r="B103" s="11" t="n">
        <f aca="false">COUNTIF(Prospection!$C$2:$C$1431,"*"&amp;A103&amp;"*")</f>
        <v>22</v>
      </c>
      <c r="C103" s="12" t="n">
        <f aca="false">IF($B$12=0,0,B103/$B$12)</f>
        <v>0.0153846153846154</v>
      </c>
    </row>
    <row r="104" customFormat="false" ht="15" hidden="false" customHeight="false" outlineLevel="0" collapsed="false">
      <c r="A104" s="11" t="s">
        <v>64</v>
      </c>
      <c r="B104" s="11" t="n">
        <f aca="false">COUNTIF(Prospection!$C$2:$C$1431,"*"&amp;A104&amp;"*")</f>
        <v>18</v>
      </c>
      <c r="C104" s="12" t="n">
        <f aca="false">IF($B$12=0,0,B104/$B$12)</f>
        <v>0.0125874125874126</v>
      </c>
    </row>
    <row r="105" customFormat="false" ht="15" hidden="false" customHeight="false" outlineLevel="0" collapsed="false">
      <c r="A105" s="11" t="s">
        <v>673</v>
      </c>
      <c r="B105" s="11" t="n">
        <f aca="false">COUNTIF(Prospection!$C$2:$C$1431,"*"&amp;A105&amp;"*")</f>
        <v>17</v>
      </c>
      <c r="C105" s="12" t="n">
        <f aca="false">IF($B$12=0,0,B105/$B$12)</f>
        <v>0.0118881118881119</v>
      </c>
    </row>
    <row r="106" customFormat="false" ht="15" hidden="false" customHeight="false" outlineLevel="0" collapsed="false">
      <c r="A106" s="11" t="s">
        <v>595</v>
      </c>
      <c r="B106" s="11" t="n">
        <f aca="false">COUNTIF(Prospection!$C$2:$C$1431,"*"&amp;A106&amp;"*")</f>
        <v>17</v>
      </c>
      <c r="C106" s="12" t="n">
        <f aca="false">IF($B$12=0,0,B106/$B$12)</f>
        <v>0.0118881118881119</v>
      </c>
    </row>
    <row r="107" customFormat="false" ht="15" hidden="false" customHeight="false" outlineLevel="0" collapsed="false">
      <c r="A107" s="11" t="s">
        <v>181</v>
      </c>
      <c r="B107" s="11" t="n">
        <f aca="false">COUNTIF(Prospection!$C$2:$C$1431,"*"&amp;A107&amp;"*")</f>
        <v>16</v>
      </c>
      <c r="C107" s="12" t="n">
        <f aca="false">IF($B$12=0,0,B107/$B$12)</f>
        <v>0.0111888111888112</v>
      </c>
    </row>
    <row r="108" customFormat="false" ht="15" hidden="false" customHeight="false" outlineLevel="0" collapsed="false">
      <c r="A108" s="11" t="s">
        <v>62</v>
      </c>
      <c r="B108" s="11" t="n">
        <f aca="false">COUNTIF(Prospection!$C$2:$C$1431,"*"&amp;A108&amp;"*")</f>
        <v>15</v>
      </c>
      <c r="C108" s="12" t="n">
        <f aca="false">IF($B$12=0,0,B108/$B$12)</f>
        <v>0.0104895104895105</v>
      </c>
    </row>
    <row r="109" customFormat="false" ht="15" hidden="false" customHeight="false" outlineLevel="0" collapsed="false">
      <c r="A109" s="11" t="s">
        <v>38</v>
      </c>
      <c r="B109" s="11" t="n">
        <f aca="false">COUNTIF(Prospection!$C$2:$C$1431,"*"&amp;A109&amp;"*")</f>
        <v>14</v>
      </c>
      <c r="C109" s="12" t="n">
        <f aca="false">IF($B$12=0,0,B109/$B$12)</f>
        <v>0.00979020979020979</v>
      </c>
    </row>
    <row r="111" customFormat="false" ht="15" hidden="false" customHeight="false" outlineLevel="0" collapsed="false">
      <c r="A111" s="10" t="s">
        <v>4412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9" t="s">
        <v>4413</v>
      </c>
    </row>
    <row r="3" customFormat="false" ht="45" hidden="false" customHeight="true" outlineLevel="0" collapsed="false">
      <c r="A3" s="19" t="s">
        <v>4414</v>
      </c>
      <c r="B3" s="20" t="s">
        <v>4415</v>
      </c>
    </row>
    <row r="4" customFormat="false" ht="45" hidden="false" customHeight="true" outlineLevel="0" collapsed="false">
      <c r="A4" s="19" t="s">
        <v>4416</v>
      </c>
      <c r="B4" s="20" t="s">
        <v>4417</v>
      </c>
    </row>
    <row r="5" customFormat="false" ht="45" hidden="false" customHeight="true" outlineLevel="0" collapsed="false">
      <c r="A5" s="19" t="s">
        <v>4418</v>
      </c>
      <c r="B5" s="20" t="s">
        <v>4419</v>
      </c>
    </row>
    <row r="6" customFormat="false" ht="45" hidden="false" customHeight="true" outlineLevel="0" collapsed="false">
      <c r="A6" s="19" t="s">
        <v>4420</v>
      </c>
      <c r="B6" s="20" t="s">
        <v>4421</v>
      </c>
    </row>
    <row r="7" customFormat="false" ht="45" hidden="false" customHeight="true" outlineLevel="0" collapsed="false">
      <c r="A7" s="19" t="s">
        <v>4422</v>
      </c>
      <c r="B7" s="20" t="s">
        <v>4423</v>
      </c>
    </row>
    <row r="8" customFormat="false" ht="30" hidden="false" customHeight="true" outlineLevel="0" collapsed="false">
      <c r="A8" s="19" t="s">
        <v>4424</v>
      </c>
      <c r="B8" s="20" t="s">
        <v>4425</v>
      </c>
    </row>
    <row r="9" customFormat="false" ht="45" hidden="false" customHeight="true" outlineLevel="0" collapsed="false">
      <c r="A9" s="19" t="s">
        <v>4426</v>
      </c>
      <c r="B9" s="20" t="s">
        <v>4427</v>
      </c>
    </row>
    <row r="10" customFormat="false" ht="45" hidden="false" customHeight="true" outlineLevel="0" collapsed="false">
      <c r="A10" s="19" t="s">
        <v>4428</v>
      </c>
      <c r="B10" s="20" t="s">
        <v>4429</v>
      </c>
    </row>
    <row r="11" customFormat="false" ht="45" hidden="false" customHeight="true" outlineLevel="0" collapsed="false">
      <c r="A11" s="19" t="s">
        <v>4430</v>
      </c>
      <c r="B11" s="20" t="s">
        <v>4431</v>
      </c>
    </row>
    <row r="13" customFormat="false" ht="15" hidden="false" customHeight="false" outlineLevel="0" collapsed="false">
      <c r="A13" s="21" t="s">
        <v>4432</v>
      </c>
    </row>
    <row r="14" customFormat="false" ht="15" hidden="false" customHeight="false" outlineLevel="0" collapsed="false">
      <c r="A14" s="22" t="s">
        <v>1</v>
      </c>
      <c r="B14" s="11" t="s">
        <v>4433</v>
      </c>
    </row>
    <row r="15" customFormat="false" ht="15" hidden="false" customHeight="false" outlineLevel="0" collapsed="false">
      <c r="A15" s="22" t="s">
        <v>2</v>
      </c>
      <c r="B15" s="11" t="s">
        <v>120</v>
      </c>
    </row>
    <row r="16" customFormat="false" ht="15" hidden="false" customHeight="false" outlineLevel="0" collapsed="false">
      <c r="A16" s="22" t="s">
        <v>3</v>
      </c>
      <c r="B16" s="11" t="s">
        <v>4434</v>
      </c>
    </row>
    <row r="17" customFormat="false" ht="15" hidden="false" customHeight="false" outlineLevel="0" collapsed="false">
      <c r="A17" s="22" t="s">
        <v>4</v>
      </c>
      <c r="B17" s="11" t="s">
        <v>93</v>
      </c>
    </row>
    <row r="18" customFormat="false" ht="15" hidden="false" customHeight="false" outlineLevel="0" collapsed="false">
      <c r="A18" s="22" t="s">
        <v>5</v>
      </c>
      <c r="B18" s="11" t="s">
        <v>19</v>
      </c>
    </row>
    <row r="19" customFormat="false" ht="15" hidden="false" customHeight="false" outlineLevel="0" collapsed="false">
      <c r="A19" s="22" t="s">
        <v>6</v>
      </c>
      <c r="B19" s="11" t="s">
        <v>4435</v>
      </c>
    </row>
    <row r="20" customFormat="false" ht="15" hidden="false" customHeight="false" outlineLevel="0" collapsed="false">
      <c r="A20" s="22" t="s">
        <v>7</v>
      </c>
      <c r="B20" s="11" t="s">
        <v>4436</v>
      </c>
    </row>
    <row r="21" customFormat="false" ht="15" hidden="false" customHeight="false" outlineLevel="0" collapsed="false">
      <c r="A21" s="22" t="s">
        <v>8</v>
      </c>
      <c r="B21" s="11" t="s">
        <v>828</v>
      </c>
    </row>
    <row r="22" customFormat="false" ht="15" hidden="false" customHeight="false" outlineLevel="0" collapsed="false">
      <c r="A22" s="22" t="s">
        <v>9</v>
      </c>
      <c r="B22" s="23" t="s">
        <v>4392</v>
      </c>
    </row>
    <row r="23" customFormat="false" ht="15" hidden="false" customHeight="false" outlineLevel="0" collapsed="false">
      <c r="A23" s="22" t="s">
        <v>10</v>
      </c>
      <c r="B23" s="23" t="s">
        <v>4437</v>
      </c>
    </row>
    <row r="24" customFormat="false" ht="15" hidden="false" customHeight="false" outlineLevel="0" collapsed="false">
      <c r="A24" s="22" t="s">
        <v>11</v>
      </c>
      <c r="B24" s="23" t="s">
        <v>4438</v>
      </c>
    </row>
    <row r="25" customFormat="false" ht="15" hidden="false" customHeight="false" outlineLevel="0" collapsed="false">
      <c r="A25" s="22" t="s">
        <v>12</v>
      </c>
      <c r="B25" s="23" t="s">
        <v>4439</v>
      </c>
    </row>
    <row r="26" customFormat="false" ht="15" hidden="false" customHeight="false" outlineLevel="0" collapsed="false">
      <c r="A26" s="22" t="s">
        <v>13</v>
      </c>
      <c r="B26" s="23" t="s">
        <v>4440</v>
      </c>
    </row>
    <row r="27" customFormat="false" ht="15" hidden="false" customHeight="false" outlineLevel="0" collapsed="false">
      <c r="A27" s="22" t="s">
        <v>14</v>
      </c>
      <c r="B27" s="23" t="s">
        <v>4441</v>
      </c>
    </row>
    <row r="29" customFormat="false" ht="15" hidden="false" customHeight="false" outlineLevel="0" collapsed="false">
      <c r="A29" s="10" t="s">
        <v>4442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2026-09-30T09:06:47Z</dcterms:created>
  <dc:creator>openpyxl</dc:creator>
  <dc:description/>
  <dc:language>en-US</dc:language>
  <cp:lastModifiedBy/>
  <dcterms:modified xsi:type="dcterms:W3CDTF">2026-09-30T09:06:49Z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